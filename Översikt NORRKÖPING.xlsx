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45809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45809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45809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45809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45809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45809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45809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24615-2025</t>
        </is>
      </c>
      <c r="B9" s="1" t="n">
        <v>45798</v>
      </c>
      <c r="C9" s="1" t="n">
        <v>45809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11.3</v>
      </c>
      <c r="H9" t="n">
        <v>0</v>
      </c>
      <c r="I9" t="n">
        <v>3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12</v>
      </c>
      <c r="R9" s="2" t="inlineStr">
        <is>
          <t>Blå taggsvamp
Gropticka
Motaggsvamp
Orange taggsvamp
Svart taggsvamp
Svartvit taggsvamp
Talltaggsvamp
Tallticka
Ullticka
Blomkålssvamp
Dropptaggsvamp
Zontaggsvamp</t>
        </is>
      </c>
      <c r="S9">
        <f>HYPERLINK("https://klasma.github.io/Logging_050581/artfynd/A 24615-2025 artfynd.xlsx", "A 24615-2025")</f>
        <v/>
      </c>
      <c r="T9">
        <f>HYPERLINK("https://klasma.github.io/Logging_050581/kartor/A 24615-2025 karta.png", "A 24615-2025")</f>
        <v/>
      </c>
      <c r="V9">
        <f>HYPERLINK("https://klasma.github.io/Logging_050581/klagomål/A 24615-2025 FSC-klagomål.docx", "A 24615-2025")</f>
        <v/>
      </c>
      <c r="W9">
        <f>HYPERLINK("https://klasma.github.io/Logging_050581/klagomålsmail/A 24615-2025 FSC-klagomål mail.docx", "A 24615-2025")</f>
        <v/>
      </c>
      <c r="X9">
        <f>HYPERLINK("https://klasma.github.io/Logging_050581/tillsyn/A 24615-2025 tillsynsbegäran.docx", "A 24615-2025")</f>
        <v/>
      </c>
      <c r="Y9">
        <f>HYPERLINK("https://klasma.github.io/Logging_050581/tillsynsmail/A 24615-2025 tillsynsbegäran mail.docx", "A 24615-2025")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45809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45809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45809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45809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45809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45809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45809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45809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45809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45809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45809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45809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45809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21081-2020</t>
        </is>
      </c>
      <c r="B23" s="1" t="n">
        <v>43949</v>
      </c>
      <c r="C23" s="1" t="n">
        <v>45809</v>
      </c>
      <c r="D23" t="inlineStr">
        <is>
          <t>ÖSTERGÖTLANDS LÄN</t>
        </is>
      </c>
      <c r="E23" t="inlineStr">
        <is>
          <t>NORRKÖPING</t>
        </is>
      </c>
      <c r="G23" t="n">
        <v>8.4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Ullticka
Vedskivlav
Mindre märgborre
Vedticka</t>
        </is>
      </c>
      <c r="S23">
        <f>HYPERLINK("https://klasma.github.io/Logging_0581/artfynd/A 21081-2020 artfynd.xlsx", "A 21081-2020")</f>
        <v/>
      </c>
      <c r="T23">
        <f>HYPERLINK("https://klasma.github.io/Logging_0581/kartor/A 21081-2020 karta.png", "A 21081-2020")</f>
        <v/>
      </c>
      <c r="U23">
        <f>HYPERLINK("https://klasma.github.io/Logging_0581/knärot/A 21081-2020 karta knärot.png", "A 21081-2020")</f>
        <v/>
      </c>
      <c r="V23">
        <f>HYPERLINK("https://klasma.github.io/Logging_0581/klagomål/A 21081-2020 FSC-klagomål.docx", "A 21081-2020")</f>
        <v/>
      </c>
      <c r="W23">
        <f>HYPERLINK("https://klasma.github.io/Logging_0581/klagomålsmail/A 21081-2020 FSC-klagomål mail.docx", "A 21081-2020")</f>
        <v/>
      </c>
      <c r="X23">
        <f>HYPERLINK("https://klasma.github.io/Logging_0581/tillsyn/A 21081-2020 tillsynsbegäran.docx", "A 21081-2020")</f>
        <v/>
      </c>
      <c r="Y23">
        <f>HYPERLINK("https://klasma.github.io/Logging_0581/tillsynsmail/A 21081-2020 tillsynsbegäran mail.docx", "A 21081-2020")</f>
        <v/>
      </c>
    </row>
    <row r="24" ht="15" customHeight="1">
      <c r="A24" t="inlineStr">
        <is>
          <t>A 42447-2020</t>
        </is>
      </c>
      <c r="B24" s="1" t="n">
        <v>44076</v>
      </c>
      <c r="C24" s="1" t="n">
        <v>45809</v>
      </c>
      <c r="D24" t="inlineStr">
        <is>
          <t>ÖSTERGÖTLANDS LÄN</t>
        </is>
      </c>
      <c r="E24" t="inlineStr">
        <is>
          <t>NORRKÖPING</t>
        </is>
      </c>
      <c r="G24" t="n">
        <v>5.2</v>
      </c>
      <c r="H24" t="n">
        <v>1</v>
      </c>
      <c r="I24" t="n">
        <v>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5</v>
      </c>
      <c r="R24" s="2" t="inlineStr">
        <is>
          <t>Piploka
Barkticka
Bronshjon
Fällmossa
Vedticka</t>
        </is>
      </c>
      <c r="S24">
        <f>HYPERLINK("https://klasma.github.io/Logging_0581/artfynd/A 42447-2020 artfynd.xlsx", "A 42447-2020")</f>
        <v/>
      </c>
      <c r="T24">
        <f>HYPERLINK("https://klasma.github.io/Logging_0581/kartor/A 42447-2020 karta.png", "A 42447-2020")</f>
        <v/>
      </c>
      <c r="U24">
        <f>HYPERLINK("https://klasma.github.io/Logging_0581/knärot/A 42447-2020 karta knärot.png", "A 42447-2020")</f>
        <v/>
      </c>
      <c r="V24">
        <f>HYPERLINK("https://klasma.github.io/Logging_0581/klagomål/A 42447-2020 FSC-klagomål.docx", "A 42447-2020")</f>
        <v/>
      </c>
      <c r="W24">
        <f>HYPERLINK("https://klasma.github.io/Logging_0581/klagomålsmail/A 42447-2020 FSC-klagomål mail.docx", "A 42447-2020")</f>
        <v/>
      </c>
      <c r="X24">
        <f>HYPERLINK("https://klasma.github.io/Logging_0581/tillsyn/A 42447-2020 tillsynsbegäran.docx", "A 42447-2020")</f>
        <v/>
      </c>
      <c r="Y24">
        <f>HYPERLINK("https://klasma.github.io/Logging_0581/tillsynsmail/A 42447-2020 tillsynsbegäran mail.docx", "A 42447-2020")</f>
        <v/>
      </c>
    </row>
    <row r="25" ht="15" customHeight="1">
      <c r="A25" t="inlineStr">
        <is>
          <t>A 74267-2021</t>
        </is>
      </c>
      <c r="B25" s="1" t="n">
        <v>44558</v>
      </c>
      <c r="C25" s="1" t="n">
        <v>45809</v>
      </c>
      <c r="D25" t="inlineStr">
        <is>
          <t>ÖSTERGÖTLANDS LÄN</t>
        </is>
      </c>
      <c r="E25" t="inlineStr">
        <is>
          <t>NORRKÖPING</t>
        </is>
      </c>
      <c r="G25" t="n">
        <v>3.1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Ullticka
Blodticka
Bronshjon
Mindre märgborre
Blåsippa</t>
        </is>
      </c>
      <c r="S25">
        <f>HYPERLINK("https://klasma.github.io/Logging_0581/artfynd/A 74267-2021 artfynd.xlsx", "A 74267-2021")</f>
        <v/>
      </c>
      <c r="T25">
        <f>HYPERLINK("https://klasma.github.io/Logging_0581/kartor/A 74267-2021 karta.png", "A 74267-2021")</f>
        <v/>
      </c>
      <c r="V25">
        <f>HYPERLINK("https://klasma.github.io/Logging_0581/klagomål/A 74267-2021 FSC-klagomål.docx", "A 74267-2021")</f>
        <v/>
      </c>
      <c r="W25">
        <f>HYPERLINK("https://klasma.github.io/Logging_0581/klagomålsmail/A 74267-2021 FSC-klagomål mail.docx", "A 74267-2021")</f>
        <v/>
      </c>
      <c r="X25">
        <f>HYPERLINK("https://klasma.github.io/Logging_0581/tillsyn/A 74267-2021 tillsynsbegäran.docx", "A 74267-2021")</f>
        <v/>
      </c>
      <c r="Y25">
        <f>HYPERLINK("https://klasma.github.io/Logging_0581/tillsynsmail/A 74267-2021 tillsynsbegäran mail.docx", "A 74267-2021")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45809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18266-2024</t>
        </is>
      </c>
      <c r="B27" s="1" t="n">
        <v>45421</v>
      </c>
      <c r="C27" s="1" t="n">
        <v>45809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1.7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Gropticka
Kolflarnlav
Mörk kolflarnlav
Ullticka
Mindre märgborre</t>
        </is>
      </c>
      <c r="S27">
        <f>HYPERLINK("https://klasma.github.io/Logging_0581/artfynd/A 18266-2024 artfynd.xlsx", "A 18266-2024")</f>
        <v/>
      </c>
      <c r="T27">
        <f>HYPERLINK("https://klasma.github.io/Logging_0581/kartor/A 18266-2024 karta.png", "A 18266-2024")</f>
        <v/>
      </c>
      <c r="V27">
        <f>HYPERLINK("https://klasma.github.io/Logging_0581/klagomål/A 18266-2024 FSC-klagomål.docx", "A 18266-2024")</f>
        <v/>
      </c>
      <c r="W27">
        <f>HYPERLINK("https://klasma.github.io/Logging_0581/klagomålsmail/A 18266-2024 FSC-klagomål mail.docx", "A 18266-2024")</f>
        <v/>
      </c>
      <c r="X27">
        <f>HYPERLINK("https://klasma.github.io/Logging_0581/tillsyn/A 18266-2024 tillsynsbegäran.docx", "A 18266-2024")</f>
        <v/>
      </c>
      <c r="Y27">
        <f>HYPERLINK("https://klasma.github.io/Logging_0581/tillsynsmail/A 18266-2024 tillsynsbegäran mail.docx", "A 18266-2024")</f>
        <v/>
      </c>
    </row>
    <row r="28" ht="15" customHeight="1">
      <c r="A28" t="inlineStr">
        <is>
          <t>A 11109-2025</t>
        </is>
      </c>
      <c r="B28" s="1" t="n">
        <v>45723</v>
      </c>
      <c r="C28" s="1" t="n">
        <v>45809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8.5</v>
      </c>
      <c r="H28" t="n">
        <v>1</v>
      </c>
      <c r="I28" t="n">
        <v>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Vedskivlav
Blåmossa
Hasselticka
Scharlakansvårskål agg.</t>
        </is>
      </c>
      <c r="S28">
        <f>HYPERLINK("https://klasma.github.io/Logging_050581/artfynd/A 11109-2025 artfynd.xlsx", "A 11109-2025")</f>
        <v/>
      </c>
      <c r="T28">
        <f>HYPERLINK("https://klasma.github.io/Logging_050581/kartor/A 11109-2025 karta.png", "A 11109-2025")</f>
        <v/>
      </c>
      <c r="U28">
        <f>HYPERLINK("https://klasma.github.io/Logging_050581/knärot/A 11109-2025 karta knärot.png", "A 11109-2025")</f>
        <v/>
      </c>
      <c r="V28">
        <f>HYPERLINK("https://klasma.github.io/Logging_050581/klagomål/A 11109-2025 FSC-klagomål.docx", "A 11109-2025")</f>
        <v/>
      </c>
      <c r="W28">
        <f>HYPERLINK("https://klasma.github.io/Logging_050581/klagomålsmail/A 11109-2025 FSC-klagomål mail.docx", "A 11109-2025")</f>
        <v/>
      </c>
      <c r="X28">
        <f>HYPERLINK("https://klasma.github.io/Logging_050581/tillsyn/A 11109-2025 tillsynsbegäran.docx", "A 11109-2025")</f>
        <v/>
      </c>
      <c r="Y28">
        <f>HYPERLINK("https://klasma.github.io/Logging_050581/tillsynsmail/A 11109-2025 tillsynsbegäran mail.docx", "A 11109-2025")</f>
        <v/>
      </c>
    </row>
    <row r="29" ht="15" customHeight="1">
      <c r="A29" t="inlineStr">
        <is>
          <t>A 14619-2025</t>
        </is>
      </c>
      <c r="B29" s="1" t="n">
        <v>45742</v>
      </c>
      <c r="C29" s="1" t="n">
        <v>45809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2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Vedtrappmossa
Grönpyrola
Stubbspretmossa
Mattlummer</t>
        </is>
      </c>
      <c r="S29">
        <f>HYPERLINK("https://klasma.github.io/Logging_050581/artfynd/A 14619-2025 artfynd.xlsx", "A 14619-2025")</f>
        <v/>
      </c>
      <c r="T29">
        <f>HYPERLINK("https://klasma.github.io/Logging_050581/kartor/A 14619-2025 karta.png", "A 14619-2025")</f>
        <v/>
      </c>
      <c r="U29">
        <f>HYPERLINK("https://klasma.github.io/Logging_050581/knärot/A 14619-2025 karta knärot.png", "A 14619-2025")</f>
        <v/>
      </c>
      <c r="V29">
        <f>HYPERLINK("https://klasma.github.io/Logging_050581/klagomål/A 14619-2025 FSC-klagomål.docx", "A 14619-2025")</f>
        <v/>
      </c>
      <c r="W29">
        <f>HYPERLINK("https://klasma.github.io/Logging_050581/klagomålsmail/A 14619-2025 FSC-klagomål mail.docx", "A 14619-2025")</f>
        <v/>
      </c>
      <c r="X29">
        <f>HYPERLINK("https://klasma.github.io/Logging_050581/tillsyn/A 14619-2025 tillsynsbegäran.docx", "A 14619-2025")</f>
        <v/>
      </c>
      <c r="Y29">
        <f>HYPERLINK("https://klasma.github.io/Logging_050581/tillsynsmail/A 14619-2025 tillsynsbegäran mail.docx", "A 14619-2025")</f>
        <v/>
      </c>
    </row>
    <row r="30" ht="15" customHeight="1">
      <c r="A30" t="inlineStr">
        <is>
          <t>A 21683-2025</t>
        </is>
      </c>
      <c r="B30" s="1" t="n">
        <v>45783</v>
      </c>
      <c r="C30" s="1" t="n">
        <v>45809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Dvärgbägarlav
Kolflarnlav
Orange taggsvamp
Svart taggsvamp
Ullticka</t>
        </is>
      </c>
      <c r="S30">
        <f>HYPERLINK("https://klasma.github.io/Logging_050581/artfynd/A 21683-2025 artfynd.xlsx", "A 21683-2025")</f>
        <v/>
      </c>
      <c r="T30">
        <f>HYPERLINK("https://klasma.github.io/Logging_050581/kartor/A 21683-2025 karta.png", "A 21683-2025")</f>
        <v/>
      </c>
      <c r="V30">
        <f>HYPERLINK("https://klasma.github.io/Logging_050581/klagomål/A 21683-2025 FSC-klagomål.docx", "A 21683-2025")</f>
        <v/>
      </c>
      <c r="W30">
        <f>HYPERLINK("https://klasma.github.io/Logging_050581/klagomålsmail/A 21683-2025 FSC-klagomål mail.docx", "A 21683-2025")</f>
        <v/>
      </c>
      <c r="X30">
        <f>HYPERLINK("https://klasma.github.io/Logging_050581/tillsyn/A 21683-2025 tillsynsbegäran.docx", "A 21683-2025")</f>
        <v/>
      </c>
      <c r="Y30">
        <f>HYPERLINK("https://klasma.github.io/Logging_050581/tillsynsmail/A 21683-2025 tillsynsbegäran mail.docx", "A 21683-2025")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45809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45809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45809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45809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45809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45809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45809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45809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45809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45809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45809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45809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45809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45809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45809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45809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45809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45809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45809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45809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45809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45809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45809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45809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45809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45809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45809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45809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45809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45809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45809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45809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45809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45809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45809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45809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45809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45809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45809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45809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45809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45809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45809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45809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45809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45809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45809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45809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45809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45809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45809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45809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45809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45809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45809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45809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45809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45809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45809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45809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45809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45809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45809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45809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45809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45809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45809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45809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45809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45809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45809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45809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45809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45809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45809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45809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45809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45809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45809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45809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45809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45809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45809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45809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45809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45809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45809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45809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45809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45809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45809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45809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45809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45809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45809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45809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45809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45809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45809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45809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45809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45809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45809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45809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45809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45809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45809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45809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45809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45809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45809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45809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45809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45809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45809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45809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45809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45809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45809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45809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45809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45809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45809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45809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45809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45809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45809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45809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45809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45809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45809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45809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45809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45809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45809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45809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45809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45809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45809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45809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45809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45809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45809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45809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45809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45809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45809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45809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45809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45809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45809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45809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45809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45809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45809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45809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45809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45809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45809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45809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45809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45809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45809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45809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45809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45809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45809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45809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45809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45809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45809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45809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45809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45809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45809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45809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45809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45809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45809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45809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45809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45809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45809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45809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45809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45809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45809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45809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45809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45809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45809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45809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45809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45809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45809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45809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45809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45809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45809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45809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45809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45809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45809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45809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45809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45809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45809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45809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45809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45809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45809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45809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45809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45809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45809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45809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45809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45809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45809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45809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45809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45809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45809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45809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45809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45809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45809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45809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45809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45809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45809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45809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45809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45809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45809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45809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45809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45809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45809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45809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45809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45809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45809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45809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45809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45809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45809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45809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45809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45809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45809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45809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45809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45809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45809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45809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45809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45809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45809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45809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45809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45809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45809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45809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45809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45809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45809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45809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45809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45809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45809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45809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45809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45809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45809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45809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45809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45809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45809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45809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45809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45809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45809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45809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45809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45809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45809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45809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45809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45809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45809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45809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45809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45809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45809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45809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45809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45809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45809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45809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45809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45809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45809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45809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45809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45809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45809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45809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45809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45809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45809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45809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45809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45809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45809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45809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45809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45809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45809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45809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45809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45809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45809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45809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45809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45809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45809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45809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45809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45809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45809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45809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45809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45809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45809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45809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45809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45809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45809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45809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45809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45809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45809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45809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45809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45809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45809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45809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45809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45809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45809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45809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45809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45809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45809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45809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45809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45809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45809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45809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45809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45809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45809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45809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45809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45809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45809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45809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45809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45809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45809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45809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45809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45809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45809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45809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45809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45809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45809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45809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45809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45809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45809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45809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45809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45809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45809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45809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45809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45809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45809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45809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45809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45809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45809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45809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45809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45809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45809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45809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45809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45809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45809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45809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45809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45809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45809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45809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45809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45809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45809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45809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45809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45809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45809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45809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45809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45809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45809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45809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45809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45809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45809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45809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45809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45809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45809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45809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45809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45809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45809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45809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45809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45809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45809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45809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45809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45809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45809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45809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45809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45809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45809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45809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45809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45809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45809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45809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45809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45809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45809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45809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45809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45809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45809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45809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45809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45809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45809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45809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45809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45809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45809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45809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45809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45809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45809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45809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45809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45809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45809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45809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45809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45809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45809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45809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45809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45809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45809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45809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45809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45809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45809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45809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45809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45809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45809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45809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45809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45809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45809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45809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45809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45809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45809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45809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45809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45809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45809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45809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45809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45809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45809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45809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45809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45809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45809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45809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45809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45809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45809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45809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45809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45809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45809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45809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45809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45809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45809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45809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45809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45809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45809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45809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45809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45809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45809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45809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45809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45809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45809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45809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45809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45809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45809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45809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45809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45809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45809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45809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45809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45809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45809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45809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45809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45809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45809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45809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45809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45809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45809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45809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45809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45809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45809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45809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45809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45809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45809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45809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45809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45809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45809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45809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45809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45809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45809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45809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45809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45809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45809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45809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45809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45809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45809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45809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45809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45809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45809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45809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45809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45809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45809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45809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45809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45809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45809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45809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45809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45809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45809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45809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45809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45809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45809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45809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45809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45809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45809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45809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45809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45809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45809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45809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45809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45809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45809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45809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45809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45809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45809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45809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45809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45809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45809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45809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45809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45809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45809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45809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45809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45809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45809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45809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45809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45809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45809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45809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45809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45809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45809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45809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45809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45809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45809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45809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45809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45809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45809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45809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45809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45809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45809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45809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45809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45809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45809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45809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45809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45809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45809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45809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45809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45809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45809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45809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45809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45809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45809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45809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45809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45809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45809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45809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45809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45809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45809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45809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45809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45809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45809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45809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45809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45809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45809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45809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45809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45809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45809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45809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45809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45809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45809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45809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45809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45809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45809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45809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45809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45809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45809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45809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45809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45809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45809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45809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45809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45809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45809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45809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45809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45809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45809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45809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45809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45809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45809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45809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45809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45809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45809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45809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45809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45809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45809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45809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45809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45809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45809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45809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45809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45809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45809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45809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45809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45809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45809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45809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45809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45809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45809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45809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45809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45809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45809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45809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45809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45809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45809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45809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45809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45809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45809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45809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45809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45809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45809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45809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45809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45809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45809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45809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45809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45809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45809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45809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45809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45809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45809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45809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45809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45809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45809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45809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45809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45809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45809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45809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45809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45809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45809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45809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45809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45809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45809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45809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45809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45809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45809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45809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45809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45809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45809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45809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45809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45809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45809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45809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45809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45809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45809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45809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45809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45809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45809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45809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45809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45809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45809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45809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45809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45809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45809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45809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45809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45809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45809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45809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45809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45809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45809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45809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45809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45809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45809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45809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45809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45809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45809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45809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45809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45809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45809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45809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45809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45809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45809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45809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45809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45809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45809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45809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45809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45809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45809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45809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45809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45809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45809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45809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45809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45809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45809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45809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45809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45809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45809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45809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45809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45809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45809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45809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45809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45809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45809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45809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45809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45809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45809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45809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45809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45809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45809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45809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45809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45809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45809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45809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45809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45809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45809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45809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45809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45809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45809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45809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45809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45809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45809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45809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45809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45809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45809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45809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45809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45809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45809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45809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45809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45809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45809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45809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45809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45809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45809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45809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45809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45809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45809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45809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45809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45809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45809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45809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45809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45809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45809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45809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45809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45809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45809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45809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45809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45809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45809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45809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45809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45809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45809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45809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45809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45809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45809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45809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45809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45809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45809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45809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45809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45809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45809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45809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45809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45809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45809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45809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45809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45809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45809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45809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45809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45809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45809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45809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45809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45809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45809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45809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45809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45809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45809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45809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45809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45809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45809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45809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45809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45809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45809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45809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45809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45809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45809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45809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45809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45809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45809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45809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45809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45809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45809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45809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45809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45809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45809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45809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45809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45809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45809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45809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45809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45809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45809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45809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45809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45809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45809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45809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45809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45809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45809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45809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45809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45809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45809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45809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45809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45809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45809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45809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45809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45809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45809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45809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45809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45809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45809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45809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45809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45809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45809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45809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45809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45809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45809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45809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45809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45809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45809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45809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45809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45809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45809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45809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45809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45809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45809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45809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45809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45809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45809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45809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45809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45809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45809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45809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45809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45809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45809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45809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45809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45809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45809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45809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45809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45809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45809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45809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45809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45809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45809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45809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45809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45809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45809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45809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45809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45809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45809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45809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45809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45809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45809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45809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45809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45809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45809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45809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45809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45809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45809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45809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45809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45809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45809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45809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45809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45809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45809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45809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45809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45809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45809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45809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45809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45809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45809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45809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45809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45809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45809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45809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45809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45809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45809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45809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45809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45809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45809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45809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45809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45809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45809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45809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45809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45809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45809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45809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45809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45809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45809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45809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45809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45809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45809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45809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45809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45809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45809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45809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45809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45809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45809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45809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45809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45809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45809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45809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45809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45809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45809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45809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45809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45809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45809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45809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45809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45809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45809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45809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45809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45809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45809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45809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45809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45809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45809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45809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45809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45809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45809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45809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45809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45809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45809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45809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45809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45809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45809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45809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45809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45809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45809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45809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45809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45809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45809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45809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45809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45809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45809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45809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45809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45809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45809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45809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45809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45809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45809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45809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45809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45809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45809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45809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45809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45809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45809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45809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45809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45809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45809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45809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45809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45809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45809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45809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45809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45809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45809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45809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45809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45809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45809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45809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45809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45809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45809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45809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45809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45809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45809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45809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45809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45809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45809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45809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45809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45809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45809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45809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45809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45809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45809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45809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45809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45809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45809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45809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45809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45809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45809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45809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45809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45809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45809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45809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45809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45809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45809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45809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45809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45809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45809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45809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45809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45809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45809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45809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45809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45809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45809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45809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45809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45809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45809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45809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45809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45809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45809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45809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45809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45809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45809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45809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45809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45809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45809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45809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45809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45809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45809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45809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45809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45809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45809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45809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45809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45809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45809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45809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45809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45809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45809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45809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45809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45809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45809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45809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45809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45809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45809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45809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45809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45809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45809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45809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45809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45809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45809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45809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45809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45809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45809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45809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45809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45809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45809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45809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45809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45809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45809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45809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45809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45809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45809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45809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45809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45809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45809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45809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45809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45809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45809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45809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45809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45809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45809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45809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45809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45809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45809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45809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45809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45809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45809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45809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45809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45809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45809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45809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45809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45809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45809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45809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45809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45809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45809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45809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45809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45809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45809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45809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45809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45809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45809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45809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45809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45809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45809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45809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45809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45809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45809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45809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45809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45809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45809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45809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45809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45809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45809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45809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45809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45809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45809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45809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45809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45809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45809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45809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45809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45809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45809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45809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45809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45809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45809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45809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45809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45809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45809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45809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45809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45809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45809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45809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45809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45809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45809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45809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45809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45809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45809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45809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45809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45809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45809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45809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45809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45809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45809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45809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45809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45809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45809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45809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45809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45809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45809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45809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45809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45809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45809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45809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45809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45809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45809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45809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45809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45809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45809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45809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45809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45809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45809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45809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45809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45809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45809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45809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45809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45809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45809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45809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45809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45809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45809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45809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45809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45809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45809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45809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45809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45809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45809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45809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45809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45809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45809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45809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45809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45809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45809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45809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45809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45809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45809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45809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45809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45809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45809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45809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45809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45809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45809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45809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45809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45809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45809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45809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45809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45809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45809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45809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45809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45809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45809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45809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45809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45809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45809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45809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45809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45809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45809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45809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45809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45809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45809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45809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45809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45809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45809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45809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45809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45809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45809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45809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45809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45809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45809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45809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45809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45809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45809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45809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45809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45809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45809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45809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45809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45809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45809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45809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45809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45809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45809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45809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45809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45809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45809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45809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45809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45809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45809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45809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45809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45809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45809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45809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45809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45809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45809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45809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45809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45809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45809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45809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45809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45809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45809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45809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45809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45809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45809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45809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45809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45809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45809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45809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45809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45809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45809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45809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45809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45809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45809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45809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45809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45809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45809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45809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45809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45809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45809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45809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45809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45809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45809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45809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45809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45809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45809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45809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21770-2025</t>
        </is>
      </c>
      <c r="B1615" s="1" t="n">
        <v>45783</v>
      </c>
      <c r="C1615" s="1" t="n">
        <v>45809</v>
      </c>
      <c r="D1615" t="inlineStr">
        <is>
          <t>ÖSTERGÖTLANDS LÄN</t>
        </is>
      </c>
      <c r="E1615" t="inlineStr">
        <is>
          <t>NORRKÖPING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21799-2025</t>
        </is>
      </c>
      <c r="B1616" s="1" t="n">
        <v>45783</v>
      </c>
      <c r="C1616" s="1" t="n">
        <v>45809</v>
      </c>
      <c r="D1616" t="inlineStr">
        <is>
          <t>ÖSTERGÖTLANDS LÄN</t>
        </is>
      </c>
      <c r="E1616" t="inlineStr">
        <is>
          <t>NORRKÖPING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21677-2025</t>
        </is>
      </c>
      <c r="B1617" s="1" t="n">
        <v>45783</v>
      </c>
      <c r="C1617" s="1" t="n">
        <v>45809</v>
      </c>
      <c r="D1617" t="inlineStr">
        <is>
          <t>ÖSTERGÖTLANDS LÄN</t>
        </is>
      </c>
      <c r="E1617" t="inlineStr">
        <is>
          <t>NORRKÖPING</t>
        </is>
      </c>
      <c r="F1617" t="inlineStr">
        <is>
          <t>Holmen skog AB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21967-2025</t>
        </is>
      </c>
      <c r="B1618" s="1" t="n">
        <v>45784</v>
      </c>
      <c r="C1618" s="1" t="n">
        <v>45809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21909-2025</t>
        </is>
      </c>
      <c r="B1619" s="1" t="n">
        <v>45784</v>
      </c>
      <c r="C1619" s="1" t="n">
        <v>45809</v>
      </c>
      <c r="D1619" t="inlineStr">
        <is>
          <t>ÖSTERGÖTLANDS LÄN</t>
        </is>
      </c>
      <c r="E1619" t="inlineStr">
        <is>
          <t>NORRKÖPING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22307-2025</t>
        </is>
      </c>
      <c r="B1620" s="1" t="n">
        <v>45786</v>
      </c>
      <c r="C1620" s="1" t="n">
        <v>45809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22439-2025</t>
        </is>
      </c>
      <c r="B1621" s="1" t="n">
        <v>45786</v>
      </c>
      <c r="C1621" s="1" t="n">
        <v>45809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Naturvårdsverket</t>
        </is>
      </c>
      <c r="G1621" t="n">
        <v>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45809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45809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23456-2025</t>
        </is>
      </c>
      <c r="B1624" s="1" t="n">
        <v>45792</v>
      </c>
      <c r="C1624" s="1" t="n">
        <v>45809</v>
      </c>
      <c r="D1624" t="inlineStr">
        <is>
          <t>ÖSTERGÖTLANDS LÄN</t>
        </is>
      </c>
      <c r="E1624" t="inlineStr">
        <is>
          <t>NORRKÖPING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23452-2025</t>
        </is>
      </c>
      <c r="B1625" s="1" t="n">
        <v>45792</v>
      </c>
      <c r="C1625" s="1" t="n">
        <v>45809</v>
      </c>
      <c r="D1625" t="inlineStr">
        <is>
          <t>ÖSTERGÖTLANDS LÄN</t>
        </is>
      </c>
      <c r="E1625" t="inlineStr">
        <is>
          <t>NORRKÖPING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23912-2025</t>
        </is>
      </c>
      <c r="B1626" s="1" t="n">
        <v>45794</v>
      </c>
      <c r="C1626" s="1" t="n">
        <v>45809</v>
      </c>
      <c r="D1626" t="inlineStr">
        <is>
          <t>ÖSTERGÖTLANDS LÄN</t>
        </is>
      </c>
      <c r="E1626" t="inlineStr">
        <is>
          <t>NORRKÖPING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23907-2025</t>
        </is>
      </c>
      <c r="B1627" s="1" t="n">
        <v>45794</v>
      </c>
      <c r="C1627" s="1" t="n">
        <v>45809</v>
      </c>
      <c r="D1627" t="inlineStr">
        <is>
          <t>ÖSTERGÖTLANDS LÄN</t>
        </is>
      </c>
      <c r="E1627" t="inlineStr">
        <is>
          <t>NORRKÖPING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23908-2025</t>
        </is>
      </c>
      <c r="B1628" s="1" t="n">
        <v>45794</v>
      </c>
      <c r="C1628" s="1" t="n">
        <v>45809</v>
      </c>
      <c r="D1628" t="inlineStr">
        <is>
          <t>ÖSTERGÖTLANDS LÄN</t>
        </is>
      </c>
      <c r="E1628" t="inlineStr">
        <is>
          <t>NORRKÖPING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23909-2025</t>
        </is>
      </c>
      <c r="B1629" s="1" t="n">
        <v>45794</v>
      </c>
      <c r="C1629" s="1" t="n">
        <v>45809</v>
      </c>
      <c r="D1629" t="inlineStr">
        <is>
          <t>ÖSTERGÖTLANDS LÄN</t>
        </is>
      </c>
      <c r="E1629" t="inlineStr">
        <is>
          <t>NORRKÖPING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23910-2025</t>
        </is>
      </c>
      <c r="B1630" s="1" t="n">
        <v>45794</v>
      </c>
      <c r="C1630" s="1" t="n">
        <v>45809</v>
      </c>
      <c r="D1630" t="inlineStr">
        <is>
          <t>ÖSTERGÖTLANDS LÄN</t>
        </is>
      </c>
      <c r="E1630" t="inlineStr">
        <is>
          <t>NORRKÖPING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23911-2025</t>
        </is>
      </c>
      <c r="B1631" s="1" t="n">
        <v>45794</v>
      </c>
      <c r="C1631" s="1" t="n">
        <v>45809</v>
      </c>
      <c r="D1631" t="inlineStr">
        <is>
          <t>ÖSTERGÖTLANDS LÄN</t>
        </is>
      </c>
      <c r="E1631" t="inlineStr">
        <is>
          <t>NORRKÖPING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23941-2025</t>
        </is>
      </c>
      <c r="B1632" s="1" t="n">
        <v>45796</v>
      </c>
      <c r="C1632" s="1" t="n">
        <v>45809</v>
      </c>
      <c r="D1632" t="inlineStr">
        <is>
          <t>ÖSTERGÖTLANDS LÄN</t>
        </is>
      </c>
      <c r="E1632" t="inlineStr">
        <is>
          <t>NORRKÖPING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23946-2025</t>
        </is>
      </c>
      <c r="B1633" s="1" t="n">
        <v>45796</v>
      </c>
      <c r="C1633" s="1" t="n">
        <v>45809</v>
      </c>
      <c r="D1633" t="inlineStr">
        <is>
          <t>ÖSTERGÖTLANDS LÄN</t>
        </is>
      </c>
      <c r="E1633" t="inlineStr">
        <is>
          <t>NORRKÖPING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24049-2025</t>
        </is>
      </c>
      <c r="B1634" s="1" t="n">
        <v>45796</v>
      </c>
      <c r="C1634" s="1" t="n">
        <v>45809</v>
      </c>
      <c r="D1634" t="inlineStr">
        <is>
          <t>ÖSTERGÖTLANDS LÄN</t>
        </is>
      </c>
      <c r="E1634" t="inlineStr">
        <is>
          <t>NORRKÖPING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23954-2025</t>
        </is>
      </c>
      <c r="B1635" s="1" t="n">
        <v>45796</v>
      </c>
      <c r="C1635" s="1" t="n">
        <v>45809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Holmen skog AB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24018-2025</t>
        </is>
      </c>
      <c r="B1636" s="1" t="n">
        <v>45796</v>
      </c>
      <c r="C1636" s="1" t="n">
        <v>45809</v>
      </c>
      <c r="D1636" t="inlineStr">
        <is>
          <t>ÖSTERGÖTLANDS LÄN</t>
        </is>
      </c>
      <c r="E1636" t="inlineStr">
        <is>
          <t>NORRKÖPING</t>
        </is>
      </c>
      <c r="F1636" t="inlineStr">
        <is>
          <t>Holmen skog AB</t>
        </is>
      </c>
      <c r="G1636" t="n">
        <v>8.6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24246-2025</t>
        </is>
      </c>
      <c r="B1637" s="1" t="n">
        <v>45797</v>
      </c>
      <c r="C1637" s="1" t="n">
        <v>45809</v>
      </c>
      <c r="D1637" t="inlineStr">
        <is>
          <t>ÖSTERGÖTLANDS LÄN</t>
        </is>
      </c>
      <c r="E1637" t="inlineStr">
        <is>
          <t>NORRKÖPING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24233-2025</t>
        </is>
      </c>
      <c r="B1638" s="1" t="n">
        <v>45797</v>
      </c>
      <c r="C1638" s="1" t="n">
        <v>45809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24629-2025</t>
        </is>
      </c>
      <c r="B1639" s="1" t="n">
        <v>45798</v>
      </c>
      <c r="C1639" s="1" t="n">
        <v>45809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24684-2025</t>
        </is>
      </c>
      <c r="B1640" s="1" t="n">
        <v>45798</v>
      </c>
      <c r="C1640" s="1" t="n">
        <v>45809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24634-2025</t>
        </is>
      </c>
      <c r="B1641" s="1" t="n">
        <v>45798</v>
      </c>
      <c r="C1641" s="1" t="n">
        <v>45809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24555-2025</t>
        </is>
      </c>
      <c r="B1642" s="1" t="n">
        <v>45798</v>
      </c>
      <c r="C1642" s="1" t="n">
        <v>45809</v>
      </c>
      <c r="D1642" t="inlineStr">
        <is>
          <t>ÖSTERGÖTLANDS LÄN</t>
        </is>
      </c>
      <c r="E1642" t="inlineStr">
        <is>
          <t>NORRKÖPING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25546-2025</t>
        </is>
      </c>
      <c r="B1643" s="1" t="n">
        <v>45803</v>
      </c>
      <c r="C1643" s="1" t="n">
        <v>45809</v>
      </c>
      <c r="D1643" t="inlineStr">
        <is>
          <t>ÖSTERGÖTLANDS LÄN</t>
        </is>
      </c>
      <c r="E1643" t="inlineStr">
        <is>
          <t>NORRKÖPING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25547-2025</t>
        </is>
      </c>
      <c r="B1644" s="1" t="n">
        <v>45803</v>
      </c>
      <c r="C1644" s="1" t="n">
        <v>45809</v>
      </c>
      <c r="D1644" t="inlineStr">
        <is>
          <t>ÖSTERGÖTLANDS LÄN</t>
        </is>
      </c>
      <c r="E1644" t="inlineStr">
        <is>
          <t>NORRKÖPING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25949-2025</t>
        </is>
      </c>
      <c r="B1645" s="1" t="n">
        <v>45804</v>
      </c>
      <c r="C1645" s="1" t="n">
        <v>45809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>
      <c r="A1646" t="inlineStr">
        <is>
          <t>A 26494-2025</t>
        </is>
      </c>
      <c r="B1646" s="1" t="n">
        <v>45807</v>
      </c>
      <c r="C1646" s="1" t="n">
        <v>45809</v>
      </c>
      <c r="D1646" t="inlineStr">
        <is>
          <t>ÖSTERGÖTLANDS LÄN</t>
        </is>
      </c>
      <c r="E1646" t="inlineStr">
        <is>
          <t>NORRKÖPING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2025-06-01T11:56:45Z</dcterms:created>
  <dcterms:modified xmlns:dcterms="http://purl.org/dc/terms/" xmlns:xsi="http://www.w3.org/2001/XMLSchema-instance" xsi:type="dcterms:W3CDTF">2025-06-01T11:56:47Z</dcterms:modified>
</cp:coreProperties>
</file>