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45758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45758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45758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45758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45758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45758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45758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45758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45758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45758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45758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45758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45758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45758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45758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45758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45758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45758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45758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45758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45758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45758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45758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45758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45758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45758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45758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45758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45758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45758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45758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45758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45758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45758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45758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45758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45758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45758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45758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45758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45758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45758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45758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45758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45758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45758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45758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45758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45758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45758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45758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45758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45758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45758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45758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45758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45758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45758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45758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45758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45758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45758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45758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45758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45758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45758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11142-2025</t>
        </is>
      </c>
      <c r="B133" s="1" t="n">
        <v>45723</v>
      </c>
      <c r="C133" s="1" t="n">
        <v>45758</v>
      </c>
      <c r="D133" t="inlineStr">
        <is>
          <t>ÖSTERGÖTLANDS LÄN</t>
        </is>
      </c>
      <c r="E133" t="inlineStr">
        <is>
          <t>NORRKÖPING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Slåtterfibbla</t>
        </is>
      </c>
      <c r="S133">
        <f>HYPERLINK("https://klasma.github.io/Logging_050581/artfynd/A 11142-2025 artfynd.xlsx", "A 11142-2025")</f>
        <v/>
      </c>
      <c r="T133">
        <f>HYPERLINK("https://klasma.github.io/Logging_050581/kartor/A 11142-2025 karta.png", "A 11142-2025")</f>
        <v/>
      </c>
      <c r="V133">
        <f>HYPERLINK("https://klasma.github.io/Logging_050581/klagomål/A 11142-2025 FSC-klagomål.docx", "A 11142-2025")</f>
        <v/>
      </c>
      <c r="W133">
        <f>HYPERLINK("https://klasma.github.io/Logging_050581/klagomålsmail/A 11142-2025 FSC-klagomål mail.docx", "A 11142-2025")</f>
        <v/>
      </c>
      <c r="X133">
        <f>HYPERLINK("https://klasma.github.io/Logging_050581/tillsyn/A 11142-2025 tillsynsbegäran.docx", "A 11142-2025")</f>
        <v/>
      </c>
      <c r="Y133">
        <f>HYPERLINK("https://klasma.github.io/Logging_050581/tillsynsmail/A 11142-2025 tillsynsbegäran mail.docx", "A 11142-2025")</f>
        <v/>
      </c>
    </row>
    <row r="134" ht="15" customHeight="1">
      <c r="A134" t="inlineStr">
        <is>
          <t>A 11077-2025</t>
        </is>
      </c>
      <c r="B134" s="1" t="n">
        <v>45723</v>
      </c>
      <c r="C134" s="1" t="n">
        <v>45758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HYPERLINK("https://klasma.github.io/Logging_050581/artfynd/A 11077-2025 artfynd.xlsx", "A 11077-2025")</f>
        <v/>
      </c>
      <c r="T134">
        <f>HYPERLINK("https://klasma.github.io/Logging_050581/kartor/A 11077-2025 karta.png", "A 11077-2025")</f>
        <v/>
      </c>
      <c r="U134">
        <f>HYPERLINK("https://klasma.github.io/Logging_050581/knärot/A 11077-2025 karta knärot.png", "A 11077-2025")</f>
        <v/>
      </c>
      <c r="V134">
        <f>HYPERLINK("https://klasma.github.io/Logging_050581/klagomål/A 11077-2025 FSC-klagomål.docx", "A 11077-2025")</f>
        <v/>
      </c>
      <c r="W134">
        <f>HYPERLINK("https://klasma.github.io/Logging_050581/klagomålsmail/A 11077-2025 FSC-klagomål mail.docx", "A 11077-2025")</f>
        <v/>
      </c>
      <c r="X134">
        <f>HYPERLINK("https://klasma.github.io/Logging_050581/tillsyn/A 11077-2025 tillsynsbegäran.docx", "A 11077-2025")</f>
        <v/>
      </c>
      <c r="Y134">
        <f>HYPERLINK("https://klasma.github.io/Logging_050581/tillsynsmail/A 11077-2025 tillsynsbegäran mail.docx", "A 11077-2025")</f>
        <v/>
      </c>
    </row>
    <row r="135" ht="15" customHeight="1">
      <c r="A135" t="inlineStr">
        <is>
          <t>A 14636-2025</t>
        </is>
      </c>
      <c r="B135" s="1" t="n">
        <v>45742</v>
      </c>
      <c r="C135" s="1" t="n">
        <v>45758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HYPERLINK("https://klasma.github.io/Logging_050581/artfynd/A 14636-2025 artfynd.xlsx", "A 14636-2025")</f>
        <v/>
      </c>
      <c r="T135">
        <f>HYPERLINK("https://klasma.github.io/Logging_050581/kartor/A 14636-2025 karta.png", "A 14636-2025")</f>
        <v/>
      </c>
      <c r="V135">
        <f>HYPERLINK("https://klasma.github.io/Logging_050581/klagomål/A 14636-2025 FSC-klagomål.docx", "A 14636-2025")</f>
        <v/>
      </c>
      <c r="W135">
        <f>HYPERLINK("https://klasma.github.io/Logging_050581/klagomålsmail/A 14636-2025 FSC-klagomål mail.docx", "A 14636-2025")</f>
        <v/>
      </c>
      <c r="X135">
        <f>HYPERLINK("https://klasma.github.io/Logging_050581/tillsyn/A 14636-2025 tillsynsbegäran.docx", "A 14636-2025")</f>
        <v/>
      </c>
      <c r="Y135">
        <f>HYPERLINK("https://klasma.github.io/Logging_050581/tillsynsmail/A 14636-2025 tillsynsbegäran mail.docx", "A 14636-2025")</f>
        <v/>
      </c>
      <c r="Z135">
        <f>HYPERLINK("https://klasma.github.io/Logging_050581/fåglar/A 14636-2025 prioriterade fågelarter.docx", "A 14636-2025")</f>
        <v/>
      </c>
    </row>
    <row r="136" ht="15" customHeight="1">
      <c r="A136" t="inlineStr">
        <is>
          <t>A 18315-2019</t>
        </is>
      </c>
      <c r="B136" s="1" t="n">
        <v>43558</v>
      </c>
      <c r="C136" s="1" t="n">
        <v>45758</v>
      </c>
      <c r="D136" t="inlineStr">
        <is>
          <t>ÖSTERGÖTLANDS LÄN</t>
        </is>
      </c>
      <c r="E136" t="inlineStr">
        <is>
          <t>NORRKÖPING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18343-2019</t>
        </is>
      </c>
      <c r="B137" s="1" t="n">
        <v>43558</v>
      </c>
      <c r="C137" s="1" t="n">
        <v>45758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18369-2019</t>
        </is>
      </c>
      <c r="B138" s="1" t="n">
        <v>43558</v>
      </c>
      <c r="C138" s="1" t="n">
        <v>45758</v>
      </c>
      <c r="D138" t="inlineStr">
        <is>
          <t>ÖSTERGÖTLANDS LÄN</t>
        </is>
      </c>
      <c r="E138" t="inlineStr">
        <is>
          <t>NORRKÖPING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18970-2019</t>
        </is>
      </c>
      <c r="B139" s="1" t="n">
        <v>43563</v>
      </c>
      <c r="C139" s="1" t="n">
        <v>45758</v>
      </c>
      <c r="D139" t="inlineStr">
        <is>
          <t>ÖSTERGÖTLANDS LÄN</t>
        </is>
      </c>
      <c r="E139" t="inlineStr">
        <is>
          <t>NORRKÖPING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19139-2019</t>
        </is>
      </c>
      <c r="B140" s="1" t="n">
        <v>43564</v>
      </c>
      <c r="C140" s="1" t="n">
        <v>45758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19888-2019</t>
        </is>
      </c>
      <c r="B141" s="1" t="n">
        <v>43567</v>
      </c>
      <c r="C141" s="1" t="n">
        <v>45758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22133-2019</t>
        </is>
      </c>
      <c r="B142" s="1" t="n">
        <v>43584</v>
      </c>
      <c r="C142" s="1" t="n">
        <v>45758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22699-2019</t>
        </is>
      </c>
      <c r="B143" s="1" t="n">
        <v>43588</v>
      </c>
      <c r="C143" s="1" t="n">
        <v>45758</v>
      </c>
      <c r="D143" t="inlineStr">
        <is>
          <t>ÖSTERGÖTLANDS LÄN</t>
        </is>
      </c>
      <c r="E143" t="inlineStr">
        <is>
          <t>NORRKÖPING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22704-2019</t>
        </is>
      </c>
      <c r="B144" s="1" t="n">
        <v>43588</v>
      </c>
      <c r="C144" s="1" t="n">
        <v>45758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23027-2019</t>
        </is>
      </c>
      <c r="B145" s="1" t="n">
        <v>43591</v>
      </c>
      <c r="C145" s="1" t="n">
        <v>45758</v>
      </c>
      <c r="D145" t="inlineStr">
        <is>
          <t>ÖSTERGÖTLANDS LÄN</t>
        </is>
      </c>
      <c r="E145" t="inlineStr">
        <is>
          <t>NORRKÖPING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24056-2019</t>
        </is>
      </c>
      <c r="B146" s="1" t="n">
        <v>43598</v>
      </c>
      <c r="C146" s="1" t="n">
        <v>45758</v>
      </c>
      <c r="D146" t="inlineStr">
        <is>
          <t>ÖSTERGÖTLANDS LÄN</t>
        </is>
      </c>
      <c r="E146" t="inlineStr">
        <is>
          <t>NORRKÖPING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24854-2019</t>
        </is>
      </c>
      <c r="B147" s="1" t="n">
        <v>43602</v>
      </c>
      <c r="C147" s="1" t="n">
        <v>45758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25567-2019</t>
        </is>
      </c>
      <c r="B148" s="1" t="n">
        <v>43607</v>
      </c>
      <c r="C148" s="1" t="n">
        <v>45758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25815-2019</t>
        </is>
      </c>
      <c r="B149" s="1" t="n">
        <v>43608</v>
      </c>
      <c r="C149" s="1" t="n">
        <v>45758</v>
      </c>
      <c r="D149" t="inlineStr">
        <is>
          <t>ÖSTERGÖTLANDS LÄN</t>
        </is>
      </c>
      <c r="E149" t="inlineStr">
        <is>
          <t>NORRKÖPING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26283-2019</t>
        </is>
      </c>
      <c r="B150" s="1" t="n">
        <v>43611</v>
      </c>
      <c r="C150" s="1" t="n">
        <v>45758</v>
      </c>
      <c r="D150" t="inlineStr">
        <is>
          <t>ÖSTERGÖTLANDS LÄN</t>
        </is>
      </c>
      <c r="E150" t="inlineStr">
        <is>
          <t>NORRKÖPING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29181-2019</t>
        </is>
      </c>
      <c r="B151" s="1" t="n">
        <v>43628</v>
      </c>
      <c r="C151" s="1" t="n">
        <v>45758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29673-2019</t>
        </is>
      </c>
      <c r="B152" s="1" t="n">
        <v>43630</v>
      </c>
      <c r="C152" s="1" t="n">
        <v>45758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30998-2019</t>
        </is>
      </c>
      <c r="B153" s="1" t="n">
        <v>43640</v>
      </c>
      <c r="C153" s="1" t="n">
        <v>45758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32292-2019</t>
        </is>
      </c>
      <c r="B154" s="1" t="n">
        <v>43644</v>
      </c>
      <c r="C154" s="1" t="n">
        <v>45758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34300-2019</t>
        </is>
      </c>
      <c r="B155" s="1" t="n">
        <v>43655</v>
      </c>
      <c r="C155" s="1" t="n">
        <v>45758</v>
      </c>
      <c r="D155" t="inlineStr">
        <is>
          <t>ÖSTERGÖTLANDS LÄN</t>
        </is>
      </c>
      <c r="E155" t="inlineStr">
        <is>
          <t>NORRKÖPING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36319-2019</t>
        </is>
      </c>
      <c r="B156" s="1" t="n">
        <v>43661</v>
      </c>
      <c r="C156" s="1" t="n">
        <v>45758</v>
      </c>
      <c r="D156" t="inlineStr">
        <is>
          <t>ÖSTERGÖTLANDS LÄN</t>
        </is>
      </c>
      <c r="E156" t="inlineStr">
        <is>
          <t>NORRKÖPING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36869-2019</t>
        </is>
      </c>
      <c r="B157" s="1" t="n">
        <v>43675</v>
      </c>
      <c r="C157" s="1" t="n">
        <v>45758</v>
      </c>
      <c r="D157" t="inlineStr">
        <is>
          <t>ÖSTERGÖTLANDS LÄN</t>
        </is>
      </c>
      <c r="E157" t="inlineStr">
        <is>
          <t>NORRKÖPING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38361-2019</t>
        </is>
      </c>
      <c r="B158" s="1" t="n">
        <v>43685</v>
      </c>
      <c r="C158" s="1" t="n">
        <v>45758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39413-2019</t>
        </is>
      </c>
      <c r="B159" s="1" t="n">
        <v>43691</v>
      </c>
      <c r="C159" s="1" t="n">
        <v>45758</v>
      </c>
      <c r="D159" t="inlineStr">
        <is>
          <t>ÖSTERGÖTLANDS LÄN</t>
        </is>
      </c>
      <c r="E159" t="inlineStr">
        <is>
          <t>NORRKÖPING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39437-2019</t>
        </is>
      </c>
      <c r="B160" s="1" t="n">
        <v>43691</v>
      </c>
      <c r="C160" s="1" t="n">
        <v>45758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39640-2019</t>
        </is>
      </c>
      <c r="B161" s="1" t="n">
        <v>43691</v>
      </c>
      <c r="C161" s="1" t="n">
        <v>45758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40375-2019</t>
        </is>
      </c>
      <c r="B162" s="1" t="n">
        <v>43696</v>
      </c>
      <c r="C162" s="1" t="n">
        <v>45758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40928-2019</t>
        </is>
      </c>
      <c r="B163" s="1" t="n">
        <v>43697</v>
      </c>
      <c r="C163" s="1" t="n">
        <v>45758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40889-2019</t>
        </is>
      </c>
      <c r="B164" s="1" t="n">
        <v>43697</v>
      </c>
      <c r="C164" s="1" t="n">
        <v>45758</v>
      </c>
      <c r="D164" t="inlineStr">
        <is>
          <t>ÖSTERGÖTLANDS LÄN</t>
        </is>
      </c>
      <c r="E164" t="inlineStr">
        <is>
          <t>NORRKÖPING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40908-2019</t>
        </is>
      </c>
      <c r="B165" s="1" t="n">
        <v>43697</v>
      </c>
      <c r="C165" s="1" t="n">
        <v>45758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41800-2019</t>
        </is>
      </c>
      <c r="B166" s="1" t="n">
        <v>43700</v>
      </c>
      <c r="C166" s="1" t="n">
        <v>45758</v>
      </c>
      <c r="D166" t="inlineStr">
        <is>
          <t>ÖSTERGÖTLANDS LÄN</t>
        </is>
      </c>
      <c r="E166" t="inlineStr">
        <is>
          <t>NORRKÖPING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43114-2019</t>
        </is>
      </c>
      <c r="B167" s="1" t="n">
        <v>43705</v>
      </c>
      <c r="C167" s="1" t="n">
        <v>45758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42901-2019</t>
        </is>
      </c>
      <c r="B168" s="1" t="n">
        <v>43705</v>
      </c>
      <c r="C168" s="1" t="n">
        <v>45758</v>
      </c>
      <c r="D168" t="inlineStr">
        <is>
          <t>ÖSTERGÖTLANDS LÄN</t>
        </is>
      </c>
      <c r="E168" t="inlineStr">
        <is>
          <t>NORRKÖPING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43813-2019</t>
        </is>
      </c>
      <c r="B169" s="1" t="n">
        <v>43707</v>
      </c>
      <c r="C169" s="1" t="n">
        <v>45758</v>
      </c>
      <c r="D169" t="inlineStr">
        <is>
          <t>ÖSTERGÖTLANDS LÄN</t>
        </is>
      </c>
      <c r="E169" t="inlineStr">
        <is>
          <t>NORRKÖPING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43918-2019</t>
        </is>
      </c>
      <c r="B170" s="1" t="n">
        <v>43707</v>
      </c>
      <c r="C170" s="1" t="n">
        <v>45758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46123-2019</t>
        </is>
      </c>
      <c r="B171" s="1" t="n">
        <v>43713</v>
      </c>
      <c r="C171" s="1" t="n">
        <v>45758</v>
      </c>
      <c r="D171" t="inlineStr">
        <is>
          <t>ÖSTERGÖTLANDS LÄN</t>
        </is>
      </c>
      <c r="E171" t="inlineStr">
        <is>
          <t>NORRKÖPING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46595-2019</t>
        </is>
      </c>
      <c r="B172" s="1" t="n">
        <v>43719</v>
      </c>
      <c r="C172" s="1" t="n">
        <v>45758</v>
      </c>
      <c r="D172" t="inlineStr">
        <is>
          <t>ÖSTERGÖTLANDS LÄN</t>
        </is>
      </c>
      <c r="E172" t="inlineStr">
        <is>
          <t>NORRKÖPING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46757-2019</t>
        </is>
      </c>
      <c r="B173" s="1" t="n">
        <v>43720</v>
      </c>
      <c r="C173" s="1" t="n">
        <v>45758</v>
      </c>
      <c r="D173" t="inlineStr">
        <is>
          <t>ÖSTERGÖTLANDS LÄN</t>
        </is>
      </c>
      <c r="E173" t="inlineStr">
        <is>
          <t>NORRKÖPING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47024-2019</t>
        </is>
      </c>
      <c r="B174" s="1" t="n">
        <v>43720</v>
      </c>
      <c r="C174" s="1" t="n">
        <v>45758</v>
      </c>
      <c r="D174" t="inlineStr">
        <is>
          <t>ÖSTERGÖTLANDS LÄN</t>
        </is>
      </c>
      <c r="E174" t="inlineStr">
        <is>
          <t>NORRKÖPING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47555-2019</t>
        </is>
      </c>
      <c r="B175" s="1" t="n">
        <v>43724</v>
      </c>
      <c r="C175" s="1" t="n">
        <v>45758</v>
      </c>
      <c r="D175" t="inlineStr">
        <is>
          <t>ÖSTERGÖTLANDS LÄN</t>
        </is>
      </c>
      <c r="E175" t="inlineStr">
        <is>
          <t>NORRKÖPING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47726-2019</t>
        </is>
      </c>
      <c r="B176" s="1" t="n">
        <v>43724</v>
      </c>
      <c r="C176" s="1" t="n">
        <v>45758</v>
      </c>
      <c r="D176" t="inlineStr">
        <is>
          <t>ÖSTERGÖTLANDS LÄN</t>
        </is>
      </c>
      <c r="E176" t="inlineStr">
        <is>
          <t>NORRKÖPING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51924-2019</t>
        </is>
      </c>
      <c r="B177" s="1" t="n">
        <v>43741</v>
      </c>
      <c r="C177" s="1" t="n">
        <v>45758</v>
      </c>
      <c r="D177" t="inlineStr">
        <is>
          <t>ÖSTERGÖTLANDS LÄN</t>
        </is>
      </c>
      <c r="E177" t="inlineStr">
        <is>
          <t>NORRKÖPING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52468-2019</t>
        </is>
      </c>
      <c r="B178" s="1" t="n">
        <v>43745</v>
      </c>
      <c r="C178" s="1" t="n">
        <v>45758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54265-2019</t>
        </is>
      </c>
      <c r="B179" s="1" t="n">
        <v>43745</v>
      </c>
      <c r="C179" s="1" t="n">
        <v>45758</v>
      </c>
      <c r="D179" t="inlineStr">
        <is>
          <t>ÖSTERGÖTLANDS LÄN</t>
        </is>
      </c>
      <c r="E179" t="inlineStr">
        <is>
          <t>NORRKÖPING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53675-2019</t>
        </is>
      </c>
      <c r="B180" s="1" t="n">
        <v>43749</v>
      </c>
      <c r="C180" s="1" t="n">
        <v>45758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53869-2019</t>
        </is>
      </c>
      <c r="B181" s="1" t="n">
        <v>43752</v>
      </c>
      <c r="C181" s="1" t="n">
        <v>45758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53871-2019</t>
        </is>
      </c>
      <c r="B182" s="1" t="n">
        <v>43752</v>
      </c>
      <c r="C182" s="1" t="n">
        <v>45758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54287-2019</t>
        </is>
      </c>
      <c r="B183" s="1" t="n">
        <v>43753</v>
      </c>
      <c r="C183" s="1" t="n">
        <v>45758</v>
      </c>
      <c r="D183" t="inlineStr">
        <is>
          <t>ÖSTERGÖTLANDS LÄN</t>
        </is>
      </c>
      <c r="E183" t="inlineStr">
        <is>
          <t>NORRKÖPING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54420-2019</t>
        </is>
      </c>
      <c r="B184" s="1" t="n">
        <v>43754</v>
      </c>
      <c r="C184" s="1" t="n">
        <v>45758</v>
      </c>
      <c r="D184" t="inlineStr">
        <is>
          <t>ÖSTERGÖTLANDS LÄN</t>
        </is>
      </c>
      <c r="E184" t="inlineStr">
        <is>
          <t>NORRKÖPING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55086-2019</t>
        </is>
      </c>
      <c r="B185" s="1" t="n">
        <v>43756</v>
      </c>
      <c r="C185" s="1" t="n">
        <v>45758</v>
      </c>
      <c r="D185" t="inlineStr">
        <is>
          <t>ÖSTERGÖTLANDS LÄN</t>
        </is>
      </c>
      <c r="E185" t="inlineStr">
        <is>
          <t>NORRKÖPING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55339-2019</t>
        </is>
      </c>
      <c r="B186" s="1" t="n">
        <v>43756</v>
      </c>
      <c r="C186" s="1" t="n">
        <v>45758</v>
      </c>
      <c r="D186" t="inlineStr">
        <is>
          <t>ÖSTERGÖTLANDS LÄN</t>
        </is>
      </c>
      <c r="E186" t="inlineStr">
        <is>
          <t>NORRKÖPING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55097-2019</t>
        </is>
      </c>
      <c r="B187" s="1" t="n">
        <v>43756</v>
      </c>
      <c r="C187" s="1" t="n">
        <v>45758</v>
      </c>
      <c r="D187" t="inlineStr">
        <is>
          <t>ÖSTERGÖTLANDS LÄN</t>
        </is>
      </c>
      <c r="E187" t="inlineStr">
        <is>
          <t>NORRKÖPING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55547-2019</t>
        </is>
      </c>
      <c r="B188" s="1" t="n">
        <v>43757</v>
      </c>
      <c r="C188" s="1" t="n">
        <v>45758</v>
      </c>
      <c r="D188" t="inlineStr">
        <is>
          <t>ÖSTERGÖTLANDS LÄN</t>
        </is>
      </c>
      <c r="E188" t="inlineStr">
        <is>
          <t>NORRKÖPING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55511-2019</t>
        </is>
      </c>
      <c r="B189" s="1" t="n">
        <v>43759</v>
      </c>
      <c r="C189" s="1" t="n">
        <v>45758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57000-2019</t>
        </is>
      </c>
      <c r="B190" s="1" t="n">
        <v>43766</v>
      </c>
      <c r="C190" s="1" t="n">
        <v>45758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56995-2019</t>
        </is>
      </c>
      <c r="B191" s="1" t="n">
        <v>43766</v>
      </c>
      <c r="C191" s="1" t="n">
        <v>45758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57263-2019</t>
        </is>
      </c>
      <c r="B192" s="1" t="n">
        <v>43767</v>
      </c>
      <c r="C192" s="1" t="n">
        <v>45758</v>
      </c>
      <c r="D192" t="inlineStr">
        <is>
          <t>ÖSTERGÖTLANDS LÄN</t>
        </is>
      </c>
      <c r="E192" t="inlineStr">
        <is>
          <t>NORRKÖPING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57496-2019</t>
        </is>
      </c>
      <c r="B193" s="1" t="n">
        <v>43767</v>
      </c>
      <c r="C193" s="1" t="n">
        <v>45758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59720-2019</t>
        </is>
      </c>
      <c r="B194" s="1" t="n">
        <v>43776</v>
      </c>
      <c r="C194" s="1" t="n">
        <v>45758</v>
      </c>
      <c r="D194" t="inlineStr">
        <is>
          <t>ÖSTERGÖTLANDS LÄN</t>
        </is>
      </c>
      <c r="E194" t="inlineStr">
        <is>
          <t>NORRKÖPING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59939-2019</t>
        </is>
      </c>
      <c r="B195" s="1" t="n">
        <v>43777</v>
      </c>
      <c r="C195" s="1" t="n">
        <v>45758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60610-2019</t>
        </is>
      </c>
      <c r="B196" s="1" t="n">
        <v>43781</v>
      </c>
      <c r="C196" s="1" t="n">
        <v>45758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60984-2019</t>
        </is>
      </c>
      <c r="B197" s="1" t="n">
        <v>43782</v>
      </c>
      <c r="C197" s="1" t="n">
        <v>45758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60987-2019</t>
        </is>
      </c>
      <c r="B198" s="1" t="n">
        <v>43782</v>
      </c>
      <c r="C198" s="1" t="n">
        <v>45758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61913-2019</t>
        </is>
      </c>
      <c r="B199" s="1" t="n">
        <v>43787</v>
      </c>
      <c r="C199" s="1" t="n">
        <v>45758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63984-2019</t>
        </is>
      </c>
      <c r="B200" s="1" t="n">
        <v>43796</v>
      </c>
      <c r="C200" s="1" t="n">
        <v>45758</v>
      </c>
      <c r="D200" t="inlineStr">
        <is>
          <t>ÖSTERGÖTLANDS LÄN</t>
        </is>
      </c>
      <c r="E200" t="inlineStr">
        <is>
          <t>NORRKÖPING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64360-2019</t>
        </is>
      </c>
      <c r="B201" s="1" t="n">
        <v>43797</v>
      </c>
      <c r="C201" s="1" t="n">
        <v>45758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64731-2019</t>
        </is>
      </c>
      <c r="B202" s="1" t="n">
        <v>43800</v>
      </c>
      <c r="C202" s="1" t="n">
        <v>45758</v>
      </c>
      <c r="D202" t="inlineStr">
        <is>
          <t>ÖSTERGÖTLANDS LÄN</t>
        </is>
      </c>
      <c r="E202" t="inlineStr">
        <is>
          <t>NORRKÖPING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64734-2019</t>
        </is>
      </c>
      <c r="B203" s="1" t="n">
        <v>43800</v>
      </c>
      <c r="C203" s="1" t="n">
        <v>45758</v>
      </c>
      <c r="D203" t="inlineStr">
        <is>
          <t>ÖSTERGÖTLANDS LÄN</t>
        </is>
      </c>
      <c r="E203" t="inlineStr">
        <is>
          <t>NORRKÖPING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64815-2019</t>
        </is>
      </c>
      <c r="B204" s="1" t="n">
        <v>43801</v>
      </c>
      <c r="C204" s="1" t="n">
        <v>45758</v>
      </c>
      <c r="D204" t="inlineStr">
        <is>
          <t>ÖSTERGÖTLANDS LÄN</t>
        </is>
      </c>
      <c r="E204" t="inlineStr">
        <is>
          <t>NORRKÖPING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66996-2019</t>
        </is>
      </c>
      <c r="B205" s="1" t="n">
        <v>43805</v>
      </c>
      <c r="C205" s="1" t="n">
        <v>45758</v>
      </c>
      <c r="D205" t="inlineStr">
        <is>
          <t>ÖSTERGÖTLANDS LÄN</t>
        </is>
      </c>
      <c r="E205" t="inlineStr">
        <is>
          <t>NORRKÖPING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66245-2019</t>
        </is>
      </c>
      <c r="B206" s="1" t="n">
        <v>43808</v>
      </c>
      <c r="C206" s="1" t="n">
        <v>45758</v>
      </c>
      <c r="D206" t="inlineStr">
        <is>
          <t>ÖSTERGÖTLANDS LÄN</t>
        </is>
      </c>
      <c r="E206" t="inlineStr">
        <is>
          <t>NORRKÖPING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68428-2019</t>
        </is>
      </c>
      <c r="B207" s="1" t="n">
        <v>43809</v>
      </c>
      <c r="C207" s="1" t="n">
        <v>45758</v>
      </c>
      <c r="D207" t="inlineStr">
        <is>
          <t>ÖSTERGÖTLANDS LÄN</t>
        </is>
      </c>
      <c r="E207" t="inlineStr">
        <is>
          <t>NORRKÖPING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67090-2019</t>
        </is>
      </c>
      <c r="B208" s="1" t="n">
        <v>43811</v>
      </c>
      <c r="C208" s="1" t="n">
        <v>45758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67452-2019</t>
        </is>
      </c>
      <c r="B209" s="1" t="n">
        <v>43812</v>
      </c>
      <c r="C209" s="1" t="n">
        <v>45758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67451-2019</t>
        </is>
      </c>
      <c r="B210" s="1" t="n">
        <v>43812</v>
      </c>
      <c r="C210" s="1" t="n">
        <v>45758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68465-2019</t>
        </is>
      </c>
      <c r="B211" s="1" t="n">
        <v>43818</v>
      </c>
      <c r="C211" s="1" t="n">
        <v>45758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69105-2019</t>
        </is>
      </c>
      <c r="B212" s="1" t="n">
        <v>43826</v>
      </c>
      <c r="C212" s="1" t="n">
        <v>45758</v>
      </c>
      <c r="D212" t="inlineStr">
        <is>
          <t>ÖSTERGÖTLANDS LÄN</t>
        </is>
      </c>
      <c r="E212" t="inlineStr">
        <is>
          <t>NORRKÖPING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69103-2019</t>
        </is>
      </c>
      <c r="B213" s="1" t="n">
        <v>43826</v>
      </c>
      <c r="C213" s="1" t="n">
        <v>45758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4207-2020</t>
        </is>
      </c>
      <c r="B214" s="1" t="n">
        <v>43857</v>
      </c>
      <c r="C214" s="1" t="n">
        <v>45758</v>
      </c>
      <c r="D214" t="inlineStr">
        <is>
          <t>ÖSTERGÖTLANDS LÄN</t>
        </is>
      </c>
      <c r="E214" t="inlineStr">
        <is>
          <t>NORRKÖPING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4247-2020</t>
        </is>
      </c>
      <c r="B215" s="1" t="n">
        <v>43857</v>
      </c>
      <c r="C215" s="1" t="n">
        <v>45758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4199-2020</t>
        </is>
      </c>
      <c r="B216" s="1" t="n">
        <v>43857</v>
      </c>
      <c r="C216" s="1" t="n">
        <v>45758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4195-2020</t>
        </is>
      </c>
      <c r="B217" s="1" t="n">
        <v>43857</v>
      </c>
      <c r="C217" s="1" t="n">
        <v>45758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4250-2020</t>
        </is>
      </c>
      <c r="B218" s="1" t="n">
        <v>43857</v>
      </c>
      <c r="C218" s="1" t="n">
        <v>45758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4248-2020</t>
        </is>
      </c>
      <c r="B219" s="1" t="n">
        <v>43857</v>
      </c>
      <c r="C219" s="1" t="n">
        <v>45758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5294-2020</t>
        </is>
      </c>
      <c r="B220" s="1" t="n">
        <v>43860</v>
      </c>
      <c r="C220" s="1" t="n">
        <v>45758</v>
      </c>
      <c r="D220" t="inlineStr">
        <is>
          <t>ÖSTERGÖTLANDS LÄN</t>
        </is>
      </c>
      <c r="E220" t="inlineStr">
        <is>
          <t>NORRKÖPING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5412-2020</t>
        </is>
      </c>
      <c r="B221" s="1" t="n">
        <v>43860</v>
      </c>
      <c r="C221" s="1" t="n">
        <v>45758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5305-2020</t>
        </is>
      </c>
      <c r="B222" s="1" t="n">
        <v>43860</v>
      </c>
      <c r="C222" s="1" t="n">
        <v>45758</v>
      </c>
      <c r="D222" t="inlineStr">
        <is>
          <t>ÖSTERGÖTLANDS LÄN</t>
        </is>
      </c>
      <c r="E222" t="inlineStr">
        <is>
          <t>NORRKÖPING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6000-2020</t>
        </is>
      </c>
      <c r="B223" s="1" t="n">
        <v>43864</v>
      </c>
      <c r="C223" s="1" t="n">
        <v>45758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6414-2020</t>
        </is>
      </c>
      <c r="B224" s="1" t="n">
        <v>43866</v>
      </c>
      <c r="C224" s="1" t="n">
        <v>45758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6338-2020</t>
        </is>
      </c>
      <c r="B225" s="1" t="n">
        <v>43866</v>
      </c>
      <c r="C225" s="1" t="n">
        <v>45758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6900-2020</t>
        </is>
      </c>
      <c r="B226" s="1" t="n">
        <v>43868</v>
      </c>
      <c r="C226" s="1" t="n">
        <v>45758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6951-2020</t>
        </is>
      </c>
      <c r="B227" s="1" t="n">
        <v>43868</v>
      </c>
      <c r="C227" s="1" t="n">
        <v>45758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8499-2020</t>
        </is>
      </c>
      <c r="B228" s="1" t="n">
        <v>43875</v>
      </c>
      <c r="C228" s="1" t="n">
        <v>45758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9143-2020</t>
        </is>
      </c>
      <c r="B229" s="1" t="n">
        <v>43879</v>
      </c>
      <c r="C229" s="1" t="n">
        <v>45758</v>
      </c>
      <c r="D229" t="inlineStr">
        <is>
          <t>ÖSTERGÖTLANDS LÄN</t>
        </is>
      </c>
      <c r="E229" t="inlineStr">
        <is>
          <t>NORRKÖPING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9374-2020</t>
        </is>
      </c>
      <c r="B230" s="1" t="n">
        <v>43880</v>
      </c>
      <c r="C230" s="1" t="n">
        <v>45758</v>
      </c>
      <c r="D230" t="inlineStr">
        <is>
          <t>ÖSTERGÖTLANDS LÄN</t>
        </is>
      </c>
      <c r="E230" t="inlineStr">
        <is>
          <t>NORRKÖPING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10274-2020</t>
        </is>
      </c>
      <c r="B231" s="1" t="n">
        <v>43885</v>
      </c>
      <c r="C231" s="1" t="n">
        <v>45758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10329-2020</t>
        </is>
      </c>
      <c r="B232" s="1" t="n">
        <v>43885</v>
      </c>
      <c r="C232" s="1" t="n">
        <v>45758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10355-2020</t>
        </is>
      </c>
      <c r="B233" s="1" t="n">
        <v>43885</v>
      </c>
      <c r="C233" s="1" t="n">
        <v>45758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10936-2020</t>
        </is>
      </c>
      <c r="B234" s="1" t="n">
        <v>43888</v>
      </c>
      <c r="C234" s="1" t="n">
        <v>45758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11644-2020</t>
        </is>
      </c>
      <c r="B235" s="1" t="n">
        <v>43893</v>
      </c>
      <c r="C235" s="1" t="n">
        <v>45758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11714-2020</t>
        </is>
      </c>
      <c r="B236" s="1" t="n">
        <v>43894</v>
      </c>
      <c r="C236" s="1" t="n">
        <v>45758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13697-2020</t>
        </is>
      </c>
      <c r="B237" s="1" t="n">
        <v>43895</v>
      </c>
      <c r="C237" s="1" t="n">
        <v>45758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14631-2020</t>
        </is>
      </c>
      <c r="B238" s="1" t="n">
        <v>43901</v>
      </c>
      <c r="C238" s="1" t="n">
        <v>45758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13450-2020</t>
        </is>
      </c>
      <c r="B239" s="1" t="n">
        <v>43902</v>
      </c>
      <c r="C239" s="1" t="n">
        <v>45758</v>
      </c>
      <c r="D239" t="inlineStr">
        <is>
          <t>ÖSTERGÖTLANDS LÄN</t>
        </is>
      </c>
      <c r="E239" t="inlineStr">
        <is>
          <t>NORRKÖPING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14493-2020</t>
        </is>
      </c>
      <c r="B240" s="1" t="n">
        <v>43908</v>
      </c>
      <c r="C240" s="1" t="n">
        <v>45758</v>
      </c>
      <c r="D240" t="inlineStr">
        <is>
          <t>ÖSTERGÖTLANDS LÄN</t>
        </is>
      </c>
      <c r="E240" t="inlineStr">
        <is>
          <t>NORRKÖPING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14942-2020</t>
        </is>
      </c>
      <c r="B241" s="1" t="n">
        <v>43910</v>
      </c>
      <c r="C241" s="1" t="n">
        <v>45758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17251-2020</t>
        </is>
      </c>
      <c r="B242" s="1" t="n">
        <v>43915</v>
      </c>
      <c r="C242" s="1" t="n">
        <v>45758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16015-2020</t>
        </is>
      </c>
      <c r="B243" s="1" t="n">
        <v>43916</v>
      </c>
      <c r="C243" s="1" t="n">
        <v>45758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16462-2020</t>
        </is>
      </c>
      <c r="B244" s="1" t="n">
        <v>43920</v>
      </c>
      <c r="C244" s="1" t="n">
        <v>45758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16463-2020</t>
        </is>
      </c>
      <c r="B245" s="1" t="n">
        <v>43920</v>
      </c>
      <c r="C245" s="1" t="n">
        <v>45758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16465-2020</t>
        </is>
      </c>
      <c r="B246" s="1" t="n">
        <v>43920</v>
      </c>
      <c r="C246" s="1" t="n">
        <v>45758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24468-2020</t>
        </is>
      </c>
      <c r="B247" s="1" t="n">
        <v>43976</v>
      </c>
      <c r="C247" s="1" t="n">
        <v>45758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24905-2020</t>
        </is>
      </c>
      <c r="B248" s="1" t="n">
        <v>43979</v>
      </c>
      <c r="C248" s="1" t="n">
        <v>45758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25521-2020</t>
        </is>
      </c>
      <c r="B249" s="1" t="n">
        <v>43983</v>
      </c>
      <c r="C249" s="1" t="n">
        <v>45758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25685-2020</t>
        </is>
      </c>
      <c r="B250" s="1" t="n">
        <v>43984</v>
      </c>
      <c r="C250" s="1" t="n">
        <v>45758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27170-2020</t>
        </is>
      </c>
      <c r="B251" s="1" t="n">
        <v>43991</v>
      </c>
      <c r="C251" s="1" t="n">
        <v>45758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27088-2020</t>
        </is>
      </c>
      <c r="B252" s="1" t="n">
        <v>43991</v>
      </c>
      <c r="C252" s="1" t="n">
        <v>45758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27160-2020</t>
        </is>
      </c>
      <c r="B253" s="1" t="n">
        <v>43991</v>
      </c>
      <c r="C253" s="1" t="n">
        <v>45758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27446-2020</t>
        </is>
      </c>
      <c r="B254" s="1" t="n">
        <v>43993</v>
      </c>
      <c r="C254" s="1" t="n">
        <v>45758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27542-2020</t>
        </is>
      </c>
      <c r="B255" s="1" t="n">
        <v>43993</v>
      </c>
      <c r="C255" s="1" t="n">
        <v>45758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27649-2020</t>
        </is>
      </c>
      <c r="B256" s="1" t="n">
        <v>43993</v>
      </c>
      <c r="C256" s="1" t="n">
        <v>45758</v>
      </c>
      <c r="D256" t="inlineStr">
        <is>
          <t>ÖSTERGÖTLANDS LÄN</t>
        </is>
      </c>
      <c r="E256" t="inlineStr">
        <is>
          <t>NORRKÖPING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27779-2020</t>
        </is>
      </c>
      <c r="B257" s="1" t="n">
        <v>43994</v>
      </c>
      <c r="C257" s="1" t="n">
        <v>45758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27851-2020</t>
        </is>
      </c>
      <c r="B258" s="1" t="n">
        <v>43994</v>
      </c>
      <c r="C258" s="1" t="n">
        <v>45758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27871-2020</t>
        </is>
      </c>
      <c r="B259" s="1" t="n">
        <v>43994</v>
      </c>
      <c r="C259" s="1" t="n">
        <v>45758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28044-2020</t>
        </is>
      </c>
      <c r="B260" s="1" t="n">
        <v>43997</v>
      </c>
      <c r="C260" s="1" t="n">
        <v>45758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28364-2020</t>
        </is>
      </c>
      <c r="B261" s="1" t="n">
        <v>43998</v>
      </c>
      <c r="C261" s="1" t="n">
        <v>45758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28677-2020</t>
        </is>
      </c>
      <c r="B262" s="1" t="n">
        <v>43999</v>
      </c>
      <c r="C262" s="1" t="n">
        <v>45758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30057-2020</t>
        </is>
      </c>
      <c r="B263" s="1" t="n">
        <v>44006</v>
      </c>
      <c r="C263" s="1" t="n">
        <v>45758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30034-2020</t>
        </is>
      </c>
      <c r="B264" s="1" t="n">
        <v>44006</v>
      </c>
      <c r="C264" s="1" t="n">
        <v>45758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30042-2020</t>
        </is>
      </c>
      <c r="B265" s="1" t="n">
        <v>44006</v>
      </c>
      <c r="C265" s="1" t="n">
        <v>45758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30045-2020</t>
        </is>
      </c>
      <c r="B266" s="1" t="n">
        <v>44006</v>
      </c>
      <c r="C266" s="1" t="n">
        <v>45758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30055-2020</t>
        </is>
      </c>
      <c r="B267" s="1" t="n">
        <v>44006</v>
      </c>
      <c r="C267" s="1" t="n">
        <v>45758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30040-2020</t>
        </is>
      </c>
      <c r="B268" s="1" t="n">
        <v>44006</v>
      </c>
      <c r="C268" s="1" t="n">
        <v>45758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30036-2020</t>
        </is>
      </c>
      <c r="B269" s="1" t="n">
        <v>44006</v>
      </c>
      <c r="C269" s="1" t="n">
        <v>45758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30647-2020</t>
        </is>
      </c>
      <c r="B270" s="1" t="n">
        <v>44008</v>
      </c>
      <c r="C270" s="1" t="n">
        <v>45758</v>
      </c>
      <c r="D270" t="inlineStr">
        <is>
          <t>ÖSTERGÖTLANDS LÄN</t>
        </is>
      </c>
      <c r="E270" t="inlineStr">
        <is>
          <t>NORRKÖPING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30615-2020</t>
        </is>
      </c>
      <c r="B271" s="1" t="n">
        <v>44008</v>
      </c>
      <c r="C271" s="1" t="n">
        <v>45758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30643-2020</t>
        </is>
      </c>
      <c r="B272" s="1" t="n">
        <v>44008</v>
      </c>
      <c r="C272" s="1" t="n">
        <v>45758</v>
      </c>
      <c r="D272" t="inlineStr">
        <is>
          <t>ÖSTERGÖTLANDS LÄN</t>
        </is>
      </c>
      <c r="E272" t="inlineStr">
        <is>
          <t>NORRKÖPING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30717-2020</t>
        </is>
      </c>
      <c r="B273" s="1" t="n">
        <v>44008</v>
      </c>
      <c r="C273" s="1" t="n">
        <v>45758</v>
      </c>
      <c r="D273" t="inlineStr">
        <is>
          <t>ÖSTERGÖTLANDS LÄN</t>
        </is>
      </c>
      <c r="E273" t="inlineStr">
        <is>
          <t>NORRKÖPING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31047-2020</t>
        </is>
      </c>
      <c r="B274" s="1" t="n">
        <v>44011</v>
      </c>
      <c r="C274" s="1" t="n">
        <v>45758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31046-2020</t>
        </is>
      </c>
      <c r="B275" s="1" t="n">
        <v>44011</v>
      </c>
      <c r="C275" s="1" t="n">
        <v>45758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31461-2020</t>
        </is>
      </c>
      <c r="B276" s="1" t="n">
        <v>44012</v>
      </c>
      <c r="C276" s="1" t="n">
        <v>45758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31954-2020</t>
        </is>
      </c>
      <c r="B277" s="1" t="n">
        <v>44014</v>
      </c>
      <c r="C277" s="1" t="n">
        <v>45758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32102-2020</t>
        </is>
      </c>
      <c r="B278" s="1" t="n">
        <v>44015</v>
      </c>
      <c r="C278" s="1" t="n">
        <v>45758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32545-2020</t>
        </is>
      </c>
      <c r="B279" s="1" t="n">
        <v>44018</v>
      </c>
      <c r="C279" s="1" t="n">
        <v>45758</v>
      </c>
      <c r="D279" t="inlineStr">
        <is>
          <t>ÖSTERGÖTLANDS LÄN</t>
        </is>
      </c>
      <c r="E279" t="inlineStr">
        <is>
          <t>NORRKÖPING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32637-2020</t>
        </is>
      </c>
      <c r="B280" s="1" t="n">
        <v>44018</v>
      </c>
      <c r="C280" s="1" t="n">
        <v>45758</v>
      </c>
      <c r="D280" t="inlineStr">
        <is>
          <t>ÖSTERGÖTLANDS LÄN</t>
        </is>
      </c>
      <c r="E280" t="inlineStr">
        <is>
          <t>NORRKÖPING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32641-2020</t>
        </is>
      </c>
      <c r="B281" s="1" t="n">
        <v>44018</v>
      </c>
      <c r="C281" s="1" t="n">
        <v>45758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32555-2020</t>
        </is>
      </c>
      <c r="B282" s="1" t="n">
        <v>44018</v>
      </c>
      <c r="C282" s="1" t="n">
        <v>45758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32642-2020</t>
        </is>
      </c>
      <c r="B283" s="1" t="n">
        <v>44018</v>
      </c>
      <c r="C283" s="1" t="n">
        <v>45758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33857-2020</t>
        </is>
      </c>
      <c r="B284" s="1" t="n">
        <v>44027</v>
      </c>
      <c r="C284" s="1" t="n">
        <v>45758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34250-2020</t>
        </is>
      </c>
      <c r="B285" s="1" t="n">
        <v>44029</v>
      </c>
      <c r="C285" s="1" t="n">
        <v>45758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36237-2020</t>
        </is>
      </c>
      <c r="B286" s="1" t="n">
        <v>44048</v>
      </c>
      <c r="C286" s="1" t="n">
        <v>45758</v>
      </c>
      <c r="D286" t="inlineStr">
        <is>
          <t>ÖSTERGÖTLANDS LÄN</t>
        </is>
      </c>
      <c r="E286" t="inlineStr">
        <is>
          <t>NORRKÖPING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36779-2020</t>
        </is>
      </c>
      <c r="B287" s="1" t="n">
        <v>44053</v>
      </c>
      <c r="C287" s="1" t="n">
        <v>45758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37524-2020</t>
        </is>
      </c>
      <c r="B288" s="1" t="n">
        <v>44055</v>
      </c>
      <c r="C288" s="1" t="n">
        <v>45758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37821-2020</t>
        </is>
      </c>
      <c r="B289" s="1" t="n">
        <v>44057</v>
      </c>
      <c r="C289" s="1" t="n">
        <v>45758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38566-2020</t>
        </is>
      </c>
      <c r="B290" s="1" t="n">
        <v>44061</v>
      </c>
      <c r="C290" s="1" t="n">
        <v>45758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39164-2020</t>
        </is>
      </c>
      <c r="B291" s="1" t="n">
        <v>44063</v>
      </c>
      <c r="C291" s="1" t="n">
        <v>45758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39294-2020</t>
        </is>
      </c>
      <c r="B292" s="1" t="n">
        <v>44063</v>
      </c>
      <c r="C292" s="1" t="n">
        <v>45758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39496-2020</t>
        </is>
      </c>
      <c r="B293" s="1" t="n">
        <v>44064</v>
      </c>
      <c r="C293" s="1" t="n">
        <v>45758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39954-2020</t>
        </is>
      </c>
      <c r="B294" s="1" t="n">
        <v>44067</v>
      </c>
      <c r="C294" s="1" t="n">
        <v>45758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39970-2020</t>
        </is>
      </c>
      <c r="B295" s="1" t="n">
        <v>44067</v>
      </c>
      <c r="C295" s="1" t="n">
        <v>45758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39957-2020</t>
        </is>
      </c>
      <c r="B296" s="1" t="n">
        <v>44067</v>
      </c>
      <c r="C296" s="1" t="n">
        <v>45758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39966-2020</t>
        </is>
      </c>
      <c r="B297" s="1" t="n">
        <v>44067</v>
      </c>
      <c r="C297" s="1" t="n">
        <v>45758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44040-2020</t>
        </is>
      </c>
      <c r="B298" s="1" t="n">
        <v>44083</v>
      </c>
      <c r="C298" s="1" t="n">
        <v>45758</v>
      </c>
      <c r="D298" t="inlineStr">
        <is>
          <t>ÖSTERGÖTLANDS LÄN</t>
        </is>
      </c>
      <c r="E298" t="inlineStr">
        <is>
          <t>NORRKÖPING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44467-2020</t>
        </is>
      </c>
      <c r="B299" s="1" t="n">
        <v>44084</v>
      </c>
      <c r="C299" s="1" t="n">
        <v>45758</v>
      </c>
      <c r="D299" t="inlineStr">
        <is>
          <t>ÖSTERGÖTLANDS LÄN</t>
        </is>
      </c>
      <c r="E299" t="inlineStr">
        <is>
          <t>NORRKÖPING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46571-2020</t>
        </is>
      </c>
      <c r="B300" s="1" t="n">
        <v>44095</v>
      </c>
      <c r="C300" s="1" t="n">
        <v>45758</v>
      </c>
      <c r="D300" t="inlineStr">
        <is>
          <t>ÖSTERGÖTLANDS LÄN</t>
        </is>
      </c>
      <c r="E300" t="inlineStr">
        <is>
          <t>NORRKÖPING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47067-2020</t>
        </is>
      </c>
      <c r="B301" s="1" t="n">
        <v>44096</v>
      </c>
      <c r="C301" s="1" t="n">
        <v>45758</v>
      </c>
      <c r="D301" t="inlineStr">
        <is>
          <t>ÖSTERGÖTLANDS LÄN</t>
        </is>
      </c>
      <c r="E301" t="inlineStr">
        <is>
          <t>NORRKÖPING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46841-2020</t>
        </is>
      </c>
      <c r="B302" s="1" t="n">
        <v>44096</v>
      </c>
      <c r="C302" s="1" t="n">
        <v>45758</v>
      </c>
      <c r="D302" t="inlineStr">
        <is>
          <t>ÖSTERGÖTLANDS LÄN</t>
        </is>
      </c>
      <c r="E302" t="inlineStr">
        <is>
          <t>NORRKÖPING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47552-2020</t>
        </is>
      </c>
      <c r="B303" s="1" t="n">
        <v>44096</v>
      </c>
      <c r="C303" s="1" t="n">
        <v>45758</v>
      </c>
      <c r="D303" t="inlineStr">
        <is>
          <t>ÖSTERGÖTLANDS LÄN</t>
        </is>
      </c>
      <c r="E303" t="inlineStr">
        <is>
          <t>NORRKÖPING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47651-2020</t>
        </is>
      </c>
      <c r="B304" s="1" t="n">
        <v>44098</v>
      </c>
      <c r="C304" s="1" t="n">
        <v>45758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48655-2020</t>
        </is>
      </c>
      <c r="B305" s="1" t="n">
        <v>44103</v>
      </c>
      <c r="C305" s="1" t="n">
        <v>45758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49238-2020</t>
        </is>
      </c>
      <c r="B306" s="1" t="n">
        <v>44105</v>
      </c>
      <c r="C306" s="1" t="n">
        <v>45758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49867-2020</t>
        </is>
      </c>
      <c r="B307" s="1" t="n">
        <v>44107</v>
      </c>
      <c r="C307" s="1" t="n">
        <v>45758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53728-2020</t>
        </is>
      </c>
      <c r="B308" s="1" t="n">
        <v>44124</v>
      </c>
      <c r="C308" s="1" t="n">
        <v>45758</v>
      </c>
      <c r="D308" t="inlineStr">
        <is>
          <t>ÖSTERGÖTLANDS LÄN</t>
        </is>
      </c>
      <c r="E308" t="inlineStr">
        <is>
          <t>NORRKÖPING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53724-2020</t>
        </is>
      </c>
      <c r="B309" s="1" t="n">
        <v>44124</v>
      </c>
      <c r="C309" s="1" t="n">
        <v>45758</v>
      </c>
      <c r="D309" t="inlineStr">
        <is>
          <t>ÖSTERGÖTLANDS LÄN</t>
        </is>
      </c>
      <c r="E309" t="inlineStr">
        <is>
          <t>NORRKÖPING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54973-2020</t>
        </is>
      </c>
      <c r="B310" s="1" t="n">
        <v>44130</v>
      </c>
      <c r="C310" s="1" t="n">
        <v>45758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55467-2020</t>
        </is>
      </c>
      <c r="B311" s="1" t="n">
        <v>44131</v>
      </c>
      <c r="C311" s="1" t="n">
        <v>45758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56313-2020</t>
        </is>
      </c>
      <c r="B312" s="1" t="n">
        <v>44134</v>
      </c>
      <c r="C312" s="1" t="n">
        <v>45758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56530-2020</t>
        </is>
      </c>
      <c r="B313" s="1" t="n">
        <v>44137</v>
      </c>
      <c r="C313" s="1" t="n">
        <v>45758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56465-2020</t>
        </is>
      </c>
      <c r="B314" s="1" t="n">
        <v>44137</v>
      </c>
      <c r="C314" s="1" t="n">
        <v>45758</v>
      </c>
      <c r="D314" t="inlineStr">
        <is>
          <t>ÖSTERGÖTLANDS LÄN</t>
        </is>
      </c>
      <c r="E314" t="inlineStr">
        <is>
          <t>NORRKÖPING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56528-2020</t>
        </is>
      </c>
      <c r="B315" s="1" t="n">
        <v>44137</v>
      </c>
      <c r="C315" s="1" t="n">
        <v>45758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56511-2020</t>
        </is>
      </c>
      <c r="B316" s="1" t="n">
        <v>44137</v>
      </c>
      <c r="C316" s="1" t="n">
        <v>45758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57965-2020</t>
        </is>
      </c>
      <c r="B317" s="1" t="n">
        <v>44143</v>
      </c>
      <c r="C317" s="1" t="n">
        <v>45758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58829-2020</t>
        </is>
      </c>
      <c r="B318" s="1" t="n">
        <v>44146</v>
      </c>
      <c r="C318" s="1" t="n">
        <v>45758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58963-2020</t>
        </is>
      </c>
      <c r="B319" s="1" t="n">
        <v>44146</v>
      </c>
      <c r="C319" s="1" t="n">
        <v>45758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59023-2020</t>
        </is>
      </c>
      <c r="B320" s="1" t="n">
        <v>44147</v>
      </c>
      <c r="C320" s="1" t="n">
        <v>45758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59847-2020</t>
        </is>
      </c>
      <c r="B321" s="1" t="n">
        <v>44151</v>
      </c>
      <c r="C321" s="1" t="n">
        <v>45758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59899-2020</t>
        </is>
      </c>
      <c r="B322" s="1" t="n">
        <v>44151</v>
      </c>
      <c r="C322" s="1" t="n">
        <v>45758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60210-2020</t>
        </is>
      </c>
      <c r="B323" s="1" t="n">
        <v>44152</v>
      </c>
      <c r="C323" s="1" t="n">
        <v>45758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61707-2020</t>
        </is>
      </c>
      <c r="B324" s="1" t="n">
        <v>44158</v>
      </c>
      <c r="C324" s="1" t="n">
        <v>45758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61785-2020</t>
        </is>
      </c>
      <c r="B325" s="1" t="n">
        <v>44158</v>
      </c>
      <c r="C325" s="1" t="n">
        <v>45758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61860-2020</t>
        </is>
      </c>
      <c r="B326" s="1" t="n">
        <v>44159</v>
      </c>
      <c r="C326" s="1" t="n">
        <v>45758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61869-2020</t>
        </is>
      </c>
      <c r="B327" s="1" t="n">
        <v>44159</v>
      </c>
      <c r="C327" s="1" t="n">
        <v>45758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62800-2020</t>
        </is>
      </c>
      <c r="B328" s="1" t="n">
        <v>44161</v>
      </c>
      <c r="C328" s="1" t="n">
        <v>45758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63102-2020</t>
        </is>
      </c>
      <c r="B329" s="1" t="n">
        <v>44162</v>
      </c>
      <c r="C329" s="1" t="n">
        <v>45758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63208-2020</t>
        </is>
      </c>
      <c r="B330" s="1" t="n">
        <v>44163</v>
      </c>
      <c r="C330" s="1" t="n">
        <v>45758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63371-2020</t>
        </is>
      </c>
      <c r="B331" s="1" t="n">
        <v>44165</v>
      </c>
      <c r="C331" s="1" t="n">
        <v>45758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64573-2020</t>
        </is>
      </c>
      <c r="B332" s="1" t="n">
        <v>44166</v>
      </c>
      <c r="C332" s="1" t="n">
        <v>45758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64366-2020</t>
        </is>
      </c>
      <c r="B333" s="1" t="n">
        <v>44168</v>
      </c>
      <c r="C333" s="1" t="n">
        <v>45758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64561-2020</t>
        </is>
      </c>
      <c r="B334" s="1" t="n">
        <v>44169</v>
      </c>
      <c r="C334" s="1" t="n">
        <v>45758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64576-2020</t>
        </is>
      </c>
      <c r="B335" s="1" t="n">
        <v>44169</v>
      </c>
      <c r="C335" s="1" t="n">
        <v>45758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64549-2020</t>
        </is>
      </c>
      <c r="B336" s="1" t="n">
        <v>44169</v>
      </c>
      <c r="C336" s="1" t="n">
        <v>45758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64788-2020</t>
        </is>
      </c>
      <c r="B337" s="1" t="n">
        <v>44169</v>
      </c>
      <c r="C337" s="1" t="n">
        <v>45758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66381-2020</t>
        </is>
      </c>
      <c r="B338" s="1" t="n">
        <v>44176</v>
      </c>
      <c r="C338" s="1" t="n">
        <v>45758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66403-2020</t>
        </is>
      </c>
      <c r="B339" s="1" t="n">
        <v>44176</v>
      </c>
      <c r="C339" s="1" t="n">
        <v>45758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66476-2020</t>
        </is>
      </c>
      <c r="B340" s="1" t="n">
        <v>44177</v>
      </c>
      <c r="C340" s="1" t="n">
        <v>45758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66475-2020</t>
        </is>
      </c>
      <c r="B341" s="1" t="n">
        <v>44177</v>
      </c>
      <c r="C341" s="1" t="n">
        <v>45758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45758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67358-2020</t>
        </is>
      </c>
      <c r="B343" s="1" t="n">
        <v>44181</v>
      </c>
      <c r="C343" s="1" t="n">
        <v>45758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67557-2020</t>
        </is>
      </c>
      <c r="B344" s="1" t="n">
        <v>44181</v>
      </c>
      <c r="C344" s="1" t="n">
        <v>45758</v>
      </c>
      <c r="D344" t="inlineStr">
        <is>
          <t>ÖSTERGÖTLANDS LÄN</t>
        </is>
      </c>
      <c r="E344" t="inlineStr">
        <is>
          <t>NORRKÖPING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69227-2020</t>
        </is>
      </c>
      <c r="B345" s="1" t="n">
        <v>44192</v>
      </c>
      <c r="C345" s="1" t="n">
        <v>45758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1248-2021</t>
        </is>
      </c>
      <c r="B346" s="1" t="n">
        <v>44208</v>
      </c>
      <c r="C346" s="1" t="n">
        <v>45758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1217-2021</t>
        </is>
      </c>
      <c r="B347" s="1" t="n">
        <v>44208</v>
      </c>
      <c r="C347" s="1" t="n">
        <v>45758</v>
      </c>
      <c r="D347" t="inlineStr">
        <is>
          <t>ÖSTERGÖTLANDS LÄN</t>
        </is>
      </c>
      <c r="E347" t="inlineStr">
        <is>
          <t>NORRKÖPING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1660-2021</t>
        </is>
      </c>
      <c r="B348" s="1" t="n">
        <v>44209</v>
      </c>
      <c r="C348" s="1" t="n">
        <v>45758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2265-2021</t>
        </is>
      </c>
      <c r="B349" s="1" t="n">
        <v>44211</v>
      </c>
      <c r="C349" s="1" t="n">
        <v>45758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2266-2021</t>
        </is>
      </c>
      <c r="B350" s="1" t="n">
        <v>44211</v>
      </c>
      <c r="C350" s="1" t="n">
        <v>45758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2261-2021</t>
        </is>
      </c>
      <c r="B351" s="1" t="n">
        <v>44211</v>
      </c>
      <c r="C351" s="1" t="n">
        <v>45758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2267-2021</t>
        </is>
      </c>
      <c r="B352" s="1" t="n">
        <v>44211</v>
      </c>
      <c r="C352" s="1" t="n">
        <v>45758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2264-2021</t>
        </is>
      </c>
      <c r="B353" s="1" t="n">
        <v>44211</v>
      </c>
      <c r="C353" s="1" t="n">
        <v>45758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2268-2021</t>
        </is>
      </c>
      <c r="B354" s="1" t="n">
        <v>44211</v>
      </c>
      <c r="C354" s="1" t="n">
        <v>45758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2300-2021</t>
        </is>
      </c>
      <c r="B355" s="1" t="n">
        <v>44212</v>
      </c>
      <c r="C355" s="1" t="n">
        <v>45758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2582-2021</t>
        </is>
      </c>
      <c r="B356" s="1" t="n">
        <v>44214</v>
      </c>
      <c r="C356" s="1" t="n">
        <v>45758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2592-2021</t>
        </is>
      </c>
      <c r="B357" s="1" t="n">
        <v>44214</v>
      </c>
      <c r="C357" s="1" t="n">
        <v>45758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2581-2021</t>
        </is>
      </c>
      <c r="B358" s="1" t="n">
        <v>44214</v>
      </c>
      <c r="C358" s="1" t="n">
        <v>45758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2638-2021</t>
        </is>
      </c>
      <c r="B359" s="1" t="n">
        <v>44215</v>
      </c>
      <c r="C359" s="1" t="n">
        <v>45758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3040-2021</t>
        </is>
      </c>
      <c r="B360" s="1" t="n">
        <v>44216</v>
      </c>
      <c r="C360" s="1" t="n">
        <v>45758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3153-2021</t>
        </is>
      </c>
      <c r="B361" s="1" t="n">
        <v>44217</v>
      </c>
      <c r="C361" s="1" t="n">
        <v>45758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3484-2021</t>
        </is>
      </c>
      <c r="B362" s="1" t="n">
        <v>44218</v>
      </c>
      <c r="C362" s="1" t="n">
        <v>45758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3558-2021</t>
        </is>
      </c>
      <c r="B363" s="1" t="n">
        <v>44218</v>
      </c>
      <c r="C363" s="1" t="n">
        <v>45758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3556-2021</t>
        </is>
      </c>
      <c r="B364" s="1" t="n">
        <v>44218</v>
      </c>
      <c r="C364" s="1" t="n">
        <v>45758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3577-2021</t>
        </is>
      </c>
      <c r="B365" s="1" t="n">
        <v>44219</v>
      </c>
      <c r="C365" s="1" t="n">
        <v>45758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3578-2021</t>
        </is>
      </c>
      <c r="B366" s="1" t="n">
        <v>44219</v>
      </c>
      <c r="C366" s="1" t="n">
        <v>45758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4210-2021</t>
        </is>
      </c>
      <c r="B367" s="1" t="n">
        <v>44221</v>
      </c>
      <c r="C367" s="1" t="n">
        <v>45758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4271-2021</t>
        </is>
      </c>
      <c r="B368" s="1" t="n">
        <v>44221</v>
      </c>
      <c r="C368" s="1" t="n">
        <v>45758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4852-2021</t>
        </is>
      </c>
      <c r="B369" s="1" t="n">
        <v>44225</v>
      </c>
      <c r="C369" s="1" t="n">
        <v>45758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6614-2021</t>
        </is>
      </c>
      <c r="B370" s="1" t="n">
        <v>44236</v>
      </c>
      <c r="C370" s="1" t="n">
        <v>45758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6833-2021</t>
        </is>
      </c>
      <c r="B371" s="1" t="n">
        <v>44237</v>
      </c>
      <c r="C371" s="1" t="n">
        <v>45758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6844-2021</t>
        </is>
      </c>
      <c r="B372" s="1" t="n">
        <v>44237</v>
      </c>
      <c r="C372" s="1" t="n">
        <v>45758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7918-2021</t>
        </is>
      </c>
      <c r="B373" s="1" t="n">
        <v>44243</v>
      </c>
      <c r="C373" s="1" t="n">
        <v>45758</v>
      </c>
      <c r="D373" t="inlineStr">
        <is>
          <t>ÖSTERGÖTLANDS LÄN</t>
        </is>
      </c>
      <c r="E373" t="inlineStr">
        <is>
          <t>NORRKÖPING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9278-2021</t>
        </is>
      </c>
      <c r="B374" s="1" t="n">
        <v>44249</v>
      </c>
      <c r="C374" s="1" t="n">
        <v>45758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9281-2021</t>
        </is>
      </c>
      <c r="B375" s="1" t="n">
        <v>44249</v>
      </c>
      <c r="C375" s="1" t="n">
        <v>45758</v>
      </c>
      <c r="D375" t="inlineStr">
        <is>
          <t>ÖSTERGÖTLANDS LÄN</t>
        </is>
      </c>
      <c r="E375" t="inlineStr">
        <is>
          <t>NORRKÖPING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9764-2021</t>
        </is>
      </c>
      <c r="B376" s="1" t="n">
        <v>44252</v>
      </c>
      <c r="C376" s="1" t="n">
        <v>45758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10597-2021</t>
        </is>
      </c>
      <c r="B377" s="1" t="n">
        <v>44258</v>
      </c>
      <c r="C377" s="1" t="n">
        <v>45758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12685-2021</t>
        </is>
      </c>
      <c r="B378" s="1" t="n">
        <v>44270</v>
      </c>
      <c r="C378" s="1" t="n">
        <v>45758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13021-2021</t>
        </is>
      </c>
      <c r="B379" s="1" t="n">
        <v>44271</v>
      </c>
      <c r="C379" s="1" t="n">
        <v>45758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13022-2021</t>
        </is>
      </c>
      <c r="B380" s="1" t="n">
        <v>44271</v>
      </c>
      <c r="C380" s="1" t="n">
        <v>45758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13163-2021</t>
        </is>
      </c>
      <c r="B381" s="1" t="n">
        <v>44272</v>
      </c>
      <c r="C381" s="1" t="n">
        <v>45758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13262-2021</t>
        </is>
      </c>
      <c r="B382" s="1" t="n">
        <v>44272</v>
      </c>
      <c r="C382" s="1" t="n">
        <v>45758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13275-2021</t>
        </is>
      </c>
      <c r="B383" s="1" t="n">
        <v>44272</v>
      </c>
      <c r="C383" s="1" t="n">
        <v>45758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14480-2021</t>
        </is>
      </c>
      <c r="B384" s="1" t="n">
        <v>44279</v>
      </c>
      <c r="C384" s="1" t="n">
        <v>45758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14484-2021</t>
        </is>
      </c>
      <c r="B385" s="1" t="n">
        <v>44279</v>
      </c>
      <c r="C385" s="1" t="n">
        <v>45758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14483-2021</t>
        </is>
      </c>
      <c r="B386" s="1" t="n">
        <v>44279</v>
      </c>
      <c r="C386" s="1" t="n">
        <v>45758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15870-2021</t>
        </is>
      </c>
      <c r="B387" s="1" t="n">
        <v>44286</v>
      </c>
      <c r="C387" s="1" t="n">
        <v>45758</v>
      </c>
      <c r="D387" t="inlineStr">
        <is>
          <t>ÖSTERGÖTLANDS LÄN</t>
        </is>
      </c>
      <c r="E387" t="inlineStr">
        <is>
          <t>NORRKÖPING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15866-2021</t>
        </is>
      </c>
      <c r="B388" s="1" t="n">
        <v>44286</v>
      </c>
      <c r="C388" s="1" t="n">
        <v>45758</v>
      </c>
      <c r="D388" t="inlineStr">
        <is>
          <t>ÖSTERGÖTLANDS LÄN</t>
        </is>
      </c>
      <c r="E388" t="inlineStr">
        <is>
          <t>NORRKÖPING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15872-2021</t>
        </is>
      </c>
      <c r="B389" s="1" t="n">
        <v>44286</v>
      </c>
      <c r="C389" s="1" t="n">
        <v>45758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16626-2021</t>
        </is>
      </c>
      <c r="B390" s="1" t="n">
        <v>44294</v>
      </c>
      <c r="C390" s="1" t="n">
        <v>45758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16737-2021</t>
        </is>
      </c>
      <c r="B391" s="1" t="n">
        <v>44294</v>
      </c>
      <c r="C391" s="1" t="n">
        <v>45758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17233-2021</t>
        </is>
      </c>
      <c r="B392" s="1" t="n">
        <v>44298</v>
      </c>
      <c r="C392" s="1" t="n">
        <v>45758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17636-2021</t>
        </is>
      </c>
      <c r="B393" s="1" t="n">
        <v>44300</v>
      </c>
      <c r="C393" s="1" t="n">
        <v>45758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17633-2021</t>
        </is>
      </c>
      <c r="B394" s="1" t="n">
        <v>44300</v>
      </c>
      <c r="C394" s="1" t="n">
        <v>45758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17890-2021</t>
        </is>
      </c>
      <c r="B395" s="1" t="n">
        <v>44301</v>
      </c>
      <c r="C395" s="1" t="n">
        <v>45758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17523-2021</t>
        </is>
      </c>
      <c r="B396" s="1" t="n">
        <v>44301</v>
      </c>
      <c r="C396" s="1" t="n">
        <v>45758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17901-2021</t>
        </is>
      </c>
      <c r="B397" s="1" t="n">
        <v>44301</v>
      </c>
      <c r="C397" s="1" t="n">
        <v>45758</v>
      </c>
      <c r="D397" t="inlineStr">
        <is>
          <t>ÖSTERGÖTLANDS LÄN</t>
        </is>
      </c>
      <c r="E397" t="inlineStr">
        <is>
          <t>NORRKÖPING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18177-2021</t>
        </is>
      </c>
      <c r="B398" s="1" t="n">
        <v>44302</v>
      </c>
      <c r="C398" s="1" t="n">
        <v>45758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18009-2021</t>
        </is>
      </c>
      <c r="B399" s="1" t="n">
        <v>44302</v>
      </c>
      <c r="C399" s="1" t="n">
        <v>45758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18549-2021</t>
        </is>
      </c>
      <c r="B400" s="1" t="n">
        <v>44306</v>
      </c>
      <c r="C400" s="1" t="n">
        <v>45758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18765-2021</t>
        </is>
      </c>
      <c r="B401" s="1" t="n">
        <v>44307</v>
      </c>
      <c r="C401" s="1" t="n">
        <v>45758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45758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45758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45758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45758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45758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45758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45758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45758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45758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45758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45758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45758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45758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45758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45758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45758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45758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45758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45758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45758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45758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45758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45758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45758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45758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45758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45758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45758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45758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45758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45758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45758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45758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45758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45758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45758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45758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45758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45758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45758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45758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45758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45758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45758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45758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45758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45758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45758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45758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45758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45758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45758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45758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45758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45758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45758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45758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45758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45758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45758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45758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45758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45758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45758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45758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45758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45758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45758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45758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45758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45758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45758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45758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45758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45758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45758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45758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45758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45758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45758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45758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45758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45758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45758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45758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45758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45758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45758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45758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45758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45758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45758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45758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45758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45758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45758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45758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45758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45758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45758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45758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45758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45758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45758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45758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45758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45758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45758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45758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45758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45758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45758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45758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45758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45758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45758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45758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45758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45758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45758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45758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45758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45758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45758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45758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45758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45758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45758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45758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45758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45758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45758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45758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45758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45758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45758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45758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45758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45758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45758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45758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45758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45758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45758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45758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45758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45758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45758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45758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45758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45758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45758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45758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45758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45758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45758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45758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45758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45758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45758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45758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45758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45758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45758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45758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45758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45758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45758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45758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45758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45758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45758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45758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45758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45758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45758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45758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45758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45758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45758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45758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45758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45758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45758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45758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45758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45758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45758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45758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45758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45758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45758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45758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45758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45758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45758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45758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45758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45758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45758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45758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45758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45758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45758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45758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45758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45758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45758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45758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45758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45758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45758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45758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45758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45758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45758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45758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45758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45758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45758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45758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45758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45758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45758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45758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45758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45758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45758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45758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45758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45758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45758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45758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45758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45758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45758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45758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45758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45758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45758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45758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45758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45758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45758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45758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45758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45758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45758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45758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45758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45758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45758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45758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45758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45758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45758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45758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45758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45758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45758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45758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45758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45758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45758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45758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45758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45758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45758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45758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45758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45758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45758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45758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45758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45758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45758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45758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45758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45758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45758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45758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45758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45758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45758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45758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45758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45758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45758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45758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45758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45758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45758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45758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45758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45758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45758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45758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45758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45758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45758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45758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45758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45758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45758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45758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45758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45758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45758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45758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45758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45758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45758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45758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45758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45758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45758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45758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45758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45758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45758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45758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45758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45758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45758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45758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45758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45758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45758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45758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45758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45758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45758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45758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45758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45758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45758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45758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45758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45758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45758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45758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45758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45758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45758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45758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45758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45758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45758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45758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45758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45758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45758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45758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45758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45758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45758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45758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45758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45758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45758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45758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45758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45758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45758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45758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45758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45758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45758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45758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45758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45758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45758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45758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45758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45758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45758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45758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45758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45758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45758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45758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45758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45758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45758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45758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45758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45758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45758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45758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45758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45758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45758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45758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45758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45758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45758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45758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45758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45758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45758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45758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45758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45758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45758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45758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45758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45758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45758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45758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45758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45758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45758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45758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45758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45758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45758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45758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45758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45758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45758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45758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45758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45758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45758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45758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45758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45758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45758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45758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45758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45758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45758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45758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45758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45758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45758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45758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45758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45758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45758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45758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45758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45758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45758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45758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45758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45758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45758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45758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45758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45758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45758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45758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45758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45758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45758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45758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45758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45758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45758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45758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45758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45758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45758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45758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45758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45758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45758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45758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45758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45758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45758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45758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45758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45758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45758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45758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45758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45758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45758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45758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45758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45758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45758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45758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45758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45758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45758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45758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45758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45758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45758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45758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45758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45758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45758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45758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45758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45758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45758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45758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45758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45758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45758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45758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45758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45758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45758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45758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45758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45758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45758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45758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45758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45758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45758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45758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45758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45758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45758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45758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45758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45758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45758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45758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45758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45758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45758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45758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45758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45758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45758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45758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45758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45758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45758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45758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45758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45758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45758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45758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45758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45758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45758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45758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45758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45758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45758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45758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45758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45758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45758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45758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45758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45758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45758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45758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45758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45758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45758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45758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45758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45758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45758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45758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45758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45758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45758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45758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45758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45758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45758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45758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45758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45758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45758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45758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45758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45758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45758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45758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45758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45758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45758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45758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45758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45758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45758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45758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45758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45758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45758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45758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45758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45758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45758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45758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45758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45758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45758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45758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45758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45758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45758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45758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45758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45758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45758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45758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45758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45758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45758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45758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45758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45758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45758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45758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45758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45758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45758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45758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45758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45758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45758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45758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45758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45758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45758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45758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45758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45758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45758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45758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45758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45758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45758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45758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45758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45758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45758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45758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45758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45758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45758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45758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45758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45758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45758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45758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45758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45758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45758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45758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45758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45758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45758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45758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45758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45758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45758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45758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45758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45758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45758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45758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45758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45758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45758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45758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45758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45758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45758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45758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45758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45758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45758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45758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45758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45758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45758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45758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45758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45758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45758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45758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45758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45758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45758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45758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45758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45758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45758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45758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45758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45758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45758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45758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45758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45758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45758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45758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45758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45758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45758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45758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45758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45758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45758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45758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45758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45758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45758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45758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45758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45758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45758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45758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45758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45758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45758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45758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45758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45758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45758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45758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45758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45758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45758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45758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45758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45758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45758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45758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45758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45758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45758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45758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45758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45758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45758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45758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45758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45758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45758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45758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45758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45758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45758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45758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45758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45758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45758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45758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45758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45758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45758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45758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45758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45758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45758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45758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45758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45758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45758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45758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45758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45758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45758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45758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45758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45758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45758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45758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45758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45758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13656-2025</t>
        </is>
      </c>
      <c r="B1551" s="1" t="n">
        <v>45736</v>
      </c>
      <c r="C1551" s="1" t="n">
        <v>45758</v>
      </c>
      <c r="D1551" t="inlineStr">
        <is>
          <t>ÖSTERGÖTLANDS LÄN</t>
        </is>
      </c>
      <c r="E1551" t="inlineStr">
        <is>
          <t>NORRKÖPING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13420-2025</t>
        </is>
      </c>
      <c r="B1552" s="1" t="n">
        <v>45736</v>
      </c>
      <c r="C1552" s="1" t="n">
        <v>45758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45758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45758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14441-2025</t>
        </is>
      </c>
      <c r="B1555" s="1" t="n">
        <v>45741</v>
      </c>
      <c r="C1555" s="1" t="n">
        <v>45758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45758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14509-2025</t>
        </is>
      </c>
      <c r="B1557" s="1" t="n">
        <v>45741</v>
      </c>
      <c r="C1557" s="1" t="n">
        <v>45758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45758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45758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45758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45758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45758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45758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45758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15448-2025</t>
        </is>
      </c>
      <c r="B1565" s="1" t="n">
        <v>45747</v>
      </c>
      <c r="C1565" s="1" t="n">
        <v>45758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15497-2025</t>
        </is>
      </c>
      <c r="B1566" s="1" t="n">
        <v>45747</v>
      </c>
      <c r="C1566" s="1" t="n">
        <v>45758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15402-2025</t>
        </is>
      </c>
      <c r="B1567" s="1" t="n">
        <v>45747</v>
      </c>
      <c r="C1567" s="1" t="n">
        <v>45758</v>
      </c>
      <c r="D1567" t="inlineStr">
        <is>
          <t>ÖSTERGÖTLANDS LÄN</t>
        </is>
      </c>
      <c r="E1567" t="inlineStr">
        <is>
          <t>NORRKÖPING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15505-2025</t>
        </is>
      </c>
      <c r="B1568" s="1" t="n">
        <v>45747</v>
      </c>
      <c r="C1568" s="1" t="n">
        <v>45758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45758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17478-2025</t>
        </is>
      </c>
      <c r="B1570" s="1" t="n">
        <v>45757</v>
      </c>
      <c r="C1570" s="1" t="n">
        <v>45758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17582-2025</t>
        </is>
      </c>
      <c r="B1571" s="1" t="n">
        <v>45757</v>
      </c>
      <c r="C1571" s="1" t="n">
        <v>45758</v>
      </c>
      <c r="D1571" t="inlineStr">
        <is>
          <t>ÖSTERGÖTLANDS LÄN</t>
        </is>
      </c>
      <c r="E1571" t="inlineStr">
        <is>
          <t>NORRKÖPING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2025-04-11T16:44:56Z</dcterms:created>
  <dcterms:modified xmlns:dcterms="http://purl.org/dc/terms/" xmlns:xsi="http://www.w3.org/2001/XMLSchema-instance" xsi:type="dcterms:W3CDTF">2025-04-11T16:44:58Z</dcterms:modified>
</cp:coreProperties>
</file>