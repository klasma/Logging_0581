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45821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4</v>
      </c>
      <c r="I2" t="n">
        <v>10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20</v>
      </c>
      <c r="R2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45821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45821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45821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45821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24615-2025</t>
        </is>
      </c>
      <c r="B7" s="1" t="n">
        <v>45798</v>
      </c>
      <c r="C7" s="1" t="n">
        <v>45821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11.3</v>
      </c>
      <c r="H7" t="n">
        <v>1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14</v>
      </c>
      <c r="R7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7">
        <f>HYPERLINK("https://klasma.github.io/Logging_050581/artfynd/A 24615-2025 artfynd.xlsx", "A 24615-2025")</f>
        <v/>
      </c>
      <c r="T7">
        <f>HYPERLINK("https://klasma.github.io/Logging_050581/kartor/A 24615-2025 karta.png", "A 24615-2025")</f>
        <v/>
      </c>
      <c r="V7">
        <f>HYPERLINK("https://klasma.github.io/Logging_050581/klagomål/A 24615-2025 FSC-klagomål.docx", "A 24615-2025")</f>
        <v/>
      </c>
      <c r="W7">
        <f>HYPERLINK("https://klasma.github.io/Logging_050581/klagomålsmail/A 24615-2025 FSC-klagomål mail.docx", "A 24615-2025")</f>
        <v/>
      </c>
      <c r="X7">
        <f>HYPERLINK("https://klasma.github.io/Logging_050581/tillsyn/A 24615-2025 tillsynsbegäran.docx", "A 24615-2025")</f>
        <v/>
      </c>
      <c r="Y7">
        <f>HYPERLINK("https://klasma.github.io/Logging_050581/tillsynsmail/A 24615-2025 tillsynsbegäran mail.docx", "A 24615-2025")</f>
        <v/>
      </c>
      <c r="Z7">
        <f>HYPERLINK("https://klasma.github.io/Logging_050581/fåglar/A 24615-2025 prioriterade fågelarter.docx", "A 24615-2025")</f>
        <v/>
      </c>
    </row>
    <row r="8" ht="15" customHeight="1">
      <c r="A8" t="inlineStr">
        <is>
          <t>A 11516-2021</t>
        </is>
      </c>
      <c r="B8" s="1" t="n">
        <v>44264</v>
      </c>
      <c r="C8" s="1" t="n">
        <v>45821</v>
      </c>
      <c r="D8" t="inlineStr">
        <is>
          <t>ÖSTERGÖTLANDS LÄN</t>
        </is>
      </c>
      <c r="E8" t="inlineStr">
        <is>
          <t>NORRKÖPING</t>
        </is>
      </c>
      <c r="G8" t="n">
        <v>4.2</v>
      </c>
      <c r="H8" t="n">
        <v>1</v>
      </c>
      <c r="I8" t="n">
        <v>8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13</v>
      </c>
      <c r="R8" s="2" t="inlineStr">
        <is>
          <t>Aspgelélav
Knärot
Ostticka
Gränsticka
Ullticka
Bronshjon
Fällmossa
Guldlockmossa
Gulnål
Kattfotslav
Mörk husmossa
Platt fjädermossa
Vedticka</t>
        </is>
      </c>
      <c r="S8">
        <f>HYPERLINK("https://klasma.github.io/Logging_0581/artfynd/A 11516-2021 artfynd.xlsx", "A 11516-2021")</f>
        <v/>
      </c>
      <c r="T8">
        <f>HYPERLINK("https://klasma.github.io/Logging_0581/kartor/A 11516-2021 karta.png", "A 11516-2021")</f>
        <v/>
      </c>
      <c r="U8">
        <f>HYPERLINK("https://klasma.github.io/Logging_0581/knärot/A 11516-2021 karta knärot.png", "A 11516-2021")</f>
        <v/>
      </c>
      <c r="V8">
        <f>HYPERLINK("https://klasma.github.io/Logging_0581/klagomål/A 11516-2021 FSC-klagomål.docx", "A 11516-2021")</f>
        <v/>
      </c>
      <c r="W8">
        <f>HYPERLINK("https://klasma.github.io/Logging_0581/klagomålsmail/A 11516-2021 FSC-klagomål mail.docx", "A 11516-2021")</f>
        <v/>
      </c>
      <c r="X8">
        <f>HYPERLINK("https://klasma.github.io/Logging_0581/tillsyn/A 11516-2021 tillsynsbegäran.docx", "A 11516-2021")</f>
        <v/>
      </c>
      <c r="Y8">
        <f>HYPERLINK("https://klasma.github.io/Logging_0581/tillsynsmail/A 11516-2021 tillsynsbegäran mail.docx", "A 11516-2021")</f>
        <v/>
      </c>
    </row>
    <row r="9" ht="15" customHeight="1">
      <c r="A9" t="inlineStr">
        <is>
          <t>A 28424-2024</t>
        </is>
      </c>
      <c r="B9" s="1" t="n">
        <v>45477</v>
      </c>
      <c r="C9" s="1" t="n">
        <v>45821</v>
      </c>
      <c r="D9" t="inlineStr">
        <is>
          <t>ÖSTERGÖTLANDS LÄN</t>
        </is>
      </c>
      <c r="E9" t="inlineStr">
        <is>
          <t>NORRKÖPING</t>
        </is>
      </c>
      <c r="F9" t="inlineStr">
        <is>
          <t>Naturvårdsverket</t>
        </is>
      </c>
      <c r="G9" t="n">
        <v>8.699999999999999</v>
      </c>
      <c r="H9" t="n">
        <v>5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9">
        <f>HYPERLINK("https://klasma.github.io/Logging_0581/artfynd/A 28424-2024 artfynd.xlsx", "A 28424-2024")</f>
        <v/>
      </c>
      <c r="T9">
        <f>HYPERLINK("https://klasma.github.io/Logging_0581/kartor/A 28424-2024 karta.png", "A 28424-2024")</f>
        <v/>
      </c>
      <c r="U9">
        <f>HYPERLINK("https://klasma.github.io/Logging_0581/knärot/A 28424-2024 karta knärot.png", "A 28424-2024")</f>
        <v/>
      </c>
      <c r="V9">
        <f>HYPERLINK("https://klasma.github.io/Logging_0581/klagomål/A 28424-2024 FSC-klagomål.docx", "A 28424-2024")</f>
        <v/>
      </c>
      <c r="W9">
        <f>HYPERLINK("https://klasma.github.io/Logging_0581/klagomålsmail/A 28424-2024 FSC-klagomål mail.docx", "A 28424-2024")</f>
        <v/>
      </c>
      <c r="X9">
        <f>HYPERLINK("https://klasma.github.io/Logging_0581/tillsyn/A 28424-2024 tillsynsbegäran.docx", "A 28424-2024")</f>
        <v/>
      </c>
      <c r="Y9">
        <f>HYPERLINK("https://klasma.github.io/Logging_0581/tillsynsmail/A 28424-2024 tillsynsbegäran mail.docx", "A 28424-2024")</f>
        <v/>
      </c>
      <c r="Z9">
        <f>HYPERLINK("https://klasma.github.io/Logging_0581/fåglar/A 28424-2024 prioriterade fågelarter.docx", "A 28424-2024")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45821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45821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45821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45821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45821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45821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45821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45821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45821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45821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45821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45821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45821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45821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45821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45821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45821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45821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45821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45821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45821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45821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45821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45821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45821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45821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45821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45821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45821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45821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45821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45821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45821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45821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45821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45821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45821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45821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45821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45821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45821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45821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45821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45821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45821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45821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45821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45821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45821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45821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45821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45821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45821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45821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45821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45821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45821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45821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45821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45821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45821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45821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45821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45821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45821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45821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45821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45821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45821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45821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45821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45821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45821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45821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45821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45821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45821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45821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45821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45821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45821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45821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45821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45821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45821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45821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45821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45821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45821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45821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45821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45821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45821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45821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45821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45821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45821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45821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45821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45821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45821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45821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45821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45821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45821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45821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45821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45821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45821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45821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45821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45821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45821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45821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45821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45821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45821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45821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45821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45821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45821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45821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45821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45821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45821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45821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45821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45821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45821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45821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45821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45821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45821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45821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45821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45821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45821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45821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45821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45821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45821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45821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45821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45821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45821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45821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45821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45821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45821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45821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45821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45821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45821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45821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45821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45821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45821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45821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45821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45821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45821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45821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45821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45821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45821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45821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45821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45821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45821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45821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45821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45821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45821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45821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45821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45821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45821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45821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45821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45821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45821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45821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45821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45821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45821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45821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45821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45821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45821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45821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45821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45821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45821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45821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45821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45821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45821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45821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45821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45821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45821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45821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45821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45821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45821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45821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45821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45821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45821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45821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45821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45821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45821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45821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45821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45821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45821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45821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45821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45821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45821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45821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45821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45821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45821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45821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45821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45821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45821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45821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45821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45821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45821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45821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45821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45821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45821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45821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45821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45821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45821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45821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45821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45821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45821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45821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45821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45821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45821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45821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45821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45821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45821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45821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45821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45821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45821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45821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45821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45821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45821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45821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45821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45821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45821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45821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45821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45821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45821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45821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45821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45821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45821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45821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45821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45821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45821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45821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45821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45821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45821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45821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45821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45821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45821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45821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45821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45821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45821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45821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45821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45821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45821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45821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45821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45821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45821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45821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45821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45821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45821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45821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45821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45821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45821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45821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45821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45821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45821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45821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45821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45821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45821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45821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45821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45821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45821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45821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45821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45821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45821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45821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45821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45821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45821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45821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45821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45821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45821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45821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45821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45821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45821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45821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45821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45821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45821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45821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45821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45821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45821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45821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45821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45821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45821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45821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45821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45821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45821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45821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45821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45821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45821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45821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45821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45821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45821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45821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45821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45821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45821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45821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45821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45821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45821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45821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45821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45821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45821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45821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45821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45821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45821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45821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45821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45821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45821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45821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45821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45821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45821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45821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45821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45821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45821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45821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45821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45821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45821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45821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45821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45821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45821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45821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45821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45821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45821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45821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45821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45821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45821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45821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45821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45821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45821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45821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45821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45821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45821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45821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45821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45821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45821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45821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45821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45821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45821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45821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45821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45821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45821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45821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45821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45821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45821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45821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45821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45821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45821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45821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45821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45821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45821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45821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45821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45821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45821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45821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45821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45821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45821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45821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45821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45821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45821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45821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45821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45821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45821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45821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45821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45821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45821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45821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45821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45821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45821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45821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45821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45821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45821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45821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45821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45821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45821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45821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45821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45821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45821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45821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45821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45821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45821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45821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45821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45821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45821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45821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45821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45821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45821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45821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45821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45821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45821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45821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45821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45821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45821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45821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45821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45821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45821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45821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45821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45821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45821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45821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45821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45821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45821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45821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45821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45821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45821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45821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45821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45821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45821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45821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45821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45821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45821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45821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45821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45821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45821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45821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45821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45821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45821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45821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45821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45821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45821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45821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45821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45821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45821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45821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45821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45821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45821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45821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45821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45821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45821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45821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45821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45821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45821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45821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45821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45821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45821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45821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45821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45821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45821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45821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45821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45821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45821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45821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45821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45821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45821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45821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45821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45821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45821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45821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45821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45821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45821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45821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45821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45821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45821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45821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45821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45821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45821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45821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45821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45821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45821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45821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45821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45821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45821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45821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45821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45821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45821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45821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45821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45821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45821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45821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45821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45821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45821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45821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45821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45821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45821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45821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45821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45821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45821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45821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45821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45821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45821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45821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45821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45821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45821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45821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45821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45821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45821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45821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45821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45821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45821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45821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45821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45821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45821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45821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45821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45821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45821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45821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45821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45821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45821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45821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45821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45821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45821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45821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45821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45821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45821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45821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45821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45821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45821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45821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45821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45821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45821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45821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45821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45821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45821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45821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45821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45821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45821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45821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45821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45821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45821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45821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45821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45821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45821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45821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45821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45821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45821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45821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45821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45821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45821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45821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45821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45821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45821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45821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45821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45821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45821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45821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45821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45821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45821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45821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45821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45821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45821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45821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45821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45821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45821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45821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45821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45821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45821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45821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45821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45821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45821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45821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45821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45821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45821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45821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45821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45821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45821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45821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45821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45821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45821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45821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45821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45821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45821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45821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45821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45821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45821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45821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45821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45821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45821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45821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45821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45821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45821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45821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45821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45821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45821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45821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45821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45821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45821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45821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45821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45821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45821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45821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45821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45821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45821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45821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45821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45821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45821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45821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45821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45821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45821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45821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45821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45821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45821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45821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45821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45821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45821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45821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45821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45821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45821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45821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45821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45821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45821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45821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45821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45821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45821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45821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45821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45821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45821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45821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45821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45821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45821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45821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45821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45821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45821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45821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45821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45821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45821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45821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45821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45821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45821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45821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45821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45821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45821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45821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45821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45821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45821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45821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45821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45821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45821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45821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45821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45821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45821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45821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45821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45821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45821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45821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45821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45821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45821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45821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45821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45821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45821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45821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45821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45821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45821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45821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45821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45821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45821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45821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45821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45821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45821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45821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45821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45821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45821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45821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45821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45821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45821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45821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45821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45821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45821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45821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45821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45821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45821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45821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45821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45821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45821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45821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45821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45821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45821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45821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45821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45821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45821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45821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45821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45821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45821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45821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45821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45821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45821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45821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45821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45821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45821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45821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45821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45821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45821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45821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45821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45821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45821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45821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45821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45821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45821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45821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45821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45821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45821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45821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45821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45821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45821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45821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45821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45821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45821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45821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45821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45821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45821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45821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45821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45821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45821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45821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45821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45821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45821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45821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45821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45821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45821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45821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45821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45821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45821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45821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45821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45821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45821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45821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45821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45821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45821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45821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45821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45821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45821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45821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45821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45821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45821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45821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45821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45821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45821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45821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45821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45821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45821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45821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45821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45821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45821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45821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45821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45821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45821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45821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45821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45821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45821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45821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45821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45821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45821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45821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45821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45821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45821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45821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45821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45821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45821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45821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45821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45821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45821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45821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45821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45821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45821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45821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45821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45821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45821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45821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45821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45821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45821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45821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45821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45821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45821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45821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45821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45821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45821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45821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45821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45821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45821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45821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45821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45821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45821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45821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45821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45821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45821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45821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45821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45821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45821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45821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45821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45821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45821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45821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45821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45821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45821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45821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45821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45821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45821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45821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45821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45821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45821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45821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45821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45821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45821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45821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45821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45821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45821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45821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45821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45821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45821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45821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45821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45821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45821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45821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45821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45821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45821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45821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45821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45821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45821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45821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45821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45821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45821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45821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45821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45821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45821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45821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45821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45821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45821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45821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45821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45821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45821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45821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45821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45821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45821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45821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45821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45821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45821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45821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45821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45821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45821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45821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45821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45821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45821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45821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45821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45821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45821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45821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45821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45821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45821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45821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45821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45821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45821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45821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45821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45821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45821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45821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45821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45821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45821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45821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45821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45821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45821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45821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45821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45821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45821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45821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45821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45821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45821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45821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45821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45821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45821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45821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45821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45821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45821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45821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45821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45821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45821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45821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45821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45821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45821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45821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45821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45821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45821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45821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45821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45821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45821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45821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45821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45821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45821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45821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45821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45821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45821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45821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45821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45821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45821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45821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45821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45821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45821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45821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45821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45821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45821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45821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45821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45821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45821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45821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45821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45821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45821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45821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45821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45821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45821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45821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45821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45821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45821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45821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45821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45821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45821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45821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45821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45821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45821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45821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45821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45821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45821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45821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45821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45821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45821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45821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45821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45821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45821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45821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45821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45821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45821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45821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45821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45821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45821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45821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45821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45821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45821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45821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45821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45821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45821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45821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45821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45821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45821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45821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45821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45821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45821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45821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45821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45821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45821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45821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45821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45821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45821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45821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45821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45821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45821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45821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45821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45821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45821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45821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45821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45821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45821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45821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45821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45821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45821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45821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45821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45821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45821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45821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45821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45821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45821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45821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45821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45821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45821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45821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45821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45821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45821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45821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45821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45821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45821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45821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45821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45821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45821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45821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45821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45821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45821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45821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45821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45821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45821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45821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45821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45821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45821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45821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45821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45821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45821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45821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45821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45821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45821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45821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45821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45821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45821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45821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45821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45821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45821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45821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45821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45821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45821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45821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45821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45821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45821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45821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45821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45821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45821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45821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45821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45821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45821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45821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45821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45821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45821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45821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45821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45821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45821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45821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45821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45821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45821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45821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45821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45821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45821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45821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45821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45821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45821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45821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45821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45821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45821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45821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45821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45821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45821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45821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45821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45821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45821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45821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45821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45821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45821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45821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45821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45821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45821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45821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45821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45821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45821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45821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45821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45821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45821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45821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45821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45821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45821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45821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45821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45821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45821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45821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45821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45821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45821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45821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45821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45821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45821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45821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45821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45821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45821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45821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45821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45821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45821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45821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45821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45821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45821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45821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45821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45821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45821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45821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45821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45821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45821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45821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45821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45821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45821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45821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45821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45821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45821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45821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45821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45821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45821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45821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45821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45821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45821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45821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45821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45821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45821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45821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45821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45821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45821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45821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45821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45821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45821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45821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45821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45821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45821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45821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45821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45821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45821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45821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45821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45821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45821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45821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45821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45821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45821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45821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45821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45821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45821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45821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45821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45821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45821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45821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45821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45821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45821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45821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45821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45821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45821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45821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45821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45821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45821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45821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45821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45821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45821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45821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45821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45821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45821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45821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45821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45821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45821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45821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45821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45821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45821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45821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45821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45821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45821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45821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45821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45821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45821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45821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45821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45821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45821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45821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45821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45821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45821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45821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45821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45821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45821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45821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45821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45821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45821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45821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45821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45821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45821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45821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45821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45821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45821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45821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45821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45821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45821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45821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45821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45821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45821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45821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45821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45821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45821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45821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45821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45821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45821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45821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45821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45821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45821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45821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45821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45821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45821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45821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45821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45821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45821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45821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45821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45821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45821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45821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45821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45821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45821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45821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45821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45821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45821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45821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45821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45821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45821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45821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45821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45821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45821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45821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45821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45821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45821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45821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45821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45821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45821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45821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45821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45821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45821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45821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45821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45821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45821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45821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45821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45821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45821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45821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45821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45821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45821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45821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45821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45821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45821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45821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45821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45821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45821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45821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45821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45821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45821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45821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45821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45821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45821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45821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45821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45821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45821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45821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45821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45821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45821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45821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45821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45821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45821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45821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45821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45821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45821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45821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45821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45821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45821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45821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45821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45821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45821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45821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45821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45821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45821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45821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45821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45821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23909-2025</t>
        </is>
      </c>
      <c r="B1626" s="1" t="n">
        <v>45794</v>
      </c>
      <c r="C1626" s="1" t="n">
        <v>45821</v>
      </c>
      <c r="D1626" t="inlineStr">
        <is>
          <t>ÖSTERGÖTLANDS LÄN</t>
        </is>
      </c>
      <c r="E1626" t="inlineStr">
        <is>
          <t>NORRKÖPING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23908-2025</t>
        </is>
      </c>
      <c r="B1627" s="1" t="n">
        <v>45794</v>
      </c>
      <c r="C1627" s="1" t="n">
        <v>45821</v>
      </c>
      <c r="D1627" t="inlineStr">
        <is>
          <t>ÖSTERGÖTLANDS LÄN</t>
        </is>
      </c>
      <c r="E1627" t="inlineStr">
        <is>
          <t>NORRKÖPING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23912-2025</t>
        </is>
      </c>
      <c r="B1628" s="1" t="n">
        <v>45794</v>
      </c>
      <c r="C1628" s="1" t="n">
        <v>45821</v>
      </c>
      <c r="D1628" t="inlineStr">
        <is>
          <t>ÖSTERGÖTLANDS LÄN</t>
        </is>
      </c>
      <c r="E1628" t="inlineStr">
        <is>
          <t>NORRKÖPING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23911-2025</t>
        </is>
      </c>
      <c r="B1629" s="1" t="n">
        <v>45794</v>
      </c>
      <c r="C1629" s="1" t="n">
        <v>45821</v>
      </c>
      <c r="D1629" t="inlineStr">
        <is>
          <t>ÖSTERGÖTLANDS LÄN</t>
        </is>
      </c>
      <c r="E1629" t="inlineStr">
        <is>
          <t>NORRKÖPING</t>
        </is>
      </c>
      <c r="G1629" t="n">
        <v>8.800000000000001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23907-2025</t>
        </is>
      </c>
      <c r="B1630" s="1" t="n">
        <v>45794</v>
      </c>
      <c r="C1630" s="1" t="n">
        <v>45821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23910-2025</t>
        </is>
      </c>
      <c r="B1631" s="1" t="n">
        <v>45794</v>
      </c>
      <c r="C1631" s="1" t="n">
        <v>45821</v>
      </c>
      <c r="D1631" t="inlineStr">
        <is>
          <t>ÖSTERGÖTLANDS LÄN</t>
        </is>
      </c>
      <c r="E1631" t="inlineStr">
        <is>
          <t>NORRKÖPING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24018-2025</t>
        </is>
      </c>
      <c r="B1632" s="1" t="n">
        <v>45796</v>
      </c>
      <c r="C1632" s="1" t="n">
        <v>45821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45821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23946-2025</t>
        </is>
      </c>
      <c r="B1634" s="1" t="n">
        <v>45796</v>
      </c>
      <c r="C1634" s="1" t="n">
        <v>45821</v>
      </c>
      <c r="D1634" t="inlineStr">
        <is>
          <t>ÖSTERGÖTLANDS LÄN</t>
        </is>
      </c>
      <c r="E1634" t="inlineStr">
        <is>
          <t>NORRKÖPING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45821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23954-2025</t>
        </is>
      </c>
      <c r="B1636" s="1" t="n">
        <v>45796</v>
      </c>
      <c r="C1636" s="1" t="n">
        <v>45821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24233-2025</t>
        </is>
      </c>
      <c r="B1637" s="1" t="n">
        <v>45797</v>
      </c>
      <c r="C1637" s="1" t="n">
        <v>45821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24246-2025</t>
        </is>
      </c>
      <c r="B1638" s="1" t="n">
        <v>45797</v>
      </c>
      <c r="C1638" s="1" t="n">
        <v>45821</v>
      </c>
      <c r="D1638" t="inlineStr">
        <is>
          <t>ÖSTERGÖTLANDS LÄN</t>
        </is>
      </c>
      <c r="E1638" t="inlineStr">
        <is>
          <t>NORRKÖPING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45821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45821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24555-2025</t>
        </is>
      </c>
      <c r="B1641" s="1" t="n">
        <v>45798</v>
      </c>
      <c r="C1641" s="1" t="n">
        <v>45821</v>
      </c>
      <c r="D1641" t="inlineStr">
        <is>
          <t>ÖSTERGÖTLANDS LÄN</t>
        </is>
      </c>
      <c r="E1641" t="inlineStr">
        <is>
          <t>NORRKÖPING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24684-2025</t>
        </is>
      </c>
      <c r="B1642" s="1" t="n">
        <v>45798</v>
      </c>
      <c r="C1642" s="1" t="n">
        <v>45821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45821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25547-2025</t>
        </is>
      </c>
      <c r="B1644" s="1" t="n">
        <v>45803</v>
      </c>
      <c r="C1644" s="1" t="n">
        <v>45821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25949-2025</t>
        </is>
      </c>
      <c r="B1645" s="1" t="n">
        <v>45804</v>
      </c>
      <c r="C1645" s="1" t="n">
        <v>45821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26494-2025</t>
        </is>
      </c>
      <c r="B1646" s="1" t="n">
        <v>45807</v>
      </c>
      <c r="C1646" s="1" t="n">
        <v>45821</v>
      </c>
      <c r="D1646" t="inlineStr">
        <is>
          <t>ÖSTERGÖTLANDS LÄN</t>
        </is>
      </c>
      <c r="E1646" t="inlineStr">
        <is>
          <t>NORRKÖPING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27632-2025</t>
        </is>
      </c>
      <c r="B1647" s="1" t="n">
        <v>45813</v>
      </c>
      <c r="C1647" s="1" t="n">
        <v>45821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27857-2025</t>
        </is>
      </c>
      <c r="B1648" s="1" t="n">
        <v>45817</v>
      </c>
      <c r="C1648" s="1" t="n">
        <v>45821</v>
      </c>
      <c r="D1648" t="inlineStr">
        <is>
          <t>ÖSTERGÖTLANDS LÄN</t>
        </is>
      </c>
      <c r="E1648" t="inlineStr">
        <is>
          <t>NORRKÖPING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27865-2025</t>
        </is>
      </c>
      <c r="B1649" s="1" t="n">
        <v>45817</v>
      </c>
      <c r="C1649" s="1" t="n">
        <v>45821</v>
      </c>
      <c r="D1649" t="inlineStr">
        <is>
          <t>ÖSTERGÖTLANDS LÄN</t>
        </is>
      </c>
      <c r="E1649" t="inlineStr">
        <is>
          <t>NORRKÖPING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27912-2025</t>
        </is>
      </c>
      <c r="B1650" s="1" t="n">
        <v>45817</v>
      </c>
      <c r="C1650" s="1" t="n">
        <v>45821</v>
      </c>
      <c r="D1650" t="inlineStr">
        <is>
          <t>ÖSTERGÖTLANDS LÄN</t>
        </is>
      </c>
      <c r="E1650" t="inlineStr">
        <is>
          <t>NORRKÖPING</t>
        </is>
      </c>
      <c r="F1650" t="inlineStr">
        <is>
          <t>Holmen skog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28039-2025</t>
        </is>
      </c>
      <c r="B1651" s="1" t="n">
        <v>45817</v>
      </c>
      <c r="C1651" s="1" t="n">
        <v>45821</v>
      </c>
      <c r="D1651" t="inlineStr">
        <is>
          <t>ÖSTERGÖTLANDS LÄN</t>
        </is>
      </c>
      <c r="E1651" t="inlineStr">
        <is>
          <t>NORRKÖPING</t>
        </is>
      </c>
      <c r="F1651" t="inlineStr">
        <is>
          <t>Holmen skog AB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28514-2025</t>
        </is>
      </c>
      <c r="B1652" s="1" t="n">
        <v>45817</v>
      </c>
      <c r="C1652" s="1" t="n">
        <v>45821</v>
      </c>
      <c r="D1652" t="inlineStr">
        <is>
          <t>ÖSTERGÖTLANDS LÄN</t>
        </is>
      </c>
      <c r="E1652" t="inlineStr">
        <is>
          <t>NORRKÖPING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28497-2025</t>
        </is>
      </c>
      <c r="B1653" s="1" t="n">
        <v>45817</v>
      </c>
      <c r="C1653" s="1" t="n">
        <v>45821</v>
      </c>
      <c r="D1653" t="inlineStr">
        <is>
          <t>ÖSTERGÖTLANDS LÄN</t>
        </is>
      </c>
      <c r="E1653" t="inlineStr">
        <is>
          <t>NORRKÖPING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28507-2025</t>
        </is>
      </c>
      <c r="B1654" s="1" t="n">
        <v>45817</v>
      </c>
      <c r="C1654" s="1" t="n">
        <v>45821</v>
      </c>
      <c r="D1654" t="inlineStr">
        <is>
          <t>ÖSTERGÖTLANDS LÄN</t>
        </is>
      </c>
      <c r="E1654" t="inlineStr">
        <is>
          <t>NORRKÖPING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28734-2025</t>
        </is>
      </c>
      <c r="B1655" s="1" t="n">
        <v>45820</v>
      </c>
      <c r="C1655" s="1" t="n">
        <v>45821</v>
      </c>
      <c r="D1655" t="inlineStr">
        <is>
          <t>ÖSTERGÖTLANDS LÄN</t>
        </is>
      </c>
      <c r="E1655" t="inlineStr">
        <is>
          <t>NORRKÖPING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28750-2025</t>
        </is>
      </c>
      <c r="B1656" s="1" t="n">
        <v>45820</v>
      </c>
      <c r="C1656" s="1" t="n">
        <v>45821</v>
      </c>
      <c r="D1656" t="inlineStr">
        <is>
          <t>ÖSTERGÖTLANDS LÄN</t>
        </is>
      </c>
      <c r="E1656" t="inlineStr">
        <is>
          <t>NORRKÖPING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2025-06-13T18:31:19Z</dcterms:created>
  <dcterms:modified xmlns:dcterms="http://purl.org/dc/terms/" xmlns:xsi="http://www.w3.org/2001/XMLSchema-instance" xsi:type="dcterms:W3CDTF">2025-06-13T18:31:20Z</dcterms:modified>
</cp:coreProperties>
</file>