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46313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46313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46313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46313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46313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46313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46313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46313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38056-2026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46280</v>
      </c>
      <c r="E10" s="1" t="n">
        <v>46313</v>
      </c>
      <c r="F10" t="inlineStr">
        <is>
          <t>ÖSTERGÖTLANDS LÄN</t>
        </is>
      </c>
      <c r="G10" t="inlineStr">
        <is>
          <t>NORRKÖPING</t>
        </is>
      </c>
      <c r="I10" t="n">
        <v>20.8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28</v>
      </c>
      <c r="U10" t="n">
        <v>28</v>
      </c>
      <c r="V10" s="2" t="inlineStr">
        <is>
          <t>Knärot
Grönhjon
Motaggsvamp
Tallticka
Ullticka
Vedskivlav
Blåmossa
Bronshjon
Grovticka
Grönpyrola
Mindre märgborre
Spillkråka
Tofsmes</t>
        </is>
      </c>
      <c r="W10">
        <f>HYPERLINK("https://klasma.github.io/Logging_0581/artfynd/A 38056-2026 artfynd.xlsx", "A 38056-2026")</f>
        <v/>
      </c>
      <c r="X10">
        <f>HYPERLINK("https://klasma.github.io/Logging_0581/kartor/A 38056-2026 karta.png", "A 38056-2026")</f>
        <v/>
      </c>
      <c r="Y10">
        <f>HYPERLINK("https://klasma.github.io/Logging_0581/kartor_geotiff/A 38056-2026 georefererad karta.tif", "A 38056-2026")</f>
        <v/>
      </c>
      <c r="Z10">
        <f>HYPERLINK("https://klasma.github.io/Logging_0581/knärot/A 38056-2026 karta knärot.png", "A 38056-2026")</f>
        <v/>
      </c>
      <c r="AA10">
        <f>HYPERLINK("https://klasma.github.io/Logging_0581/klagomål/A 38056-2026 FSC-klagomål.docx", "A 38056-2026")</f>
        <v/>
      </c>
      <c r="AB10">
        <f>HYPERLINK("https://klasma.github.io/Logging_0581/klagomålsmail/A 38056-2026 FSC-klagomål mail.docx", "A 38056-2026")</f>
        <v/>
      </c>
      <c r="AC10">
        <f>HYPERLINK("https://klasma.github.io/Logging_0581/tillsyn/A 38056-2026 tillsynsbegäran.docx", "A 38056-2026")</f>
        <v/>
      </c>
      <c r="AD10">
        <f>HYPERLINK("https://klasma.github.io/Logging_0581/tillsynsmail/A 38056-2026 tillsynsbegäran mail.docx", "A 38056-2026")</f>
        <v/>
      </c>
      <c r="AE10">
        <f>HYPERLINK("https://klasma.github.io/Logging_0581/fåglar/A 38056-2026 prioriterade fågelarter.docx", "A 38056-2026")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46313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46313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46313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46313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46313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46313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46313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46313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46313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46313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1</v>
      </c>
      <c r="K20" t="n">
        <v>3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9</v>
      </c>
      <c r="T20" t="n">
        <v>9</v>
      </c>
      <c r="U20" t="n">
        <v>9</v>
      </c>
      <c r="V20" s="2" t="inlineStr">
        <is>
          <t>Ostticka
Dropptaggsvamp
Stubbtrådmossa
Tretåig hackspett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  <c r="AE20">
        <f>HYPERLINK("https://klasma.github.io/Logging_0581/fåglar/A 27912-2025 prioriterade fågelarter.docx", "A 27912-2025")</f>
        <v/>
      </c>
    </row>
    <row r="21" ht="15" customHeight="1">
      <c r="A21" t="inlineStr">
        <is>
          <t>A 37730-2025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45880</v>
      </c>
      <c r="E21" s="1" t="n">
        <v>46313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4.2</v>
      </c>
      <c r="J21" t="n">
        <v>1</v>
      </c>
      <c r="K21" t="n">
        <v>1</v>
      </c>
      <c r="L21" t="n">
        <v>7</v>
      </c>
      <c r="M21" t="n">
        <v>0</v>
      </c>
      <c r="N21" t="n">
        <v>0</v>
      </c>
      <c r="O21" t="n">
        <v>0</v>
      </c>
      <c r="P21" t="n">
        <v>0</v>
      </c>
      <c r="Q21" t="n">
        <v>7</v>
      </c>
      <c r="R21" t="n">
        <v>0</v>
      </c>
      <c r="S21" t="n">
        <v>9</v>
      </c>
      <c r="T21" t="n">
        <v>12</v>
      </c>
      <c r="U21" t="n">
        <v>0</v>
      </c>
      <c r="V21" s="2" t="inlineStr">
        <is>
          <t>Blek kryptolav
Kandelabersvamp
Motaggsvamp
Skogsklocka
Svinrot
Tallticka
Vippärt
Stekelbock
Blåsippa</t>
        </is>
      </c>
      <c r="W21">
        <f>HYPERLINK("https://klasma.github.io/Logging_0581/artfynd/A 37730-2025 artfynd.xlsx", "A 37730-2025")</f>
        <v/>
      </c>
      <c r="X21">
        <f>HYPERLINK("https://klasma.github.io/Logging_0581/kartor/A 37730-2025 karta.png", "A 37730-2025")</f>
        <v/>
      </c>
      <c r="Y21">
        <f>HYPERLINK("https://klasma.github.io/Logging_0581/kartor_geotiff/A 37730-2025 georefererad karta.tif", "A 37730-2025")</f>
        <v/>
      </c>
      <c r="AA21">
        <f>HYPERLINK("https://klasma.github.io/Logging_0581/klagomål/A 37730-2025 FSC-klagomål.docx", "A 37730-2025")</f>
        <v/>
      </c>
      <c r="AB21">
        <f>HYPERLINK("https://klasma.github.io/Logging_0581/klagomålsmail/A 37730-2025 FSC-klagomål mail.docx", "A 37730-2025")</f>
        <v/>
      </c>
      <c r="AC21">
        <f>HYPERLINK("https://klasma.github.io/Logging_0581/tillsyn/A 37730-2025 tillsynsbegäran.docx", "A 37730-2025")</f>
        <v/>
      </c>
      <c r="AD21">
        <f>HYPERLINK("https://klasma.github.io/Logging_0581/tillsynsmail/A 37730-2025 tillsynsbegäran mail.docx", "A 37730-2025")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46313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46313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46313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46313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46313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46313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46313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36567-2026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46269</v>
      </c>
      <c r="E29" s="1" t="n">
        <v>46313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5</v>
      </c>
      <c r="J29" t="n">
        <v>3</v>
      </c>
      <c r="K29" t="n">
        <v>3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7</v>
      </c>
      <c r="T29" t="n">
        <v>9</v>
      </c>
      <c r="U29" t="n">
        <v>9</v>
      </c>
      <c r="V29" s="2" t="inlineStr">
        <is>
          <t>Rödvingetrast
Tallticka
Talltita
Fällmossa
Guldlockmossa
Platt fjädermossa
Tofsmes</t>
        </is>
      </c>
      <c r="W29">
        <f>HYPERLINK("https://klasma.github.io/Logging_0581/artfynd/A 36567-2026 artfynd.xlsx", "A 36567-2026")</f>
        <v/>
      </c>
      <c r="X29">
        <f>HYPERLINK("https://klasma.github.io/Logging_0581/kartor/A 36567-2026 karta.png", "A 36567-2026")</f>
        <v/>
      </c>
      <c r="Y29">
        <f>HYPERLINK("https://klasma.github.io/Logging_0581/kartor_geotiff/A 36567-2026 georefererad karta.tif", "A 36567-2026")</f>
        <v/>
      </c>
      <c r="AA29">
        <f>HYPERLINK("https://klasma.github.io/Logging_0581/klagomål/A 36567-2026 FSC-klagomål.docx", "A 36567-2026")</f>
        <v/>
      </c>
      <c r="AB29">
        <f>HYPERLINK("https://klasma.github.io/Logging_0581/klagomålsmail/A 36567-2026 FSC-klagomål mail.docx", "A 36567-2026")</f>
        <v/>
      </c>
      <c r="AC29">
        <f>HYPERLINK("https://klasma.github.io/Logging_0581/tillsyn/A 36567-2026 tillsynsbegäran.docx", "A 36567-2026")</f>
        <v/>
      </c>
      <c r="AD29">
        <f>HYPERLINK("https://klasma.github.io/Logging_0581/tillsynsmail/A 36567-2026 tillsynsbegäran mail.docx", "A 36567-2026")</f>
        <v/>
      </c>
      <c r="AE29">
        <f>HYPERLINK("https://klasma.github.io/Logging_0581/fåglar/A 36567-2026 prioriterade fågelarter.docx", "A 36567-2026")</f>
        <v/>
      </c>
    </row>
    <row r="30" ht="15" customHeight="1">
      <c r="A30" t="inlineStr">
        <is>
          <t>A 21404-2024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45441</v>
      </c>
      <c r="E30" s="1" t="n">
        <v>46313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0.8</v>
      </c>
      <c r="J30" t="n">
        <v>2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6</v>
      </c>
      <c r="T30" t="n">
        <v>12</v>
      </c>
      <c r="U30" t="n">
        <v>1</v>
      </c>
      <c r="V30" s="2" t="inlineStr">
        <is>
          <t>Dvärgbägarlav
Kolflarnlav
Tallticka
Vintertagging
Grön sköldmossa
Tjäder</t>
        </is>
      </c>
      <c r="W30">
        <f>HYPERLINK("https://klasma.github.io/Logging_0581/artfynd/A 21404-2024 artfynd.xlsx", "A 21404-2024")</f>
        <v/>
      </c>
      <c r="X30">
        <f>HYPERLINK("https://klasma.github.io/Logging_0581/kartor/A 21404-2024 karta.png", "A 21404-2024")</f>
        <v/>
      </c>
      <c r="Y30">
        <f>HYPERLINK("https://klasma.github.io/Logging_0581/kartor_geotiff/A 21404-2024 georefererad karta.tif", "A 21404-2024")</f>
        <v/>
      </c>
      <c r="AA30">
        <f>HYPERLINK("https://klasma.github.io/Logging_0581/klagomål/A 21404-2024 FSC-klagomål.docx", "A 21404-2024")</f>
        <v/>
      </c>
      <c r="AB30">
        <f>HYPERLINK("https://klasma.github.io/Logging_0581/klagomålsmail/A 21404-2024 FSC-klagomål mail.docx", "A 21404-2024")</f>
        <v/>
      </c>
      <c r="AC30">
        <f>HYPERLINK("https://klasma.github.io/Logging_0581/tillsyn/A 21404-2024 tillsynsbegäran.docx", "A 21404-2024")</f>
        <v/>
      </c>
      <c r="AD30">
        <f>HYPERLINK("https://klasma.github.io/Logging_0581/tillsynsmail/A 21404-2024 tillsynsbegäran mail.docx", "A 21404-2024")</f>
        <v/>
      </c>
      <c r="AE30">
        <f>HYPERLINK("https://klasma.github.io/Logging_0581/fåglar/A 21404-2024 prioriterade fågelarter.docx", "A 21404-2024")</f>
        <v/>
      </c>
    </row>
    <row r="31" ht="15" customHeight="1">
      <c r="A31" t="inlineStr">
        <is>
          <t>A 44700-2025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46313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4</v>
      </c>
      <c r="J31" t="n">
        <v>1</v>
      </c>
      <c r="K31" t="n">
        <v>3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6</v>
      </c>
      <c r="U31" t="n">
        <v>6</v>
      </c>
      <c r="V31" s="2" t="inlineStr">
        <is>
          <t>Knärot
Motaggsvamp
Vedtrappmossa
Grönpyrola
Stor revmossa
Vedticka</t>
        </is>
      </c>
      <c r="W31">
        <f>HYPERLINK("https://klasma.github.io/Logging_0581/artfynd/A 44700-2025 artfynd.xlsx", "A 44700-2025")</f>
        <v/>
      </c>
      <c r="X31">
        <f>HYPERLINK("https://klasma.github.io/Logging_0581/kartor/A 44700-2025 karta.png", "A 44700-2025")</f>
        <v/>
      </c>
      <c r="Y31">
        <f>HYPERLINK("https://klasma.github.io/Logging_0581/kartor_geotiff/A 44700-2025 georefererad karta.tif", "A 44700-2025")</f>
        <v/>
      </c>
      <c r="Z31">
        <f>HYPERLINK("https://klasma.github.io/Logging_0581/knärot/A 44700-2025 karta knärot.png", "A 44700-2025")</f>
        <v/>
      </c>
      <c r="AA31">
        <f>HYPERLINK("https://klasma.github.io/Logging_0581/klagomål/A 44700-2025 FSC-klagomål.docx", "A 44700-2025")</f>
        <v/>
      </c>
      <c r="AB31">
        <f>HYPERLINK("https://klasma.github.io/Logging_0581/klagomålsmail/A 44700-2025 FSC-klagomål mail.docx", "A 44700-2025")</f>
        <v/>
      </c>
      <c r="AC31">
        <f>HYPERLINK("https://klasma.github.io/Logging_0581/tillsyn/A 44700-2025 tillsynsbegäran.docx", "A 44700-2025")</f>
        <v/>
      </c>
      <c r="AD31">
        <f>HYPERLINK("https://klasma.github.io/Logging_0581/tillsynsmail/A 44700-2025 tillsynsbegäran mail.docx", "A 44700-2025")</f>
        <v/>
      </c>
    </row>
    <row r="32" ht="15" customHeight="1">
      <c r="A32" t="inlineStr">
        <is>
          <t>A 55104-2025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46313</v>
      </c>
      <c r="F32" t="inlineStr">
        <is>
          <t>ÖSTERGÖTLANDS LÄN</t>
        </is>
      </c>
      <c r="G32" t="inlineStr">
        <is>
          <t>NORRKÖPING</t>
        </is>
      </c>
      <c r="I32" t="n">
        <v>14.6</v>
      </c>
      <c r="J32" t="n">
        <v>2</v>
      </c>
      <c r="K32" t="n">
        <v>3</v>
      </c>
      <c r="L32" t="n">
        <v>2</v>
      </c>
      <c r="M32" t="n">
        <v>0</v>
      </c>
      <c r="N32" t="n">
        <v>1</v>
      </c>
      <c r="O32" t="n">
        <v>0</v>
      </c>
      <c r="P32" t="n">
        <v>0</v>
      </c>
      <c r="Q32" t="n">
        <v>3</v>
      </c>
      <c r="R32" t="n">
        <v>1</v>
      </c>
      <c r="S32" t="n">
        <v>6</v>
      </c>
      <c r="T32" t="n">
        <v>10</v>
      </c>
      <c r="U32" t="n">
        <v>2</v>
      </c>
      <c r="V32" s="2" t="inlineStr">
        <is>
          <t>Ask
Adam och eva
Lunglav
Bårdlav
Ekoxe
Lönnlav</t>
        </is>
      </c>
      <c r="W32">
        <f>HYPERLINK("https://klasma.github.io/Logging_0581/artfynd/A 55104-2025 artfynd.xlsx", "A 55104-2025")</f>
        <v/>
      </c>
      <c r="X32">
        <f>HYPERLINK("https://klasma.github.io/Logging_0581/kartor/A 55104-2025 karta.png", "A 55104-2025")</f>
        <v/>
      </c>
      <c r="Y32">
        <f>HYPERLINK("https://klasma.github.io/Logging_0581/kartor_geotiff/A 55104-2025 georefererad karta.tif", "A 55104-2025")</f>
        <v/>
      </c>
      <c r="AA32">
        <f>HYPERLINK("https://klasma.github.io/Logging_0581/klagomål/A 55104-2025 FSC-klagomål.docx", "A 55104-2025")</f>
        <v/>
      </c>
      <c r="AB32">
        <f>HYPERLINK("https://klasma.github.io/Logging_0581/klagomålsmail/A 55104-2025 FSC-klagomål mail.docx", "A 55104-2025")</f>
        <v/>
      </c>
      <c r="AC32">
        <f>HYPERLINK("https://klasma.github.io/Logging_0581/tillsyn/A 55104-2025 tillsynsbegäran.docx", "A 55104-2025")</f>
        <v/>
      </c>
      <c r="AD32">
        <f>HYPERLINK("https://klasma.github.io/Logging_0581/tillsynsmail/A 55104-2025 tillsynsbegäran mail.docx", "A 55104-2025")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46313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2165-2022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44578</v>
      </c>
      <c r="E34" s="1" t="n">
        <v>46313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BillerudKorsnäs AB</t>
        </is>
      </c>
      <c r="I34" t="n">
        <v>2.1</v>
      </c>
      <c r="J34" t="n">
        <v>3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Röd skogslilja
Granbarkgnagare
Purpurknipprot
Stubbspretmossa
Blåsippa</t>
        </is>
      </c>
      <c r="W34">
        <f>HYPERLINK("https://klasma.github.io/Logging_0581/artfynd/A 2165-2022 artfynd.xlsx", "A 2165-2022")</f>
        <v/>
      </c>
      <c r="X34">
        <f>HYPERLINK("https://klasma.github.io/Logging_0581/kartor/A 2165-2022 karta.png", "A 2165-2022")</f>
        <v/>
      </c>
      <c r="Y34">
        <f>HYPERLINK("https://klasma.github.io/Logging_0581/kartor_geotiff/A 2165-2022 georefererad karta.tif", "A 2165-2022")</f>
        <v/>
      </c>
      <c r="AA34">
        <f>HYPERLINK("https://klasma.github.io/Logging_0581/klagomål/A 2165-2022 FSC-klagomål.docx", "A 2165-2022")</f>
        <v/>
      </c>
      <c r="AB34">
        <f>HYPERLINK("https://klasma.github.io/Logging_0581/klagomålsmail/A 2165-2022 FSC-klagomål mail.docx", "A 2165-2022")</f>
        <v/>
      </c>
      <c r="AC34">
        <f>HYPERLINK("https://klasma.github.io/Logging_0581/tillsyn/A 2165-2022 tillsynsbegäran.docx", "A 2165-2022")</f>
        <v/>
      </c>
      <c r="AD34">
        <f>HYPERLINK("https://klasma.github.io/Logging_0581/tillsynsmail/A 2165-2022 tillsynsbegäran mail.docx", "A 2165-2022")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46313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3815-2026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46313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Kommuner</t>
        </is>
      </c>
      <c r="I36" t="n">
        <v>1.1</v>
      </c>
      <c r="J36" t="n">
        <v>5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Grönfink
Entita
Stjärtmes
Tofsmes
Kungsfågel</t>
        </is>
      </c>
      <c r="W36">
        <f>HYPERLINK("https://klasma.github.io/Logging_0581/artfynd/A 3815-2026 artfynd.xlsx", "A 3815-2026")</f>
        <v/>
      </c>
      <c r="X36">
        <f>HYPERLINK("https://klasma.github.io/Logging_0581/kartor/A 3815-2026 karta.png", "A 3815-2026")</f>
        <v/>
      </c>
      <c r="Y36">
        <f>HYPERLINK("https://klasma.github.io/Logging_0581/kartor_geotiff/A 3815-2026 georefererad karta.tif", "A 3815-2026")</f>
        <v/>
      </c>
      <c r="AA36">
        <f>HYPERLINK("https://klasma.github.io/Logging_0581/klagomål/A 3815-2026 FSC-klagomål.docx", "A 3815-2026")</f>
        <v/>
      </c>
      <c r="AB36">
        <f>HYPERLINK("https://klasma.github.io/Logging_0581/klagomålsmail/A 3815-2026 FSC-klagomål mail.docx", "A 3815-2026")</f>
        <v/>
      </c>
      <c r="AC36">
        <f>HYPERLINK("https://klasma.github.io/Logging_0581/tillsyn/A 3815-2026 tillsynsbegäran.docx", "A 3815-2026")</f>
        <v/>
      </c>
      <c r="AD36">
        <f>HYPERLINK("https://klasma.github.io/Logging_0581/tillsynsmail/A 3815-2026 tillsynsbegäran mail.docx", "A 3815-2026")</f>
        <v/>
      </c>
      <c r="AE36">
        <f>HYPERLINK("https://klasma.github.io/Logging_0581/fåglar/A 3815-2026 prioriterade fågelarter.docx", "A 3815-2026")</f>
        <v/>
      </c>
    </row>
    <row r="37" ht="15" customHeight="1">
      <c r="A37" t="inlineStr">
        <is>
          <t>A 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46313</v>
      </c>
      <c r="F37" t="inlineStr">
        <is>
          <t>ÖSTERGÖTLANDS LÄN</t>
        </is>
      </c>
      <c r="G37" t="inlineStr">
        <is>
          <t>NORRKÖPING</t>
        </is>
      </c>
      <c r="I37" t="n">
        <v>5.9</v>
      </c>
      <c r="J37" t="n">
        <v>0</v>
      </c>
      <c r="K37" t="n">
        <v>1</v>
      </c>
      <c r="L37" t="n">
        <v>4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Gammelekslav
Gul dropplav
Skuggorangelav
Tallticka
Brun nållav</t>
        </is>
      </c>
      <c r="W37">
        <f>HYPERLINK("https://klasma.github.io/Logging_0581/artfynd/A 4820-2026 artfynd.xlsx", "A 4820-2026")</f>
        <v/>
      </c>
      <c r="X37">
        <f>HYPERLINK("https://klasma.github.io/Logging_0581/kartor/A 4820-2026 karta.png", "A 4820-2026")</f>
        <v/>
      </c>
      <c r="Y37">
        <f>HYPERLINK("https://klasma.github.io/Logging_0581/kartor_geotiff/A 4820-2026 georefererad karta.tif", "A 4820-2026")</f>
        <v/>
      </c>
      <c r="AA37">
        <f>HYPERLINK("https://klasma.github.io/Logging_0581/klagomål/A 4820-2026 FSC-klagomål.docx", "A 4820-2026")</f>
        <v/>
      </c>
      <c r="AB37">
        <f>HYPERLINK("https://klasma.github.io/Logging_0581/klagomålsmail/A 4820-2026 FSC-klagomål mail.docx", "A 4820-2026")</f>
        <v/>
      </c>
      <c r="AC37">
        <f>HYPERLINK("https://klasma.github.io/Logging_0581/tillsyn/A 4820-2026 tillsynsbegäran.docx", "A 4820-2026")</f>
        <v/>
      </c>
      <c r="AD37">
        <f>HYPERLINK("https://klasma.github.io/Logging_0581/tillsynsmail/A 4820-2026 tillsynsbegäran mail.docx", "A 4820-2026")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46313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19113-2023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45048</v>
      </c>
      <c r="E39" s="1" t="n">
        <v>46313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2.6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6</v>
      </c>
      <c r="U39" t="n">
        <v>3</v>
      </c>
      <c r="V39" s="2" t="inlineStr">
        <is>
          <t>Tofsmes
Fläcknycklar
Grönvit nattviol
Revlummer
Äkta lopplummer</t>
        </is>
      </c>
      <c r="W39">
        <f>HYPERLINK("https://klasma.github.io/Logging_0581/artfynd/A 19113-2023 artfynd.xlsx", "A 19113-2023")</f>
        <v/>
      </c>
      <c r="X39">
        <f>HYPERLINK("https://klasma.github.io/Logging_0581/kartor/A 19113-2023 karta.png", "A 19113-2023")</f>
        <v/>
      </c>
      <c r="Y39">
        <f>HYPERLINK("https://klasma.github.io/Logging_0581/kartor_geotiff/A 19113-2023 georefererad karta.tif", "A 19113-2023")</f>
        <v/>
      </c>
      <c r="AA39">
        <f>HYPERLINK("https://klasma.github.io/Logging_0581/klagomål/A 19113-2023 FSC-klagomål.docx", "A 19113-2023")</f>
        <v/>
      </c>
      <c r="AB39">
        <f>HYPERLINK("https://klasma.github.io/Logging_0581/klagomålsmail/A 19113-2023 FSC-klagomål mail.docx", "A 19113-2023")</f>
        <v/>
      </c>
      <c r="AC39">
        <f>HYPERLINK("https://klasma.github.io/Logging_0581/tillsyn/A 19113-2023 tillsynsbegäran.docx", "A 19113-2023")</f>
        <v/>
      </c>
      <c r="AD39">
        <f>HYPERLINK("https://klasma.github.io/Logging_0581/tillsynsmail/A 19113-2023 tillsynsbegäran mail.docx", "A 19113-2023")</f>
        <v/>
      </c>
    </row>
    <row r="40" ht="15" customHeight="1">
      <c r="A40" t="inlineStr">
        <is>
          <t>A 5941-2024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45336</v>
      </c>
      <c r="E40" s="1" t="n">
        <v>46313</v>
      </c>
      <c r="F40" t="inlineStr">
        <is>
          <t>ÖSTERGÖTLANDS LÄN</t>
        </is>
      </c>
      <c r="G40" t="inlineStr">
        <is>
          <t>NORRKÖPING</t>
        </is>
      </c>
      <c r="I40" t="n">
        <v>5.1</v>
      </c>
      <c r="J40" t="n">
        <v>4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5</v>
      </c>
      <c r="T40" t="n">
        <v>5</v>
      </c>
      <c r="U40" t="n">
        <v>0</v>
      </c>
      <c r="V40" s="2" t="inlineStr">
        <is>
          <t>Entita
Nordfladdermus
Slåtterfibbla
Dvärgpipistrell
Större brunfladdermus</t>
        </is>
      </c>
      <c r="W40">
        <f>HYPERLINK("https://klasma.github.io/Logging_0581/artfynd/A 5941-2024 artfynd.xlsx", "A 5941-2024")</f>
        <v/>
      </c>
      <c r="X40">
        <f>HYPERLINK("https://klasma.github.io/Logging_0581/kartor/A 5941-2024 karta.png", "A 5941-2024")</f>
        <v/>
      </c>
      <c r="Y40">
        <f>HYPERLINK("https://klasma.github.io/Logging_0581/kartor_geotiff/A 5941-2024 georefererad karta.tif", "A 5941-2024")</f>
        <v/>
      </c>
      <c r="AA40">
        <f>HYPERLINK("https://klasma.github.io/Logging_0581/klagomål/A 5941-2024 FSC-klagomål.docx", "A 5941-2024")</f>
        <v/>
      </c>
      <c r="AB40">
        <f>HYPERLINK("https://klasma.github.io/Logging_0581/klagomålsmail/A 5941-2024 FSC-klagomål mail.docx", "A 5941-2024")</f>
        <v/>
      </c>
      <c r="AC40">
        <f>HYPERLINK("https://klasma.github.io/Logging_0581/tillsyn/A 5941-2024 tillsynsbegäran.docx", "A 5941-2024")</f>
        <v/>
      </c>
      <c r="AD40">
        <f>HYPERLINK("https://klasma.github.io/Logging_0581/tillsynsmail/A 5941-2024 tillsynsbegäran mail.docx", "A 5941-2024")</f>
        <v/>
      </c>
      <c r="AE40">
        <f>HYPERLINK("https://klasma.github.io/Logging_0581/fåglar/A 5941-2024 prioriterade fågelarter.docx", "A 5941-2024")</f>
        <v/>
      </c>
    </row>
    <row r="41" ht="15" customHeight="1">
      <c r="A41" t="inlineStr">
        <is>
          <t>A 21536-2025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46313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HYPERLINK("https://klasma.github.io/Logging_0581/artfynd/A 21536-2025 artfynd.xlsx", "A 21536-2025")</f>
        <v/>
      </c>
      <c r="X41">
        <f>HYPERLINK("https://klasma.github.io/Logging_0581/kartor/A 21536-2025 karta.png", "A 21536-2025")</f>
        <v/>
      </c>
      <c r="Y41">
        <f>HYPERLINK("https://klasma.github.io/Logging_0581/kartor_geotiff/A 21536-2025 georefererad karta.tif", "A 21536-2025")</f>
        <v/>
      </c>
      <c r="AA41">
        <f>HYPERLINK("https://klasma.github.io/Logging_0581/klagomål/A 21536-2025 FSC-klagomål.docx", "A 21536-2025")</f>
        <v/>
      </c>
      <c r="AB41">
        <f>HYPERLINK("https://klasma.github.io/Logging_0581/klagomålsmail/A 21536-2025 FSC-klagomål mail.docx", "A 21536-2025")</f>
        <v/>
      </c>
      <c r="AC41">
        <f>HYPERLINK("https://klasma.github.io/Logging_0581/tillsyn/A 21536-2025 tillsynsbegäran.docx", "A 21536-2025")</f>
        <v/>
      </c>
      <c r="AD41">
        <f>HYPERLINK("https://klasma.github.io/Logging_0581/tillsynsmail/A 21536-2025 tillsynsbegäran mail.docx", "A 21536-2025")</f>
        <v/>
      </c>
    </row>
    <row r="42" ht="15" customHeight="1">
      <c r="A42" t="inlineStr">
        <is>
          <t>S 1484-2025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45789</v>
      </c>
      <c r="E42" s="1" t="n">
        <v>46313</v>
      </c>
      <c r="F42" t="inlineStr">
        <is>
          <t>ÖSTERGÖTLANDS LÄN</t>
        </is>
      </c>
      <c r="G42" t="inlineStr">
        <is>
          <t>NORRKÖPING</t>
        </is>
      </c>
      <c r="I42" t="n">
        <v>6.2</v>
      </c>
      <c r="J42" t="n">
        <v>1</v>
      </c>
      <c r="K42" t="n">
        <v>3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5</v>
      </c>
      <c r="T42" t="n">
        <v>6</v>
      </c>
      <c r="U42" t="n">
        <v>6</v>
      </c>
      <c r="V42" s="2" t="inlineStr">
        <is>
          <t>Reliktbock
Tjockfotad fingersvamp
Grovticka
Grön sköldmossa
Stubbspretmossa</t>
        </is>
      </c>
      <c r="W42">
        <f>HYPERLINK("https://klasma.github.io/Logging_0581/artfynd/S 1484-2025 artfynd.xlsx", "S 1484-2025")</f>
        <v/>
      </c>
      <c r="X42">
        <f>HYPERLINK("https://klasma.github.io/Logging_0581/kartor/S 1484-2025 karta.png", "S 1484-2025")</f>
        <v/>
      </c>
      <c r="Y42">
        <f>HYPERLINK("https://klasma.github.io/Logging_0581/kartor_geotiff/S 1484-2025 georefererad karta.tif", "S 1484-2025")</f>
        <v/>
      </c>
      <c r="AA42">
        <f>HYPERLINK("https://klasma.github.io/Logging_0581/klagomål/S 1484-2025 FSC-klagomål.docx", "S 1484-2025")</f>
        <v/>
      </c>
      <c r="AB42">
        <f>HYPERLINK("https://klasma.github.io/Logging_0581/klagomålsmail/S 1484-2025 FSC-klagomål mail.docx", "S 1484-2025")</f>
        <v/>
      </c>
      <c r="AC42">
        <f>HYPERLINK("https://klasma.github.io/Logging_0581/tillsyn/S 1484-2025 tillsynsbegäran.docx", "S 1484-2025")</f>
        <v/>
      </c>
      <c r="AD42">
        <f>HYPERLINK("https://klasma.github.io/Logging_0581/tillsynsmail/S 1484-2025 tillsynsbegäran mail.docx", "S 1484-2025")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46313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46313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Aspfjädermossa
Ullticka
Vedtrappmossa
Grön sköldmossa</t>
        </is>
      </c>
      <c r="W44">
        <f>HYPERLINK("https://klasma.github.io/Logging_0581/artfynd/A 11741-2024 artfynd.xlsx", "A 11741-2024")</f>
        <v/>
      </c>
      <c r="X44">
        <f>HYPERLINK("https://klasma.github.io/Logging_0581/kartor/A 11741-2024 karta.png", "A 11741-2024")</f>
        <v/>
      </c>
      <c r="Y44">
        <f>HYPERLINK("https://klasma.github.io/Logging_0581/kartor_geotiff/A 11741-2024 georefererad karta.tif", "A 11741-2024")</f>
        <v/>
      </c>
      <c r="AA44">
        <f>HYPERLINK("https://klasma.github.io/Logging_0581/klagomål/A 11741-2024 FSC-klagomål.docx", "A 11741-2024")</f>
        <v/>
      </c>
      <c r="AB44">
        <f>HYPERLINK("https://klasma.github.io/Logging_0581/klagomålsmail/A 11741-2024 FSC-klagomål mail.docx", "A 11741-2024")</f>
        <v/>
      </c>
      <c r="AC44">
        <f>HYPERLINK("https://klasma.github.io/Logging_0581/tillsyn/A 11741-2024 tillsynsbegäran.docx", "A 11741-2024")</f>
        <v/>
      </c>
      <c r="AD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46313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4</v>
      </c>
      <c r="V45" s="2" t="inlineStr">
        <is>
          <t>Citronporing
Kandelabersvamp
Vit vedfingersvamp
Tibast</t>
        </is>
      </c>
      <c r="W45">
        <f>HYPERLINK("https://klasma.github.io/Logging_0581/artfynd/A 18491-2023 artfynd.xlsx", "A 18491-2023")</f>
        <v/>
      </c>
      <c r="X45">
        <f>HYPERLINK("https://klasma.github.io/Logging_0581/kartor/A 18491-2023 karta.png", "A 18491-2023")</f>
        <v/>
      </c>
      <c r="Y45">
        <f>HYPERLINK("https://klasma.github.io/Logging_0581/kartor_geotiff/A 18491-2023 georefererad karta.tif", "A 18491-2023")</f>
        <v/>
      </c>
      <c r="AA45">
        <f>HYPERLINK("https://klasma.github.io/Logging_0581/klagomål/A 18491-2023 FSC-klagomål.docx", "A 18491-2023")</f>
        <v/>
      </c>
      <c r="AB45">
        <f>HYPERLINK("https://klasma.github.io/Logging_0581/klagomålsmail/A 18491-2023 FSC-klagomål mail.docx", "A 18491-2023")</f>
        <v/>
      </c>
      <c r="AC45">
        <f>HYPERLINK("https://klasma.github.io/Logging_0581/tillsyn/A 18491-2023 tillsynsbegäran.docx", "A 18491-2023")</f>
        <v/>
      </c>
      <c r="AD45">
        <f>HYPERLINK("https://klasma.github.io/Logging_0581/tillsynsmail/A 18491-2023 tillsynsbegäran mail.docx", "A 18491-2023")</f>
        <v/>
      </c>
    </row>
    <row r="46" ht="15" customHeight="1">
      <c r="A46" t="inlineStr">
        <is>
          <t>A 38599-2025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46313</v>
      </c>
      <c r="F46" t="inlineStr">
        <is>
          <t>ÖSTERGÖTLANDS LÄN</t>
        </is>
      </c>
      <c r="G46" t="inlineStr">
        <is>
          <t>NORRKÖPING</t>
        </is>
      </c>
      <c r="I46" t="n">
        <v>5.3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Kalkkärrsgrynsnäcka
Majviva
Grönvit nattviol
Ängsnycklar</t>
        </is>
      </c>
      <c r="W46">
        <f>HYPERLINK("https://klasma.github.io/Logging_0581/artfynd/A 38599-2025 artfynd.xlsx", "A 38599-2025")</f>
        <v/>
      </c>
      <c r="X46">
        <f>HYPERLINK("https://klasma.github.io/Logging_0581/kartor/A 38599-2025 karta.png", "A 38599-2025")</f>
        <v/>
      </c>
      <c r="Y46">
        <f>HYPERLINK("https://klasma.github.io/Logging_0581/kartor_geotiff/A 38599-2025 georefererad karta.tif", "A 38599-2025")</f>
        <v/>
      </c>
      <c r="AA46">
        <f>HYPERLINK("https://klasma.github.io/Logging_0581/klagomål/A 38599-2025 FSC-klagomål.docx", "A 38599-2025")</f>
        <v/>
      </c>
      <c r="AB46">
        <f>HYPERLINK("https://klasma.github.io/Logging_0581/klagomålsmail/A 38599-2025 FSC-klagomål mail.docx", "A 38599-2025")</f>
        <v/>
      </c>
      <c r="AC46">
        <f>HYPERLINK("https://klasma.github.io/Logging_0581/tillsyn/A 38599-2025 tillsynsbegäran.docx", "A 38599-2025")</f>
        <v/>
      </c>
      <c r="AD46">
        <f>HYPERLINK("https://klasma.github.io/Logging_0581/tillsynsmail/A 38599-2025 tillsynsbegäran mail.docx", "A 38599-2025")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46313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46313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46313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51538-2024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45604</v>
      </c>
      <c r="E50" s="1" t="n">
        <v>46313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1.6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9</v>
      </c>
      <c r="U50" t="n">
        <v>9</v>
      </c>
      <c r="V50" s="2" t="inlineStr">
        <is>
          <t>Bårdlav
Fällmossa
Hasselticka
Blåsippa</t>
        </is>
      </c>
      <c r="W50">
        <f>HYPERLINK("https://klasma.github.io/Logging_0581/artfynd/A 51538-2024 artfynd.xlsx", "A 51538-2024")</f>
        <v/>
      </c>
      <c r="X50">
        <f>HYPERLINK("https://klasma.github.io/Logging_0581/kartor/A 51538-2024 karta.png", "A 51538-2024")</f>
        <v/>
      </c>
      <c r="Y50">
        <f>HYPERLINK("https://klasma.github.io/Logging_0581/kartor_geotiff/A 51538-2024 georefererad karta.tif", "A 51538-2024")</f>
        <v/>
      </c>
      <c r="AA50">
        <f>HYPERLINK("https://klasma.github.io/Logging_0581/klagomål/A 51538-2024 FSC-klagomål.docx", "A 51538-2024")</f>
        <v/>
      </c>
      <c r="AB50">
        <f>HYPERLINK("https://klasma.github.io/Logging_0581/klagomålsmail/A 51538-2024 FSC-klagomål mail.docx", "A 51538-2024")</f>
        <v/>
      </c>
      <c r="AC50">
        <f>HYPERLINK("https://klasma.github.io/Logging_0581/tillsyn/A 51538-2024 tillsynsbegäran.docx", "A 51538-2024")</f>
        <v/>
      </c>
      <c r="AD50">
        <f>HYPERLINK("https://klasma.github.io/Logging_0581/tillsynsmail/A 51538-2024 tillsynsbegäran mail.docx", "A 51538-2024")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46313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36581-2026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46269</v>
      </c>
      <c r="E52" s="1" t="n">
        <v>46313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Mindre hackspett
Barkticka
Fällmossa
Blåsippa</t>
        </is>
      </c>
      <c r="W52">
        <f>HYPERLINK("https://klasma.github.io/Logging_0581/artfynd/A 36581-2026 artfynd.xlsx", "A 36581-2026")</f>
        <v/>
      </c>
      <c r="X52">
        <f>HYPERLINK("https://klasma.github.io/Logging_0581/kartor/A 36581-2026 karta.png", "A 36581-2026")</f>
        <v/>
      </c>
      <c r="Y52">
        <f>HYPERLINK("https://klasma.github.io/Logging_0581/kartor_geotiff/A 36581-2026 georefererad karta.tif", "A 36581-2026")</f>
        <v/>
      </c>
      <c r="AA52">
        <f>HYPERLINK("https://klasma.github.io/Logging_0581/klagomål/A 36581-2026 FSC-klagomål.docx", "A 36581-2026")</f>
        <v/>
      </c>
      <c r="AB52">
        <f>HYPERLINK("https://klasma.github.io/Logging_0581/klagomålsmail/A 36581-2026 FSC-klagomål mail.docx", "A 36581-2026")</f>
        <v/>
      </c>
      <c r="AC52">
        <f>HYPERLINK("https://klasma.github.io/Logging_0581/tillsyn/A 36581-2026 tillsynsbegäran.docx", "A 36581-2026")</f>
        <v/>
      </c>
      <c r="AD52">
        <f>HYPERLINK("https://klasma.github.io/Logging_0581/tillsynsmail/A 36581-2026 tillsynsbegäran mail.docx", "A 36581-2026")</f>
        <v/>
      </c>
      <c r="AE52">
        <f>HYPERLINK("https://klasma.github.io/Logging_0581/fåglar/A 36581-2026 prioriterade fågelarter.docx", "A 36581-2026")</f>
        <v/>
      </c>
    </row>
    <row r="53" ht="15" customHeight="1">
      <c r="A53" t="inlineStr">
        <is>
          <t>A 31468-2025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45833</v>
      </c>
      <c r="E53" s="1" t="n">
        <v>46313</v>
      </c>
      <c r="F53" t="inlineStr">
        <is>
          <t>ÖSTERGÖTLANDS LÄN</t>
        </is>
      </c>
      <c r="G53" t="inlineStr">
        <is>
          <t>NORRKÖPING</t>
        </is>
      </c>
      <c r="I53" t="n">
        <v>6.3</v>
      </c>
      <c r="J53" t="n">
        <v>2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7</v>
      </c>
      <c r="U53" t="n">
        <v>1</v>
      </c>
      <c r="V53" s="2" t="inlineStr">
        <is>
          <t>Talltita
Vedskivlav
Grönpyrola
Blåsippa</t>
        </is>
      </c>
      <c r="W53">
        <f>HYPERLINK("https://klasma.github.io/Logging_0581/artfynd/A 31468-2025 artfynd.xlsx", "A 31468-2025")</f>
        <v/>
      </c>
      <c r="X53">
        <f>HYPERLINK("https://klasma.github.io/Logging_0581/kartor/A 31468-2025 karta.png", "A 31468-2025")</f>
        <v/>
      </c>
      <c r="Y53">
        <f>HYPERLINK("https://klasma.github.io/Logging_0581/kartor_geotiff/A 31468-2025 georefererad karta.tif", "A 31468-2025")</f>
        <v/>
      </c>
      <c r="AA53">
        <f>HYPERLINK("https://klasma.github.io/Logging_0581/klagomål/A 31468-2025 FSC-klagomål.docx", "A 31468-2025")</f>
        <v/>
      </c>
      <c r="AB53">
        <f>HYPERLINK("https://klasma.github.io/Logging_0581/klagomålsmail/A 31468-2025 FSC-klagomål mail.docx", "A 31468-2025")</f>
        <v/>
      </c>
      <c r="AC53">
        <f>HYPERLINK("https://klasma.github.io/Logging_0581/tillsyn/A 31468-2025 tillsynsbegäran.docx", "A 31468-2025")</f>
        <v/>
      </c>
      <c r="AD53">
        <f>HYPERLINK("https://klasma.github.io/Logging_0581/tillsynsmail/A 31468-2025 tillsynsbegäran mail.docx", "A 31468-2025")</f>
        <v/>
      </c>
      <c r="AE53">
        <f>HYPERLINK("https://klasma.github.io/Logging_0581/fåglar/A 31468-2025 prioriterade fågelarter.docx", "A 31468-2025")</f>
        <v/>
      </c>
    </row>
    <row r="54" ht="15" customHeight="1">
      <c r="A54" t="inlineStr">
        <is>
          <t>A 10282-2022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44622</v>
      </c>
      <c r="E54" s="1" t="n">
        <v>46313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4.6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1</v>
      </c>
      <c r="V54" s="2" t="inlineStr">
        <is>
          <t>Grönfink
Skogsklocka
Blåsippa</t>
        </is>
      </c>
      <c r="W54">
        <f>HYPERLINK("https://klasma.github.io/Logging_0581/artfynd/A 10282-2022 artfynd.xlsx", "A 10282-2022")</f>
        <v/>
      </c>
      <c r="X54">
        <f>HYPERLINK("https://klasma.github.io/Logging_0581/kartor/A 10282-2022 karta.png", "A 10282-2022")</f>
        <v/>
      </c>
      <c r="Y54">
        <f>HYPERLINK("https://klasma.github.io/Logging_0581/kartor_geotiff/A 10282-2022 georefererad karta.tif", "A 10282-2022")</f>
        <v/>
      </c>
      <c r="AA54">
        <f>HYPERLINK("https://klasma.github.io/Logging_0581/klagomål/A 10282-2022 FSC-klagomål.docx", "A 10282-2022")</f>
        <v/>
      </c>
      <c r="AB54">
        <f>HYPERLINK("https://klasma.github.io/Logging_0581/klagomålsmail/A 10282-2022 FSC-klagomål mail.docx", "A 10282-2022")</f>
        <v/>
      </c>
      <c r="AC54">
        <f>HYPERLINK("https://klasma.github.io/Logging_0581/tillsyn/A 10282-2022 tillsynsbegäran.docx", "A 10282-2022")</f>
        <v/>
      </c>
      <c r="AD54">
        <f>HYPERLINK("https://klasma.github.io/Logging_0581/tillsynsmail/A 10282-2022 tillsynsbegäran mail.docx", "A 10282-2022")</f>
        <v/>
      </c>
      <c r="AE54">
        <f>HYPERLINK("https://klasma.github.io/Logging_0581/fåglar/A 10282-2022 prioriterade fågelarter.docx", "A 10282-2022")</f>
        <v/>
      </c>
    </row>
    <row r="55" ht="15" customHeight="1">
      <c r="A55" t="inlineStr">
        <is>
          <t>A 12692-2025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46313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6.1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2</v>
      </c>
      <c r="V55" s="2" t="inlineStr">
        <is>
          <t>Dvärgbägarlav
Vedskivlav
Mattlummer</t>
        </is>
      </c>
      <c r="W55">
        <f>HYPERLINK("https://klasma.github.io/Logging_0581/artfynd/A 12692-2025 artfynd.xlsx", "A 12692-2025")</f>
        <v/>
      </c>
      <c r="X55">
        <f>HYPERLINK("https://klasma.github.io/Logging_0581/kartor/A 12692-2025 karta.png", "A 12692-2025")</f>
        <v/>
      </c>
      <c r="Y55">
        <f>HYPERLINK("https://klasma.github.io/Logging_0581/kartor_geotiff/A 12692-2025 georefererad karta.tif", "A 12692-2025")</f>
        <v/>
      </c>
      <c r="AA55">
        <f>HYPERLINK("https://klasma.github.io/Logging_0581/klagomål/A 12692-2025 FSC-klagomål.docx", "A 12692-2025")</f>
        <v/>
      </c>
      <c r="AB55">
        <f>HYPERLINK("https://klasma.github.io/Logging_0581/klagomålsmail/A 12692-2025 FSC-klagomål mail.docx", "A 12692-2025")</f>
        <v/>
      </c>
      <c r="AC55">
        <f>HYPERLINK("https://klasma.github.io/Logging_0581/tillsyn/A 12692-2025 tillsynsbegäran.docx", "A 12692-2025")</f>
        <v/>
      </c>
      <c r="AD55">
        <f>HYPERLINK("https://klasma.github.io/Logging_0581/tillsynsmail/A 12692-2025 tillsynsbegäran mail.docx", "A 12692-2025")</f>
        <v/>
      </c>
    </row>
    <row r="56" ht="15" customHeight="1">
      <c r="A56" t="inlineStr">
        <is>
          <t>A 19989-2026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46136</v>
      </c>
      <c r="E56" s="1" t="n">
        <v>46313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4.6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Hasselticka
Spillkråka</t>
        </is>
      </c>
      <c r="W56">
        <f>HYPERLINK("https://klasma.github.io/Logging_0581/artfynd/A 19989-2026 artfynd.xlsx", "A 19989-2026")</f>
        <v/>
      </c>
      <c r="X56">
        <f>HYPERLINK("https://klasma.github.io/Logging_0581/kartor/A 19989-2026 karta.png", "A 19989-2026")</f>
        <v/>
      </c>
      <c r="Y56">
        <f>HYPERLINK("https://klasma.github.io/Logging_0581/kartor_geotiff/A 19989-2026 georefererad karta.tif", "A 19989-2026")</f>
        <v/>
      </c>
      <c r="AA56">
        <f>HYPERLINK("https://klasma.github.io/Logging_0581/klagomål/A 19989-2026 FSC-klagomål.docx", "A 19989-2026")</f>
        <v/>
      </c>
      <c r="AB56">
        <f>HYPERLINK("https://klasma.github.io/Logging_0581/klagomålsmail/A 19989-2026 FSC-klagomål mail.docx", "A 19989-2026")</f>
        <v/>
      </c>
      <c r="AC56">
        <f>HYPERLINK("https://klasma.github.io/Logging_0581/tillsyn/A 19989-2026 tillsynsbegäran.docx", "A 19989-2026")</f>
        <v/>
      </c>
      <c r="AD56">
        <f>HYPERLINK("https://klasma.github.io/Logging_0581/tillsynsmail/A 19989-2026 tillsynsbegäran mail.docx", "A 19989-2026")</f>
        <v/>
      </c>
      <c r="AE56">
        <f>HYPERLINK("https://klasma.github.io/Logging_0581/fåglar/A 19989-2026 prioriterade fågelarter.docx", "A 19989-2026")</f>
        <v/>
      </c>
    </row>
    <row r="57" ht="15" customHeight="1">
      <c r="A57" t="inlineStr">
        <is>
          <t>A 44677-2025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46313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1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Motaggsvamp
Vedskivlav
Fällmossa</t>
        </is>
      </c>
      <c r="W57">
        <f>HYPERLINK("https://klasma.github.io/Logging_0581/artfynd/A 44677-2025 artfynd.xlsx", "A 44677-2025")</f>
        <v/>
      </c>
      <c r="X57">
        <f>HYPERLINK("https://klasma.github.io/Logging_0581/kartor/A 44677-2025 karta.png", "A 44677-2025")</f>
        <v/>
      </c>
      <c r="Y57">
        <f>HYPERLINK("https://klasma.github.io/Logging_0581/kartor_geotiff/A 44677-2025 georefererad karta.tif", "A 44677-2025")</f>
        <v/>
      </c>
      <c r="AA57">
        <f>HYPERLINK("https://klasma.github.io/Logging_0581/klagomål/A 44677-2025 FSC-klagomål.docx", "A 44677-2025")</f>
        <v/>
      </c>
      <c r="AB57">
        <f>HYPERLINK("https://klasma.github.io/Logging_0581/klagomålsmail/A 44677-2025 FSC-klagomål mail.docx", "A 44677-2025")</f>
        <v/>
      </c>
      <c r="AC57">
        <f>HYPERLINK("https://klasma.github.io/Logging_0581/tillsyn/A 44677-2025 tillsynsbegäran.docx", "A 44677-2025")</f>
        <v/>
      </c>
      <c r="AD57">
        <f>HYPERLINK("https://klasma.github.io/Logging_0581/tillsynsmail/A 44677-2025 tillsynsbegäran mail.docx", "A 44677-2025")</f>
        <v/>
      </c>
    </row>
    <row r="58" ht="15" customHeight="1">
      <c r="A58" t="inlineStr">
        <is>
          <t>A 861-2023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44931</v>
      </c>
      <c r="E58" s="1" t="n">
        <v>46313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Kommuner</t>
        </is>
      </c>
      <c r="I58" t="n">
        <v>4.4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Nordfladdermus
Dvärgpipistrell
Vattenfladdermus</t>
        </is>
      </c>
      <c r="W58">
        <f>HYPERLINK("https://klasma.github.io/Logging_0581/artfynd/A 861-2023 artfynd.xlsx", "A 861-2023")</f>
        <v/>
      </c>
      <c r="X58">
        <f>HYPERLINK("https://klasma.github.io/Logging_0581/kartor/A 861-2023 karta.png", "A 861-2023")</f>
        <v/>
      </c>
      <c r="Y58">
        <f>HYPERLINK("https://klasma.github.io/Logging_0581/kartor_geotiff/A 861-2023 georefererad karta.tif", "A 861-2023")</f>
        <v/>
      </c>
      <c r="AA58">
        <f>HYPERLINK("https://klasma.github.io/Logging_0581/klagomål/A 861-2023 FSC-klagomål.docx", "A 861-2023")</f>
        <v/>
      </c>
      <c r="AB58">
        <f>HYPERLINK("https://klasma.github.io/Logging_0581/klagomålsmail/A 861-2023 FSC-klagomål mail.docx", "A 861-2023")</f>
        <v/>
      </c>
      <c r="AC58">
        <f>HYPERLINK("https://klasma.github.io/Logging_0581/tillsyn/A 861-2023 tillsynsbegäran.docx", "A 861-2023")</f>
        <v/>
      </c>
      <c r="AD58">
        <f>HYPERLINK("https://klasma.github.io/Logging_0581/tillsynsmail/A 861-2023 tillsynsbegäran mail.docx", "A 861-2023")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46313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46313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46313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46313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Dropptaggsvamp
Dvärgbägarlav
Bronshjon</t>
        </is>
      </c>
      <c r="W62">
        <f>HYPERLINK("https://klasma.github.io/Logging_0581/artfynd/A 2484-2026 artfynd.xlsx", "A 2484-2026")</f>
        <v/>
      </c>
      <c r="X62">
        <f>HYPERLINK("https://klasma.github.io/Logging_0581/kartor/A 2484-2026 karta.png", "A 2484-2026")</f>
        <v/>
      </c>
      <c r="Y62">
        <f>HYPERLINK("https://klasma.github.io/Logging_0581/kartor_geotiff/A 2484-2026 georefererad karta.tif", "A 2484-2026")</f>
        <v/>
      </c>
      <c r="AA62">
        <f>HYPERLINK("https://klasma.github.io/Logging_0581/klagomål/A 2484-2026 FSC-klagomål.docx", "A 2484-2026")</f>
        <v/>
      </c>
      <c r="AB62">
        <f>HYPERLINK("https://klasma.github.io/Logging_0581/klagomålsmail/A 2484-2026 FSC-klagomål mail.docx", "A 2484-2026")</f>
        <v/>
      </c>
      <c r="AC62">
        <f>HYPERLINK("https://klasma.github.io/Logging_0581/tillsyn/A 2484-2026 tillsynsbegäran.docx", "A 2484-2026")</f>
        <v/>
      </c>
      <c r="AD62">
        <f>HYPERLINK("https://klasma.github.io/Logging_0581/tillsynsmail/A 2484-2026 tillsynsbegäran mail.docx", "A 2484-2026")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46313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46313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28766-2026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46198</v>
      </c>
      <c r="E65" s="1" t="n">
        <v>46313</v>
      </c>
      <c r="F65" t="inlineStr">
        <is>
          <t>ÖSTERGÖTLANDS LÄN</t>
        </is>
      </c>
      <c r="G65" t="inlineStr">
        <is>
          <t>NORRKÖPING</t>
        </is>
      </c>
      <c r="I65" t="n">
        <v>4.6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Ljungsnärja
Backtimjan
Granbarkgnagare</t>
        </is>
      </c>
      <c r="W65">
        <f>HYPERLINK("https://klasma.github.io/Logging_0581/artfynd/A 28766-2026 artfynd.xlsx", "A 28766-2026")</f>
        <v/>
      </c>
      <c r="X65">
        <f>HYPERLINK("https://klasma.github.io/Logging_0581/kartor/A 28766-2026 karta.png", "A 28766-2026")</f>
        <v/>
      </c>
      <c r="Y65">
        <f>HYPERLINK("https://klasma.github.io/Logging_0581/kartor_geotiff/A 28766-2026 georefererad karta.tif", "A 28766-2026")</f>
        <v/>
      </c>
      <c r="AA65">
        <f>HYPERLINK("https://klasma.github.io/Logging_0581/klagomål/A 28766-2026 FSC-klagomål.docx", "A 28766-2026")</f>
        <v/>
      </c>
      <c r="AB65">
        <f>HYPERLINK("https://klasma.github.io/Logging_0581/klagomålsmail/A 28766-2026 FSC-klagomål mail.docx", "A 28766-2026")</f>
        <v/>
      </c>
      <c r="AC65">
        <f>HYPERLINK("https://klasma.github.io/Logging_0581/tillsyn/A 28766-2026 tillsynsbegäran.docx", "A 28766-2026")</f>
        <v/>
      </c>
      <c r="AD65">
        <f>HYPERLINK("https://klasma.github.io/Logging_0581/tillsynsmail/A 28766-2026 tillsynsbegäran mail.docx", "A 28766-2026")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46313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60171-2023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45258</v>
      </c>
      <c r="E67" s="1" t="n">
        <v>46313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1.7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Tallticka
Blomkålssvamp
Kransmossa</t>
        </is>
      </c>
      <c r="W67">
        <f>HYPERLINK("https://klasma.github.io/Logging_0581/artfynd/A 60171-2023 artfynd.xlsx", "A 60171-2023")</f>
        <v/>
      </c>
      <c r="X67">
        <f>HYPERLINK("https://klasma.github.io/Logging_0581/kartor/A 60171-2023 karta.png", "A 60171-2023")</f>
        <v/>
      </c>
      <c r="Y67">
        <f>HYPERLINK("https://klasma.github.io/Logging_0581/kartor_geotiff/A 60171-2023 georefererad karta.tif", "A 60171-2023")</f>
        <v/>
      </c>
      <c r="AA67">
        <f>HYPERLINK("https://klasma.github.io/Logging_0581/klagomål/A 60171-2023 FSC-klagomål.docx", "A 60171-2023")</f>
        <v/>
      </c>
      <c r="AB67">
        <f>HYPERLINK("https://klasma.github.io/Logging_0581/klagomålsmail/A 60171-2023 FSC-klagomål mail.docx", "A 60171-2023")</f>
        <v/>
      </c>
      <c r="AC67">
        <f>HYPERLINK("https://klasma.github.io/Logging_0581/tillsyn/A 60171-2023 tillsynsbegäran.docx", "A 60171-2023")</f>
        <v/>
      </c>
      <c r="AD67">
        <f>HYPERLINK("https://klasma.github.io/Logging_0581/tillsynsmail/A 60171-2023 tillsynsbegäran mail.docx", "A 60171-2023")</f>
        <v/>
      </c>
    </row>
    <row r="68" ht="15" customHeight="1">
      <c r="A68" t="inlineStr">
        <is>
          <t>A 31373-2026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46213</v>
      </c>
      <c r="E68" s="1" t="n">
        <v>46313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6.1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Blåmossa
Spillkråka
Revlummer</t>
        </is>
      </c>
      <c r="W68">
        <f>HYPERLINK("https://klasma.github.io/Logging_0581/artfynd/A 31373-2026 artfynd.xlsx", "A 31373-2026")</f>
        <v/>
      </c>
      <c r="X68">
        <f>HYPERLINK("https://klasma.github.io/Logging_0581/kartor/A 31373-2026 karta.png", "A 31373-2026")</f>
        <v/>
      </c>
      <c r="Y68">
        <f>HYPERLINK("https://klasma.github.io/Logging_0581/kartor_geotiff/A 31373-2026 georefererad karta.tif", "A 31373-2026")</f>
        <v/>
      </c>
      <c r="AA68">
        <f>HYPERLINK("https://klasma.github.io/Logging_0581/klagomål/A 31373-2026 FSC-klagomål.docx", "A 31373-2026")</f>
        <v/>
      </c>
      <c r="AB68">
        <f>HYPERLINK("https://klasma.github.io/Logging_0581/klagomålsmail/A 31373-2026 FSC-klagomål mail.docx", "A 31373-2026")</f>
        <v/>
      </c>
      <c r="AC68">
        <f>HYPERLINK("https://klasma.github.io/Logging_0581/tillsyn/A 31373-2026 tillsynsbegäran.docx", "A 31373-2026")</f>
        <v/>
      </c>
      <c r="AD68">
        <f>HYPERLINK("https://klasma.github.io/Logging_0581/tillsynsmail/A 31373-2026 tillsynsbegäran mail.docx", "A 31373-2026")</f>
        <v/>
      </c>
      <c r="AE68">
        <f>HYPERLINK("https://klasma.github.io/Logging_0581/fåglar/A 31373-2026 prioriterade fågelarter.docx", "A 31373-2026")</f>
        <v/>
      </c>
    </row>
    <row r="69" ht="15" customHeight="1">
      <c r="A69" t="inlineStr">
        <is>
          <t>A 11757-2025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46313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10.2</v>
      </c>
      <c r="J69" t="n">
        <v>0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5</v>
      </c>
      <c r="U69" t="n">
        <v>5</v>
      </c>
      <c r="V69" s="2" t="inlineStr">
        <is>
          <t>Dropptaggsvamp
Blomkålssvamp
Kornknutmossa</t>
        </is>
      </c>
      <c r="W69">
        <f>HYPERLINK("https://klasma.github.io/Logging_0581/artfynd/A 11757-2025 artfynd.xlsx", "A 11757-2025")</f>
        <v/>
      </c>
      <c r="X69">
        <f>HYPERLINK("https://klasma.github.io/Logging_0581/kartor/A 11757-2025 karta.png", "A 11757-2025")</f>
        <v/>
      </c>
      <c r="Y69">
        <f>HYPERLINK("https://klasma.github.io/Logging_0581/kartor_geotiff/A 11757-2025 georefererad karta.tif", "A 11757-2025")</f>
        <v/>
      </c>
      <c r="AA69">
        <f>HYPERLINK("https://klasma.github.io/Logging_0581/klagomål/A 11757-2025 FSC-klagomål.docx", "A 11757-2025")</f>
        <v/>
      </c>
      <c r="AB69">
        <f>HYPERLINK("https://klasma.github.io/Logging_0581/klagomålsmail/A 11757-2025 FSC-klagomål mail.docx", "A 11757-2025")</f>
        <v/>
      </c>
      <c r="AC69">
        <f>HYPERLINK("https://klasma.github.io/Logging_0581/tillsyn/A 11757-2025 tillsynsbegäran.docx", "A 11757-2025")</f>
        <v/>
      </c>
      <c r="AD69">
        <f>HYPERLINK("https://klasma.github.io/Logging_0581/tillsynsmail/A 11757-2025 tillsynsbegäran mail.docx", "A 11757-2025")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46313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15183-2023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46313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2.4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Vedskivlav
Blomkålssvamp</t>
        </is>
      </c>
      <c r="W71">
        <f>HYPERLINK("https://klasma.github.io/Logging_0581/artfynd/A 15183-2023 artfynd.xlsx", "A 15183-2023")</f>
        <v/>
      </c>
      <c r="X71">
        <f>HYPERLINK("https://klasma.github.io/Logging_0581/kartor/A 15183-2023 karta.png", "A 15183-2023")</f>
        <v/>
      </c>
      <c r="Y71">
        <f>HYPERLINK("https://klasma.github.io/Logging_0581/kartor_geotiff/A 15183-2023 georefererad karta.tif", "A 15183-2023")</f>
        <v/>
      </c>
      <c r="AA71">
        <f>HYPERLINK("https://klasma.github.io/Logging_0581/klagomål/A 15183-2023 FSC-klagomål.docx", "A 15183-2023")</f>
        <v/>
      </c>
      <c r="AB71">
        <f>HYPERLINK("https://klasma.github.io/Logging_0581/klagomålsmail/A 15183-2023 FSC-klagomål mail.docx", "A 15183-2023")</f>
        <v/>
      </c>
      <c r="AC71">
        <f>HYPERLINK("https://klasma.github.io/Logging_0581/tillsyn/A 15183-2023 tillsynsbegäran.docx", "A 15183-2023")</f>
        <v/>
      </c>
      <c r="AD71">
        <f>HYPERLINK("https://klasma.github.io/Logging_0581/tillsynsmail/A 15183-2023 tillsynsbegäran mail.docx", "A 15183-2023")</f>
        <v/>
      </c>
    </row>
    <row r="72" ht="15" customHeight="1">
      <c r="A72" t="inlineStr">
        <is>
          <t>A 23969-2025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46313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</v>
      </c>
      <c r="J72" t="n">
        <v>1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Crepis tectorum subsp. tectorum
Grönsångare
Tallticka</t>
        </is>
      </c>
      <c r="W72">
        <f>HYPERLINK("https://klasma.github.io/Logging_0581/artfynd/A 23969-2025 artfynd.xlsx", "A 23969-2025")</f>
        <v/>
      </c>
      <c r="X72">
        <f>HYPERLINK("https://klasma.github.io/Logging_0581/kartor/A 23969-2025 karta.png", "A 23969-2025")</f>
        <v/>
      </c>
      <c r="Y72">
        <f>HYPERLINK("https://klasma.github.io/Logging_0581/kartor_geotiff/A 23969-2025 georefererad karta.tif", "A 23969-2025")</f>
        <v/>
      </c>
      <c r="AA72">
        <f>HYPERLINK("https://klasma.github.io/Logging_0581/klagomål/A 23969-2025 FSC-klagomål.docx", "A 23969-2025")</f>
        <v/>
      </c>
      <c r="AB72">
        <f>HYPERLINK("https://klasma.github.io/Logging_0581/klagomålsmail/A 23969-2025 FSC-klagomål mail.docx", "A 23969-2025")</f>
        <v/>
      </c>
      <c r="AC72">
        <f>HYPERLINK("https://klasma.github.io/Logging_0581/tillsyn/A 23969-2025 tillsynsbegäran.docx", "A 23969-2025")</f>
        <v/>
      </c>
      <c r="AD72">
        <f>HYPERLINK("https://klasma.github.io/Logging_0581/tillsynsmail/A 23969-2025 tillsynsbegäran mail.docx", "A 23969-2025")</f>
        <v/>
      </c>
      <c r="AE72">
        <f>HYPERLINK("https://klasma.github.io/Logging_0581/fåglar/A 23969-2025 prioriterade fågelarter.docx", "A 23969-2025")</f>
        <v/>
      </c>
    </row>
    <row r="73" ht="15" customHeight="1">
      <c r="A73" t="inlineStr">
        <is>
          <t>A 36366-2026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46268</v>
      </c>
      <c r="E73" s="1" t="n">
        <v>46313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BillerudKorsnäs AB</t>
        </is>
      </c>
      <c r="I73" t="n">
        <v>2.5</v>
      </c>
      <c r="J73" t="n">
        <v>1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Knärot
Tallticka
Blåmossa</t>
        </is>
      </c>
      <c r="W73">
        <f>HYPERLINK("https://klasma.github.io/Logging_0581/artfynd/A 36366-2026 artfynd.xlsx", "A 36366-2026")</f>
        <v/>
      </c>
      <c r="X73">
        <f>HYPERLINK("https://klasma.github.io/Logging_0581/kartor/A 36366-2026 karta.png", "A 36366-2026")</f>
        <v/>
      </c>
      <c r="Y73">
        <f>HYPERLINK("https://klasma.github.io/Logging_0581/kartor_geotiff/A 36366-2026 georefererad karta.tif", "A 36366-2026")</f>
        <v/>
      </c>
      <c r="Z73">
        <f>HYPERLINK("https://klasma.github.io/Logging_0581/knärot/A 36366-2026 karta knärot.png", "A 36366-2026")</f>
        <v/>
      </c>
      <c r="AA73">
        <f>HYPERLINK("https://klasma.github.io/Logging_0581/klagomål/A 36366-2026 FSC-klagomål.docx", "A 36366-2026")</f>
        <v/>
      </c>
      <c r="AB73">
        <f>HYPERLINK("https://klasma.github.io/Logging_0581/klagomålsmail/A 36366-2026 FSC-klagomål mail.docx", "A 36366-2026")</f>
        <v/>
      </c>
      <c r="AC73">
        <f>HYPERLINK("https://klasma.github.io/Logging_0581/tillsyn/A 36366-2026 tillsynsbegäran.docx", "A 36366-2026")</f>
        <v/>
      </c>
      <c r="AD73">
        <f>HYPERLINK("https://klasma.github.io/Logging_0581/tillsynsmail/A 36366-2026 tillsynsbegäran mail.docx", "A 36366-2026")</f>
        <v/>
      </c>
    </row>
    <row r="74" ht="15" customHeight="1">
      <c r="A74" t="inlineStr">
        <is>
          <t>A 35736-2025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45860</v>
      </c>
      <c r="E74" s="1" t="n">
        <v>46313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Allmännings- och besparingsskogar</t>
        </is>
      </c>
      <c r="I74" t="n">
        <v>11.5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Dropptaggsvamp
Vedskivlav
Tjäder</t>
        </is>
      </c>
      <c r="W74">
        <f>HYPERLINK("https://klasma.github.io/Logging_0581/artfynd/A 35736-2025 artfynd.xlsx", "A 35736-2025")</f>
        <v/>
      </c>
      <c r="X74">
        <f>HYPERLINK("https://klasma.github.io/Logging_0581/kartor/A 35736-2025 karta.png", "A 35736-2025")</f>
        <v/>
      </c>
      <c r="Y74">
        <f>HYPERLINK("https://klasma.github.io/Logging_0581/kartor_geotiff/A 35736-2025 georefererad karta.tif", "A 35736-2025")</f>
        <v/>
      </c>
      <c r="AA74">
        <f>HYPERLINK("https://klasma.github.io/Logging_0581/klagomål/A 35736-2025 FSC-klagomål.docx", "A 35736-2025")</f>
        <v/>
      </c>
      <c r="AB74">
        <f>HYPERLINK("https://klasma.github.io/Logging_0581/klagomålsmail/A 35736-2025 FSC-klagomål mail.docx", "A 35736-2025")</f>
        <v/>
      </c>
      <c r="AC74">
        <f>HYPERLINK("https://klasma.github.io/Logging_0581/tillsyn/A 35736-2025 tillsynsbegäran.docx", "A 35736-2025")</f>
        <v/>
      </c>
      <c r="AD74">
        <f>HYPERLINK("https://klasma.github.io/Logging_0581/tillsynsmail/A 35736-2025 tillsynsbegäran mail.docx", "A 35736-2025")</f>
        <v/>
      </c>
      <c r="AE74">
        <f>HYPERLINK("https://klasma.github.io/Logging_0581/fåglar/A 35736-2025 prioriterade fågelarter.docx", "A 35736-2025")</f>
        <v/>
      </c>
    </row>
    <row r="75" ht="15" customHeight="1">
      <c r="A75" t="inlineStr">
        <is>
          <t>A 67646-2021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46313</v>
      </c>
      <c r="F75" t="inlineStr">
        <is>
          <t>ÖSTERGÖTLANDS LÄN</t>
        </is>
      </c>
      <c r="G75" t="inlineStr">
        <is>
          <t>NORRKÖPING</t>
        </is>
      </c>
      <c r="I75" t="n">
        <v>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Mindre tåtelsmygare
Vitfläckig guldvinge</t>
        </is>
      </c>
      <c r="W75">
        <f>HYPERLINK("https://klasma.github.io/Logging_0581/artfynd/A 67646-2021 artfynd.xlsx", "A 67646-2021")</f>
        <v/>
      </c>
      <c r="X75">
        <f>HYPERLINK("https://klasma.github.io/Logging_0581/kartor/A 67646-2021 karta.png", "A 67646-2021")</f>
        <v/>
      </c>
      <c r="Y75">
        <f>HYPERLINK("https://klasma.github.io/Logging_0581/kartor_geotiff/A 67646-2021 georefererad karta.tif", "A 67646-2021")</f>
        <v/>
      </c>
      <c r="AA75">
        <f>HYPERLINK("https://klasma.github.io/Logging_0581/klagomål/A 67646-2021 FSC-klagomål.docx", "A 67646-2021")</f>
        <v/>
      </c>
      <c r="AB75">
        <f>HYPERLINK("https://klasma.github.io/Logging_0581/klagomålsmail/A 67646-2021 FSC-klagomål mail.docx", "A 67646-2021")</f>
        <v/>
      </c>
      <c r="AC75">
        <f>HYPERLINK("https://klasma.github.io/Logging_0581/tillsyn/A 67646-2021 tillsynsbegäran.docx", "A 67646-2021")</f>
        <v/>
      </c>
      <c r="AD75">
        <f>HYPERLINK("https://klasma.github.io/Logging_0581/tillsynsmail/A 67646-2021 tillsynsbegäran mail.docx", "A 67646-2021")</f>
        <v/>
      </c>
    </row>
    <row r="76" ht="15" customHeight="1">
      <c r="A76" t="inlineStr">
        <is>
          <t>A 74113-2021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46313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Blåsippa
Mattlummer</t>
        </is>
      </c>
      <c r="W76">
        <f>HYPERLINK("https://klasma.github.io/Logging_0581/artfynd/A 74113-2021 artfynd.xlsx", "A 74113-2021")</f>
        <v/>
      </c>
      <c r="X76">
        <f>HYPERLINK("https://klasma.github.io/Logging_0581/kartor/A 74113-2021 karta.png", "A 74113-2021")</f>
        <v/>
      </c>
      <c r="Y76">
        <f>HYPERLINK("https://klasma.github.io/Logging_0581/kartor_geotiff/A 74113-2021 georefererad karta.tif", "A 74113-2021")</f>
        <v/>
      </c>
      <c r="AA76">
        <f>HYPERLINK("https://klasma.github.io/Logging_0581/klagomål/A 74113-2021 FSC-klagomål.docx", "A 74113-2021")</f>
        <v/>
      </c>
      <c r="AB76">
        <f>HYPERLINK("https://klasma.github.io/Logging_0581/klagomålsmail/A 74113-2021 FSC-klagomål mail.docx", "A 74113-2021")</f>
        <v/>
      </c>
      <c r="AC76">
        <f>HYPERLINK("https://klasma.github.io/Logging_0581/tillsyn/A 74113-2021 tillsynsbegäran.docx", "A 74113-2021")</f>
        <v/>
      </c>
      <c r="AD76">
        <f>HYPERLINK("https://klasma.github.io/Logging_0581/tillsynsmail/A 74113-2021 tillsynsbegäran mail.docx", "A 74113-2021")</f>
        <v/>
      </c>
    </row>
    <row r="77" ht="15" customHeight="1">
      <c r="A77" t="inlineStr">
        <is>
          <t>A 53852-2022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44880</v>
      </c>
      <c r="E77" s="1" t="n">
        <v>46313</v>
      </c>
      <c r="F77" t="inlineStr">
        <is>
          <t>ÖSTERGÖTLANDS LÄN</t>
        </is>
      </c>
      <c r="G77" t="inlineStr">
        <is>
          <t>NORRKÖPING</t>
        </is>
      </c>
      <c r="I77" t="n">
        <v>1.8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Tibast
Blåsippa</t>
        </is>
      </c>
      <c r="W77">
        <f>HYPERLINK("https://klasma.github.io/Logging_0581/artfynd/A 53852-2022 artfynd.xlsx", "A 53852-2022")</f>
        <v/>
      </c>
      <c r="X77">
        <f>HYPERLINK("https://klasma.github.io/Logging_0581/kartor/A 53852-2022 karta.png", "A 53852-2022")</f>
        <v/>
      </c>
      <c r="Y77">
        <f>HYPERLINK("https://klasma.github.io/Logging_0581/kartor_geotiff/A 53852-2022 georefererad karta.tif", "A 53852-2022")</f>
        <v/>
      </c>
      <c r="AA77">
        <f>HYPERLINK("https://klasma.github.io/Logging_0581/klagomål/A 53852-2022 FSC-klagomål.docx", "A 53852-2022")</f>
        <v/>
      </c>
      <c r="AB77">
        <f>HYPERLINK("https://klasma.github.io/Logging_0581/klagomålsmail/A 53852-2022 FSC-klagomål mail.docx", "A 53852-2022")</f>
        <v/>
      </c>
      <c r="AC77">
        <f>HYPERLINK("https://klasma.github.io/Logging_0581/tillsyn/A 53852-2022 tillsynsbegäran.docx", "A 53852-2022")</f>
        <v/>
      </c>
      <c r="AD77">
        <f>HYPERLINK("https://klasma.github.io/Logging_0581/tillsynsmail/A 53852-2022 tillsynsbegäran mail.docx", "A 53852-2022")</f>
        <v/>
      </c>
    </row>
    <row r="78" ht="15" customHeight="1">
      <c r="A78" t="inlineStr">
        <is>
          <t>A 14636-2025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45742</v>
      </c>
      <c r="E78" s="1" t="n">
        <v>46313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17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Talltita
Tjäder</t>
        </is>
      </c>
      <c r="W78">
        <f>HYPERLINK("https://klasma.github.io/Logging_0581/artfynd/A 14636-2025 artfynd.xlsx", "A 14636-2025")</f>
        <v/>
      </c>
      <c r="X78">
        <f>HYPERLINK("https://klasma.github.io/Logging_0581/kartor/A 14636-2025 karta.png", "A 14636-2025")</f>
        <v/>
      </c>
      <c r="Y78">
        <f>HYPERLINK("https://klasma.github.io/Logging_0581/kartor_geotiff/A 14636-2025 georefererad karta.tif", "A 14636-2025")</f>
        <v/>
      </c>
      <c r="AA78">
        <f>HYPERLINK("https://klasma.github.io/Logging_0581/klagomål/A 14636-2025 FSC-klagomål.docx", "A 14636-2025")</f>
        <v/>
      </c>
      <c r="AB78">
        <f>HYPERLINK("https://klasma.github.io/Logging_0581/klagomålsmail/A 14636-2025 FSC-klagomål mail.docx", "A 14636-2025")</f>
        <v/>
      </c>
      <c r="AC78">
        <f>HYPERLINK("https://klasma.github.io/Logging_0581/tillsyn/A 14636-2025 tillsynsbegäran.docx", "A 14636-2025")</f>
        <v/>
      </c>
      <c r="AD78">
        <f>HYPERLINK("https://klasma.github.io/Logging_0581/tillsynsmail/A 14636-2025 tillsynsbegäran mail.docx", "A 14636-2025")</f>
        <v/>
      </c>
      <c r="AE78">
        <f>HYPERLINK("https://klasma.github.io/Logging_0581/fåglar/A 14636-2025 prioriterade fågelarter.docx", "A 14636-2025")</f>
        <v/>
      </c>
    </row>
    <row r="79" ht="15" customHeight="1">
      <c r="A79" t="inlineStr">
        <is>
          <t>A 46692-2024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46313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1.4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Dvärgbägarlav
Flagellkvastmossa</t>
        </is>
      </c>
      <c r="W79">
        <f>HYPERLINK("https://klasma.github.io/Logging_0581/artfynd/A 46692-2024 artfynd.xlsx", "A 46692-2024")</f>
        <v/>
      </c>
      <c r="X79">
        <f>HYPERLINK("https://klasma.github.io/Logging_0581/kartor/A 46692-2024 karta.png", "A 46692-2024")</f>
        <v/>
      </c>
      <c r="Y79">
        <f>HYPERLINK("https://klasma.github.io/Logging_0581/kartor_geotiff/A 46692-2024 georefererad karta.tif", "A 46692-2024")</f>
        <v/>
      </c>
      <c r="AA79">
        <f>HYPERLINK("https://klasma.github.io/Logging_0581/klagomål/A 46692-2024 FSC-klagomål.docx", "A 46692-2024")</f>
        <v/>
      </c>
      <c r="AB79">
        <f>HYPERLINK("https://klasma.github.io/Logging_0581/klagomålsmail/A 46692-2024 FSC-klagomål mail.docx", "A 46692-2024")</f>
        <v/>
      </c>
      <c r="AC79">
        <f>HYPERLINK("https://klasma.github.io/Logging_0581/tillsyn/A 46692-2024 tillsynsbegäran.docx", "A 46692-2024")</f>
        <v/>
      </c>
      <c r="AD79">
        <f>HYPERLINK("https://klasma.github.io/Logging_0581/tillsynsmail/A 46692-2024 tillsynsbegäran mail.docx", "A 46692-2024")</f>
        <v/>
      </c>
    </row>
    <row r="80" ht="15" customHeight="1">
      <c r="A80" t="inlineStr">
        <is>
          <t>A 11490-2023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46313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Mattlummer
Trädlärka</t>
        </is>
      </c>
      <c r="W80">
        <f>HYPERLINK("https://klasma.github.io/Logging_0581/artfynd/A 11490-2023 artfynd.xlsx", "A 11490-2023")</f>
        <v/>
      </c>
      <c r="X80">
        <f>HYPERLINK("https://klasma.github.io/Logging_0581/kartor/A 11490-2023 karta.png", "A 11490-2023")</f>
        <v/>
      </c>
      <c r="Y80">
        <f>HYPERLINK("https://klasma.github.io/Logging_0581/kartor_geotiff/A 11490-2023 georefererad karta.tif", "A 11490-2023")</f>
        <v/>
      </c>
      <c r="AA80">
        <f>HYPERLINK("https://klasma.github.io/Logging_0581/klagomål/A 11490-2023 FSC-klagomål.docx", "A 11490-2023")</f>
        <v/>
      </c>
      <c r="AB80">
        <f>HYPERLINK("https://klasma.github.io/Logging_0581/klagomålsmail/A 11490-2023 FSC-klagomål mail.docx", "A 11490-2023")</f>
        <v/>
      </c>
      <c r="AC80">
        <f>HYPERLINK("https://klasma.github.io/Logging_0581/tillsyn/A 11490-2023 tillsynsbegäran.docx", "A 11490-2023")</f>
        <v/>
      </c>
      <c r="AD80">
        <f>HYPERLINK("https://klasma.github.io/Logging_0581/tillsynsmail/A 11490-2023 tillsynsbegäran mail.docx", "A 11490-2023")</f>
        <v/>
      </c>
      <c r="AE80">
        <f>HYPERLINK("https://klasma.github.io/Logging_0581/fåglar/A 11490-2023 prioriterade fågelarter.docx", "A 11490-2023")</f>
        <v/>
      </c>
    </row>
    <row r="81" ht="15" customHeight="1">
      <c r="A81" t="inlineStr">
        <is>
          <t>A 8987-2023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46313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0.5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Vedskivlav
Grovticka</t>
        </is>
      </c>
      <c r="W81">
        <f>HYPERLINK("https://klasma.github.io/Logging_0581/artfynd/A 8987-2023 artfynd.xlsx", "A 8987-2023")</f>
        <v/>
      </c>
      <c r="X81">
        <f>HYPERLINK("https://klasma.github.io/Logging_0581/kartor/A 8987-2023 karta.png", "A 8987-2023")</f>
        <v/>
      </c>
      <c r="Y81">
        <f>HYPERLINK("https://klasma.github.io/Logging_0581/kartor_geotiff/A 8987-2023 georefererad karta.tif", "A 8987-2023")</f>
        <v/>
      </c>
      <c r="AA81">
        <f>HYPERLINK("https://klasma.github.io/Logging_0581/klagomål/A 8987-2023 FSC-klagomål.docx", "A 8987-2023")</f>
        <v/>
      </c>
      <c r="AB81">
        <f>HYPERLINK("https://klasma.github.io/Logging_0581/klagomålsmail/A 8987-2023 FSC-klagomål mail.docx", "A 8987-2023")</f>
        <v/>
      </c>
      <c r="AC81">
        <f>HYPERLINK("https://klasma.github.io/Logging_0581/tillsyn/A 8987-2023 tillsynsbegäran.docx", "A 8987-2023")</f>
        <v/>
      </c>
      <c r="AD81">
        <f>HYPERLINK("https://klasma.github.io/Logging_0581/tillsynsmail/A 8987-2023 tillsynsbegäran mail.docx", "A 8987-2023")</f>
        <v/>
      </c>
    </row>
    <row r="82" ht="15" customHeight="1">
      <c r="A82" t="inlineStr">
        <is>
          <t>A 33659-2022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46313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3.4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1</v>
      </c>
      <c r="V82" s="2" t="inlineStr">
        <is>
          <t>Ask
Sotlav</t>
        </is>
      </c>
      <c r="W82">
        <f>HYPERLINK("https://klasma.github.io/Logging_0581/artfynd/A 33659-2022 artfynd.xlsx", "A 33659-2022")</f>
        <v/>
      </c>
      <c r="X82">
        <f>HYPERLINK("https://klasma.github.io/Logging_0581/kartor/A 33659-2022 karta.png", "A 33659-2022")</f>
        <v/>
      </c>
      <c r="Y82">
        <f>HYPERLINK("https://klasma.github.io/Logging_0581/kartor_geotiff/A 33659-2022 georefererad karta.tif", "A 33659-2022")</f>
        <v/>
      </c>
      <c r="AA82">
        <f>HYPERLINK("https://klasma.github.io/Logging_0581/klagomål/A 33659-2022 FSC-klagomål.docx", "A 33659-2022")</f>
        <v/>
      </c>
      <c r="AB82">
        <f>HYPERLINK("https://klasma.github.io/Logging_0581/klagomålsmail/A 33659-2022 FSC-klagomål mail.docx", "A 33659-2022")</f>
        <v/>
      </c>
      <c r="AC82">
        <f>HYPERLINK("https://klasma.github.io/Logging_0581/tillsyn/A 33659-2022 tillsynsbegäran.docx", "A 33659-2022")</f>
        <v/>
      </c>
      <c r="AD82">
        <f>HYPERLINK("https://klasma.github.io/Logging_0581/tillsynsmail/A 33659-2022 tillsynsbegäran mail.docx", "A 33659-2022")</f>
        <v/>
      </c>
    </row>
    <row r="83" ht="15" customHeight="1">
      <c r="A83" t="inlineStr">
        <is>
          <t>A 40315-2025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45895</v>
      </c>
      <c r="E83" s="1" t="n">
        <v>46313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8.699999999999999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Mattlummer
Revlummer</t>
        </is>
      </c>
      <c r="W83">
        <f>HYPERLINK("https://klasma.github.io/Logging_0581/artfynd/A 40315-2025 artfynd.xlsx", "A 40315-2025")</f>
        <v/>
      </c>
      <c r="X83">
        <f>HYPERLINK("https://klasma.github.io/Logging_0581/kartor/A 40315-2025 karta.png", "A 40315-2025")</f>
        <v/>
      </c>
      <c r="Y83">
        <f>HYPERLINK("https://klasma.github.io/Logging_0581/kartor_geotiff/A 40315-2025 georefererad karta.tif", "A 40315-2025")</f>
        <v/>
      </c>
      <c r="AA83">
        <f>HYPERLINK("https://klasma.github.io/Logging_0581/klagomål/A 40315-2025 FSC-klagomål.docx", "A 40315-2025")</f>
        <v/>
      </c>
      <c r="AB83">
        <f>HYPERLINK("https://klasma.github.io/Logging_0581/klagomålsmail/A 40315-2025 FSC-klagomål mail.docx", "A 40315-2025")</f>
        <v/>
      </c>
      <c r="AC83">
        <f>HYPERLINK("https://klasma.github.io/Logging_0581/tillsyn/A 40315-2025 tillsynsbegäran.docx", "A 40315-2025")</f>
        <v/>
      </c>
      <c r="AD83">
        <f>HYPERLINK("https://klasma.github.io/Logging_0581/tillsynsmail/A 40315-2025 tillsynsbegäran mail.docx", "A 40315-2025")</f>
        <v/>
      </c>
    </row>
    <row r="84" ht="15" customHeight="1">
      <c r="A84" t="inlineStr">
        <is>
          <t>A 25291-2023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46313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Slåtterfibbla
Svartvit flugsnappare</t>
        </is>
      </c>
      <c r="W84">
        <f>HYPERLINK("https://klasma.github.io/Logging_0581/artfynd/A 25291-2023 artfynd.xlsx", "A 25291-2023")</f>
        <v/>
      </c>
      <c r="X84">
        <f>HYPERLINK("https://klasma.github.io/Logging_0581/kartor/A 25291-2023 karta.png", "A 25291-2023")</f>
        <v/>
      </c>
      <c r="Y84">
        <f>HYPERLINK("https://klasma.github.io/Logging_0581/kartor_geotiff/A 25291-2023 georefererad karta.tif", "A 25291-2023")</f>
        <v/>
      </c>
      <c r="AA84">
        <f>HYPERLINK("https://klasma.github.io/Logging_0581/klagomål/A 25291-2023 FSC-klagomål.docx", "A 25291-2023")</f>
        <v/>
      </c>
      <c r="AB84">
        <f>HYPERLINK("https://klasma.github.io/Logging_0581/klagomålsmail/A 25291-2023 FSC-klagomål mail.docx", "A 25291-2023")</f>
        <v/>
      </c>
      <c r="AC84">
        <f>HYPERLINK("https://klasma.github.io/Logging_0581/tillsyn/A 25291-2023 tillsynsbegäran.docx", "A 25291-2023")</f>
        <v/>
      </c>
      <c r="AD84">
        <f>HYPERLINK("https://klasma.github.io/Logging_0581/tillsynsmail/A 25291-2023 tillsynsbegäran mail.docx", "A 25291-2023")</f>
        <v/>
      </c>
    </row>
    <row r="85" ht="15" customHeight="1">
      <c r="A85" t="inlineStr">
        <is>
          <t>A 5572-2024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46313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0.6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Grov baronmossa
Platt fjädermossa</t>
        </is>
      </c>
      <c r="W85">
        <f>HYPERLINK("https://klasma.github.io/Logging_0581/artfynd/A 5572-2024 artfynd.xlsx", "A 5572-2024")</f>
        <v/>
      </c>
      <c r="X85">
        <f>HYPERLINK("https://klasma.github.io/Logging_0581/kartor/A 5572-2024 karta.png", "A 5572-2024")</f>
        <v/>
      </c>
      <c r="Y85">
        <f>HYPERLINK("https://klasma.github.io/Logging_0581/kartor_geotiff/A 5572-2024 georefererad karta.tif", "A 5572-2024")</f>
        <v/>
      </c>
      <c r="AA85">
        <f>HYPERLINK("https://klasma.github.io/Logging_0581/klagomål/A 5572-2024 FSC-klagomål.docx", "A 5572-2024")</f>
        <v/>
      </c>
      <c r="AB85">
        <f>HYPERLINK("https://klasma.github.io/Logging_0581/klagomålsmail/A 5572-2024 FSC-klagomål mail.docx", "A 5572-2024")</f>
        <v/>
      </c>
      <c r="AC85">
        <f>HYPERLINK("https://klasma.github.io/Logging_0581/tillsyn/A 5572-2024 tillsynsbegäran.docx", "A 5572-2024")</f>
        <v/>
      </c>
      <c r="AD85">
        <f>HYPERLINK("https://klasma.github.io/Logging_0581/tillsynsmail/A 5572-2024 tillsynsbegäran mail.docx", "A 5572-2024")</f>
        <v/>
      </c>
    </row>
    <row r="86" ht="15" customHeight="1">
      <c r="A86" t="inlineStr">
        <is>
          <t>A 48735-2025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46313</v>
      </c>
      <c r="F86" t="inlineStr">
        <is>
          <t>ÖSTERGÖTLANDS LÄN</t>
        </is>
      </c>
      <c r="G86" t="inlineStr">
        <is>
          <t>NORRKÖPING</t>
        </is>
      </c>
      <c r="I86" t="n">
        <v>3.6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Ekoxe
Stuplav</t>
        </is>
      </c>
      <c r="W86">
        <f>HYPERLINK("https://klasma.github.io/Logging_0581/artfynd/A 48735-2025 artfynd.xlsx", "A 48735-2025")</f>
        <v/>
      </c>
      <c r="X86">
        <f>HYPERLINK("https://klasma.github.io/Logging_0581/kartor/A 48735-2025 karta.png", "A 48735-2025")</f>
        <v/>
      </c>
      <c r="Y86">
        <f>HYPERLINK("https://klasma.github.io/Logging_0581/kartor_geotiff/A 48735-2025 georefererad karta.tif", "A 48735-2025")</f>
        <v/>
      </c>
      <c r="AA86">
        <f>HYPERLINK("https://klasma.github.io/Logging_0581/klagomål/A 48735-2025 FSC-klagomål.docx", "A 48735-2025")</f>
        <v/>
      </c>
      <c r="AB86">
        <f>HYPERLINK("https://klasma.github.io/Logging_0581/klagomålsmail/A 48735-2025 FSC-klagomål mail.docx", "A 48735-2025")</f>
        <v/>
      </c>
      <c r="AC86">
        <f>HYPERLINK("https://klasma.github.io/Logging_0581/tillsyn/A 48735-2025 tillsynsbegäran.docx", "A 48735-2025")</f>
        <v/>
      </c>
      <c r="AD86">
        <f>HYPERLINK("https://klasma.github.io/Logging_0581/tillsynsmail/A 48735-2025 tillsynsbegäran mail.docx", "A 48735-2025")</f>
        <v/>
      </c>
    </row>
    <row r="87" ht="15" customHeight="1">
      <c r="A87" t="inlineStr">
        <is>
          <t>A 42365-2025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46313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0.8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Tibast</t>
        </is>
      </c>
      <c r="W87">
        <f>HYPERLINK("https://klasma.github.io/Logging_0581/artfynd/A 42365-2025 artfynd.xlsx", "A 42365-2025")</f>
        <v/>
      </c>
      <c r="X87">
        <f>HYPERLINK("https://klasma.github.io/Logging_0581/kartor/A 42365-2025 karta.png", "A 42365-2025")</f>
        <v/>
      </c>
      <c r="Y87">
        <f>HYPERLINK("https://klasma.github.io/Logging_0581/kartor_geotiff/A 42365-2025 georefererad karta.tif", "A 42365-2025")</f>
        <v/>
      </c>
      <c r="AA87">
        <f>HYPERLINK("https://klasma.github.io/Logging_0581/klagomål/A 42365-2025 FSC-klagomål.docx", "A 42365-2025")</f>
        <v/>
      </c>
      <c r="AB87">
        <f>HYPERLINK("https://klasma.github.io/Logging_0581/klagomålsmail/A 42365-2025 FSC-klagomål mail.docx", "A 42365-2025")</f>
        <v/>
      </c>
      <c r="AC87">
        <f>HYPERLINK("https://klasma.github.io/Logging_0581/tillsyn/A 42365-2025 tillsynsbegäran.docx", "A 42365-2025")</f>
        <v/>
      </c>
      <c r="AD87">
        <f>HYPERLINK("https://klasma.github.io/Logging_0581/tillsynsmail/A 42365-2025 tillsynsbegäran mail.docx", "A 42365-2025")</f>
        <v/>
      </c>
    </row>
    <row r="88" ht="15" customHeight="1">
      <c r="A88" t="inlineStr">
        <is>
          <t>A 10553-2025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46313</v>
      </c>
      <c r="F88" t="inlineStr">
        <is>
          <t>ÖSTERGÖTLANDS LÄN</t>
        </is>
      </c>
      <c r="G88" t="inlineStr">
        <is>
          <t>NORRKÖPING</t>
        </is>
      </c>
      <c r="I88" t="n">
        <v>2.2</v>
      </c>
      <c r="J88" t="n">
        <v>2</v>
      </c>
      <c r="K88" t="n">
        <v>0</v>
      </c>
      <c r="L88" t="n">
        <v>1</v>
      </c>
      <c r="M88" t="n">
        <v>0</v>
      </c>
      <c r="N88" t="n">
        <v>1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Ejder
Rosenfink</t>
        </is>
      </c>
      <c r="W88">
        <f>HYPERLINK("https://klasma.github.io/Logging_0581/artfynd/A 10553-2025 artfynd.xlsx", "A 10553-2025")</f>
        <v/>
      </c>
      <c r="X88">
        <f>HYPERLINK("https://klasma.github.io/Logging_0581/kartor/A 10553-2025 karta.png", "A 10553-2025")</f>
        <v/>
      </c>
      <c r="Y88">
        <f>HYPERLINK("https://klasma.github.io/Logging_0581/kartor_geotiff/A 10553-2025 georefererad karta.tif", "A 10553-2025")</f>
        <v/>
      </c>
      <c r="AA88">
        <f>HYPERLINK("https://klasma.github.io/Logging_0581/klagomål/A 10553-2025 FSC-klagomål.docx", "A 10553-2025")</f>
        <v/>
      </c>
      <c r="AB88">
        <f>HYPERLINK("https://klasma.github.io/Logging_0581/klagomålsmail/A 10553-2025 FSC-klagomål mail.docx", "A 10553-2025")</f>
        <v/>
      </c>
      <c r="AC88">
        <f>HYPERLINK("https://klasma.github.io/Logging_0581/tillsyn/A 10553-2025 tillsynsbegäran.docx", "A 10553-2025")</f>
        <v/>
      </c>
      <c r="AD88">
        <f>HYPERLINK("https://klasma.github.io/Logging_0581/tillsynsmail/A 10553-2025 tillsynsbegäran mail.docx", "A 10553-2025")</f>
        <v/>
      </c>
      <c r="AE88">
        <f>HYPERLINK("https://klasma.github.io/Logging_0581/fåglar/A 10553-2025 prioriterade fågelarter.docx", "A 10553-2025")</f>
        <v/>
      </c>
    </row>
    <row r="89" ht="15" customHeight="1">
      <c r="A89" t="inlineStr">
        <is>
          <t>A 19182-2025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46313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Ullticka</t>
        </is>
      </c>
      <c r="W89">
        <f>HYPERLINK("https://klasma.github.io/Logging_0581/artfynd/A 19182-2025 artfynd.xlsx", "A 19182-2025")</f>
        <v/>
      </c>
      <c r="X89">
        <f>HYPERLINK("https://klasma.github.io/Logging_0581/kartor/A 19182-2025 karta.png", "A 19182-2025")</f>
        <v/>
      </c>
      <c r="Y89">
        <f>HYPERLINK("https://klasma.github.io/Logging_0581/kartor_geotiff/A 19182-2025 georefererad karta.tif", "A 19182-2025")</f>
        <v/>
      </c>
      <c r="Z89">
        <f>HYPERLINK("https://klasma.github.io/Logging_0581/knärot/A 19182-2025 karta knärot.png", "A 19182-2025")</f>
        <v/>
      </c>
      <c r="AA89">
        <f>HYPERLINK("https://klasma.github.io/Logging_0581/klagomål/A 19182-2025 FSC-klagomål.docx", "A 19182-2025")</f>
        <v/>
      </c>
      <c r="AB89">
        <f>HYPERLINK("https://klasma.github.io/Logging_0581/klagomålsmail/A 19182-2025 FSC-klagomål mail.docx", "A 19182-2025")</f>
        <v/>
      </c>
      <c r="AC89">
        <f>HYPERLINK("https://klasma.github.io/Logging_0581/tillsyn/A 19182-2025 tillsynsbegäran.docx", "A 19182-2025")</f>
        <v/>
      </c>
      <c r="AD89">
        <f>HYPERLINK("https://klasma.github.io/Logging_0581/tillsynsmail/A 19182-2025 tillsynsbegäran mail.docx", "A 19182-2025")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46313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Tallticka</t>
        </is>
      </c>
      <c r="W90">
        <f>HYPERLINK("https://klasma.github.io/Logging_0581/artfynd/A 56971-2025 artfynd.xlsx", "A 56971-2025")</f>
        <v/>
      </c>
      <c r="X90">
        <f>HYPERLINK("https://klasma.github.io/Logging_0581/kartor/A 56971-2025 karta.png", "A 56971-2025")</f>
        <v/>
      </c>
      <c r="Y90">
        <f>HYPERLINK("https://klasma.github.io/Logging_0581/kartor_geotiff/A 56971-2025 georefererad karta.tif", "A 56971-2025")</f>
        <v/>
      </c>
      <c r="Z90">
        <f>HYPERLINK("https://klasma.github.io/Logging_0581/knärot/A 56971-2025 karta knärot.png", "A 56971-2025")</f>
        <v/>
      </c>
      <c r="AA90">
        <f>HYPERLINK("https://klasma.github.io/Logging_0581/klagomål/A 56971-2025 FSC-klagomål.docx", "A 56971-2025")</f>
        <v/>
      </c>
      <c r="AB90">
        <f>HYPERLINK("https://klasma.github.io/Logging_0581/klagomålsmail/A 56971-2025 FSC-klagomål mail.docx", "A 56971-2025")</f>
        <v/>
      </c>
      <c r="AC90">
        <f>HYPERLINK("https://klasma.github.io/Logging_0581/tillsyn/A 56971-2025 tillsynsbegäran.docx", "A 56971-2025")</f>
        <v/>
      </c>
      <c r="AD90">
        <f>HYPERLINK("https://klasma.github.io/Logging_0581/tillsynsmail/A 56971-2025 tillsynsbegäran mail.docx", "A 56971-2025")</f>
        <v/>
      </c>
    </row>
    <row r="91" ht="15" customHeight="1">
      <c r="A91" t="inlineStr">
        <is>
          <t>A 9746-2025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46313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Blåsippa</t>
        </is>
      </c>
      <c r="W91">
        <f>HYPERLINK("https://klasma.github.io/Logging_0581/artfynd/A 9746-2025 artfynd.xlsx", "A 9746-2025")</f>
        <v/>
      </c>
      <c r="X91">
        <f>HYPERLINK("https://klasma.github.io/Logging_0581/kartor/A 9746-2025 karta.png", "A 9746-2025")</f>
        <v/>
      </c>
      <c r="Y91">
        <f>HYPERLINK("https://klasma.github.io/Logging_0581/kartor_geotiff/A 9746-2025 georefererad karta.tif", "A 9746-2025")</f>
        <v/>
      </c>
      <c r="AA91">
        <f>HYPERLINK("https://klasma.github.io/Logging_0581/klagomål/A 9746-2025 FSC-klagomål.docx", "A 9746-2025")</f>
        <v/>
      </c>
      <c r="AB91">
        <f>HYPERLINK("https://klasma.github.io/Logging_0581/klagomålsmail/A 9746-2025 FSC-klagomål mail.docx", "A 9746-2025")</f>
        <v/>
      </c>
      <c r="AC91">
        <f>HYPERLINK("https://klasma.github.io/Logging_0581/tillsyn/A 9746-2025 tillsynsbegäran.docx", "A 9746-2025")</f>
        <v/>
      </c>
      <c r="AD91">
        <f>HYPERLINK("https://klasma.github.io/Logging_0581/tillsynsmail/A 9746-2025 tillsynsbegäran mail.docx", "A 9746-2025")</f>
        <v/>
      </c>
    </row>
    <row r="92" ht="15" customHeight="1">
      <c r="A92" t="inlineStr">
        <is>
          <t>A 58380-2025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46313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10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Knärot
Tallticka</t>
        </is>
      </c>
      <c r="W92">
        <f>HYPERLINK("https://klasma.github.io/Logging_0581/artfynd/A 58380-2025 artfynd.xlsx", "A 58380-2025")</f>
        <v/>
      </c>
      <c r="X92">
        <f>HYPERLINK("https://klasma.github.io/Logging_0581/kartor/A 58380-2025 karta.png", "A 58380-2025")</f>
        <v/>
      </c>
      <c r="Y92">
        <f>HYPERLINK("https://klasma.github.io/Logging_0581/kartor_geotiff/A 58380-2025 georefererad karta.tif", "A 58380-2025")</f>
        <v/>
      </c>
      <c r="Z92">
        <f>HYPERLINK("https://klasma.github.io/Logging_0581/knärot/A 58380-2025 karta knärot.png", "A 58380-2025")</f>
        <v/>
      </c>
      <c r="AA92">
        <f>HYPERLINK("https://klasma.github.io/Logging_0581/klagomål/A 58380-2025 FSC-klagomål.docx", "A 58380-2025")</f>
        <v/>
      </c>
      <c r="AB92">
        <f>HYPERLINK("https://klasma.github.io/Logging_0581/klagomålsmail/A 58380-2025 FSC-klagomål mail.docx", "A 58380-2025")</f>
        <v/>
      </c>
      <c r="AC92">
        <f>HYPERLINK("https://klasma.github.io/Logging_0581/tillsyn/A 58380-2025 tillsynsbegäran.docx", "A 58380-2025")</f>
        <v/>
      </c>
      <c r="AD92">
        <f>HYPERLINK("https://klasma.github.io/Logging_0581/tillsynsmail/A 58380-2025 tillsynsbegäran mail.docx", "A 58380-2025")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46313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46313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46313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Blåsippa
Vanlig padda</t>
        </is>
      </c>
      <c r="W95">
        <f>HYPERLINK("https://klasma.github.io/Logging_0581/artfynd/A 5809-2025 artfynd.xlsx", "A 5809-2025")</f>
        <v/>
      </c>
      <c r="X95">
        <f>HYPERLINK("https://klasma.github.io/Logging_0581/kartor/A 5809-2025 karta.png", "A 5809-2025")</f>
        <v/>
      </c>
      <c r="Y95">
        <f>HYPERLINK("https://klasma.github.io/Logging_0581/kartor_geotiff/A 5809-2025 georefererad karta.tif", "A 5809-2025")</f>
        <v/>
      </c>
      <c r="AA95">
        <f>HYPERLINK("https://klasma.github.io/Logging_0581/klagomål/A 5809-2025 FSC-klagomål.docx", "A 5809-2025")</f>
        <v/>
      </c>
      <c r="AB95">
        <f>HYPERLINK("https://klasma.github.io/Logging_0581/klagomålsmail/A 5809-2025 FSC-klagomål mail.docx", "A 5809-2025")</f>
        <v/>
      </c>
      <c r="AC95">
        <f>HYPERLINK("https://klasma.github.io/Logging_0581/tillsyn/A 5809-2025 tillsynsbegäran.docx", "A 5809-2025")</f>
        <v/>
      </c>
      <c r="AD95">
        <f>HYPERLINK("https://klasma.github.io/Logging_0581/tillsynsmail/A 5809-2025 tillsynsbegäran mail.docx", "A 5809-2025")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46313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12188-2026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46313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Allmännings- och besparingsskogar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Blomkålssvamp
Korallrot</t>
        </is>
      </c>
      <c r="W97">
        <f>HYPERLINK("https://klasma.github.io/Logging_0581/artfynd/A 12188-2026 artfynd.xlsx", "A 12188-2026")</f>
        <v/>
      </c>
      <c r="X97">
        <f>HYPERLINK("https://klasma.github.io/Logging_0581/kartor/A 12188-2026 karta.png", "A 12188-2026")</f>
        <v/>
      </c>
      <c r="Y97">
        <f>HYPERLINK("https://klasma.github.io/Logging_0581/kartor_geotiff/A 12188-2026 georefererad karta.tif", "A 12188-2026")</f>
        <v/>
      </c>
      <c r="AA97">
        <f>HYPERLINK("https://klasma.github.io/Logging_0581/klagomål/A 12188-2026 FSC-klagomål.docx", "A 12188-2026")</f>
        <v/>
      </c>
      <c r="AB97">
        <f>HYPERLINK("https://klasma.github.io/Logging_0581/klagomålsmail/A 12188-2026 FSC-klagomål mail.docx", "A 12188-2026")</f>
        <v/>
      </c>
      <c r="AC97">
        <f>HYPERLINK("https://klasma.github.io/Logging_0581/tillsyn/A 12188-2026 tillsynsbegäran.docx", "A 12188-2026")</f>
        <v/>
      </c>
      <c r="AD97">
        <f>HYPERLINK("https://klasma.github.io/Logging_0581/tillsynsmail/A 12188-2026 tillsynsbegäran mail.docx", "A 12188-2026")</f>
        <v/>
      </c>
    </row>
    <row r="98" ht="15" customHeight="1">
      <c r="A98" t="inlineStr">
        <is>
          <t>A 28796-2026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46313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28796-2026 artfynd.xlsx", "A 28796-2026")</f>
        <v/>
      </c>
      <c r="X98">
        <f>HYPERLINK("https://klasma.github.io/Logging_0581/kartor/A 28796-2026 karta.png", "A 28796-2026")</f>
        <v/>
      </c>
      <c r="Y98">
        <f>HYPERLINK("https://klasma.github.io/Logging_0581/kartor_geotiff/A 28796-2026 georefererad karta.tif", "A 28796-2026")</f>
        <v/>
      </c>
      <c r="AA98">
        <f>HYPERLINK("https://klasma.github.io/Logging_0581/klagomål/A 28796-2026 FSC-klagomål.docx", "A 28796-2026")</f>
        <v/>
      </c>
      <c r="AB98">
        <f>HYPERLINK("https://klasma.github.io/Logging_0581/klagomålsmail/A 28796-2026 FSC-klagomål mail.docx", "A 28796-2026")</f>
        <v/>
      </c>
      <c r="AC98">
        <f>HYPERLINK("https://klasma.github.io/Logging_0581/tillsyn/A 28796-2026 tillsynsbegäran.docx", "A 28796-2026")</f>
        <v/>
      </c>
      <c r="AD98">
        <f>HYPERLINK("https://klasma.github.io/Logging_0581/tillsynsmail/A 28796-2026 tillsynsbegäran mail.docx", "A 28796-2026")</f>
        <v/>
      </c>
    </row>
    <row r="99" ht="15" customHeight="1">
      <c r="A99" t="inlineStr">
        <is>
          <t>A 28893-2026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46313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28893-2026 artfynd.xlsx", "A 28893-2026")</f>
        <v/>
      </c>
      <c r="X99">
        <f>HYPERLINK("https://klasma.github.io/Logging_0581/kartor/A 28893-2026 karta.png", "A 28893-2026")</f>
        <v/>
      </c>
      <c r="Y99">
        <f>HYPERLINK("https://klasma.github.io/Logging_0581/kartor_geotiff/A 28893-2026 georefererad karta.tif", "A 28893-2026")</f>
        <v/>
      </c>
      <c r="AA99">
        <f>HYPERLINK("https://klasma.github.io/Logging_0581/klagomål/A 28893-2026 FSC-klagomål.docx", "A 28893-2026")</f>
        <v/>
      </c>
      <c r="AB99">
        <f>HYPERLINK("https://klasma.github.io/Logging_0581/klagomålsmail/A 28893-2026 FSC-klagomål mail.docx", "A 28893-2026")</f>
        <v/>
      </c>
      <c r="AC99">
        <f>HYPERLINK("https://klasma.github.io/Logging_0581/tillsyn/A 28893-2026 tillsynsbegäran.docx", "A 28893-2026")</f>
        <v/>
      </c>
      <c r="AD99">
        <f>HYPERLINK("https://klasma.github.io/Logging_0581/tillsynsmail/A 28893-2026 tillsynsbegäran mail.docx", "A 28893-2026")</f>
        <v/>
      </c>
    </row>
    <row r="100" ht="15" customHeight="1">
      <c r="A100" t="inlineStr">
        <is>
          <t>A 28895-2026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46313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28895-2026 artfynd.xlsx", "A 28895-2026")</f>
        <v/>
      </c>
      <c r="X100">
        <f>HYPERLINK("https://klasma.github.io/Logging_0581/kartor/A 28895-2026 karta.png", "A 28895-2026")</f>
        <v/>
      </c>
      <c r="Y100">
        <f>HYPERLINK("https://klasma.github.io/Logging_0581/kartor_geotiff/A 28895-2026 georefererad karta.tif", "A 28895-2026")</f>
        <v/>
      </c>
      <c r="AA100">
        <f>HYPERLINK("https://klasma.github.io/Logging_0581/klagomål/A 28895-2026 FSC-klagomål.docx", "A 28895-2026")</f>
        <v/>
      </c>
      <c r="AB100">
        <f>HYPERLINK("https://klasma.github.io/Logging_0581/klagomålsmail/A 28895-2026 FSC-klagomål mail.docx", "A 28895-2026")</f>
        <v/>
      </c>
      <c r="AC100">
        <f>HYPERLINK("https://klasma.github.io/Logging_0581/tillsyn/A 28895-2026 tillsynsbegäran.docx", "A 28895-2026")</f>
        <v/>
      </c>
      <c r="AD100">
        <f>HYPERLINK("https://klasma.github.io/Logging_0581/tillsynsmail/A 28895-2026 tillsynsbegäran mail.docx", "A 28895-2026")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46313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27503-2022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46313</v>
      </c>
      <c r="F102" t="inlineStr">
        <is>
          <t>ÖSTERGÖTLANDS LÄN</t>
        </is>
      </c>
      <c r="G102" t="inlineStr">
        <is>
          <t>NORRKÖPING</t>
        </is>
      </c>
      <c r="I102" t="n">
        <v>2.9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Svinrot
Ängsskära</t>
        </is>
      </c>
      <c r="W102">
        <f>HYPERLINK("https://klasma.github.io/Logging_0581/artfynd/A 27503-2022 artfynd.xlsx", "A 27503-2022")</f>
        <v/>
      </c>
      <c r="X102">
        <f>HYPERLINK("https://klasma.github.io/Logging_0581/kartor/A 27503-2022 karta.png", "A 27503-2022")</f>
        <v/>
      </c>
      <c r="Y102">
        <f>HYPERLINK("https://klasma.github.io/Logging_0581/kartor_geotiff/A 27503-2022 georefererad karta.tif", "A 27503-2022")</f>
        <v/>
      </c>
      <c r="AA102">
        <f>HYPERLINK("https://klasma.github.io/Logging_0581/klagomål/A 27503-2022 FSC-klagomål.docx", "A 27503-2022")</f>
        <v/>
      </c>
      <c r="AB102">
        <f>HYPERLINK("https://klasma.github.io/Logging_0581/klagomålsmail/A 27503-2022 FSC-klagomål mail.docx", "A 27503-2022")</f>
        <v/>
      </c>
      <c r="AC102">
        <f>HYPERLINK("https://klasma.github.io/Logging_0581/tillsyn/A 27503-2022 tillsynsbegäran.docx", "A 27503-2022")</f>
        <v/>
      </c>
      <c r="AD102">
        <f>HYPERLINK("https://klasma.github.io/Logging_0581/tillsynsmail/A 27503-2022 tillsynsbegäran mail.docx", "A 27503-2022")</f>
        <v/>
      </c>
    </row>
    <row r="103" ht="15" customHeight="1">
      <c r="A103" t="inlineStr">
        <is>
          <t>A 46955-2023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46313</v>
      </c>
      <c r="F103" t="inlineStr">
        <is>
          <t>ÖSTERGÖTLANDS LÄN</t>
        </is>
      </c>
      <c r="G103" t="inlineStr">
        <is>
          <t>NORRKÖPING</t>
        </is>
      </c>
      <c r="I103" t="n">
        <v>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Dropptaggsvamp
Sparvuggla</t>
        </is>
      </c>
      <c r="W103">
        <f>HYPERLINK("https://klasma.github.io/Logging_0581/artfynd/A 46955-2023 artfynd.xlsx", "A 46955-2023")</f>
        <v/>
      </c>
      <c r="X103">
        <f>HYPERLINK("https://klasma.github.io/Logging_0581/kartor/A 46955-2023 karta.png", "A 46955-2023")</f>
        <v/>
      </c>
      <c r="Y103">
        <f>HYPERLINK("https://klasma.github.io/Logging_0581/kartor_geotiff/A 46955-2023 georefererad karta.tif", "A 46955-2023")</f>
        <v/>
      </c>
      <c r="AA103">
        <f>HYPERLINK("https://klasma.github.io/Logging_0581/klagomål/A 46955-2023 FSC-klagomål.docx", "A 46955-2023")</f>
        <v/>
      </c>
      <c r="AB103">
        <f>HYPERLINK("https://klasma.github.io/Logging_0581/klagomålsmail/A 46955-2023 FSC-klagomål mail.docx", "A 46955-2023")</f>
        <v/>
      </c>
      <c r="AC103">
        <f>HYPERLINK("https://klasma.github.io/Logging_0581/tillsyn/A 46955-2023 tillsynsbegäran.docx", "A 46955-2023")</f>
        <v/>
      </c>
      <c r="AD103">
        <f>HYPERLINK("https://klasma.github.io/Logging_0581/tillsynsmail/A 46955-2023 tillsynsbegäran mail.docx", "A 46955-2023")</f>
        <v/>
      </c>
      <c r="AE103">
        <f>HYPERLINK("https://klasma.github.io/Logging_0581/fåglar/A 46955-2023 prioriterade fågelarter.docx", "A 46955-2023")</f>
        <v/>
      </c>
    </row>
    <row r="104" ht="15" customHeight="1">
      <c r="A104" t="inlineStr">
        <is>
          <t>A 24233-2025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46313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Tallticka
Granbarkgnagare</t>
        </is>
      </c>
      <c r="W104">
        <f>HYPERLINK("https://klasma.github.io/Logging_0581/artfynd/A 24233-2025 artfynd.xlsx", "A 24233-2025")</f>
        <v/>
      </c>
      <c r="X104">
        <f>HYPERLINK("https://klasma.github.io/Logging_0581/kartor/A 24233-2025 karta.png", "A 24233-2025")</f>
        <v/>
      </c>
      <c r="Y104">
        <f>HYPERLINK("https://klasma.github.io/Logging_0581/kartor_geotiff/A 24233-2025 georefererad karta.tif", "A 24233-2025")</f>
        <v/>
      </c>
      <c r="AA104">
        <f>HYPERLINK("https://klasma.github.io/Logging_0581/klagomål/A 24233-2025 FSC-klagomål.docx", "A 24233-2025")</f>
        <v/>
      </c>
      <c r="AB104">
        <f>HYPERLINK("https://klasma.github.io/Logging_0581/klagomålsmail/A 24233-2025 FSC-klagomål mail.docx", "A 24233-2025")</f>
        <v/>
      </c>
      <c r="AC104">
        <f>HYPERLINK("https://klasma.github.io/Logging_0581/tillsyn/A 24233-2025 tillsynsbegäran.docx", "A 24233-2025")</f>
        <v/>
      </c>
      <c r="AD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31298-2026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46313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Blåmossa
Orre</t>
        </is>
      </c>
      <c r="W105">
        <f>HYPERLINK("https://klasma.github.io/Logging_0581/artfynd/A 31298-2026 artfynd.xlsx", "A 31298-2026")</f>
        <v/>
      </c>
      <c r="X105">
        <f>HYPERLINK("https://klasma.github.io/Logging_0581/kartor/A 31298-2026 karta.png", "A 31298-2026")</f>
        <v/>
      </c>
      <c r="Y105">
        <f>HYPERLINK("https://klasma.github.io/Logging_0581/kartor_geotiff/A 31298-2026 georefererad karta.tif", "A 31298-2026")</f>
        <v/>
      </c>
      <c r="AA105">
        <f>HYPERLINK("https://klasma.github.io/Logging_0581/klagomål/A 31298-2026 FSC-klagomål.docx", "A 31298-2026")</f>
        <v/>
      </c>
      <c r="AB105">
        <f>HYPERLINK("https://klasma.github.io/Logging_0581/klagomålsmail/A 31298-2026 FSC-klagomål mail.docx", "A 31298-2026")</f>
        <v/>
      </c>
      <c r="AC105">
        <f>HYPERLINK("https://klasma.github.io/Logging_0581/tillsyn/A 31298-2026 tillsynsbegäran.docx", "A 31298-2026")</f>
        <v/>
      </c>
      <c r="AD105">
        <f>HYPERLINK("https://klasma.github.io/Logging_0581/tillsynsmail/A 31298-2026 tillsynsbegäran mail.docx", "A 31298-2026")</f>
        <v/>
      </c>
      <c r="AE105">
        <f>HYPERLINK("https://klasma.github.io/Logging_0581/fåglar/A 31298-2026 prioriterade fågelarter.docx", "A 31298-2026")</f>
        <v/>
      </c>
    </row>
    <row r="106" ht="15" customHeight="1">
      <c r="A106" t="inlineStr">
        <is>
          <t>A 31264-2026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46313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Vedskivlav
Fläcknycklar</t>
        </is>
      </c>
      <c r="W106">
        <f>HYPERLINK("https://klasma.github.io/Logging_0581/artfynd/A 31264-2026 artfynd.xlsx", "A 31264-2026")</f>
        <v/>
      </c>
      <c r="X106">
        <f>HYPERLINK("https://klasma.github.io/Logging_0581/kartor/A 31264-2026 karta.png", "A 31264-2026")</f>
        <v/>
      </c>
      <c r="Y106">
        <f>HYPERLINK("https://klasma.github.io/Logging_0581/kartor_geotiff/A 31264-2026 georefererad karta.tif", "A 31264-2026")</f>
        <v/>
      </c>
      <c r="AA106">
        <f>HYPERLINK("https://klasma.github.io/Logging_0581/klagomål/A 31264-2026 FSC-klagomål.docx", "A 31264-2026")</f>
        <v/>
      </c>
      <c r="AB106">
        <f>HYPERLINK("https://klasma.github.io/Logging_0581/klagomålsmail/A 31264-2026 FSC-klagomål mail.docx", "A 31264-2026")</f>
        <v/>
      </c>
      <c r="AC106">
        <f>HYPERLINK("https://klasma.github.io/Logging_0581/tillsyn/A 31264-2026 tillsynsbegäran.docx", "A 31264-2026")</f>
        <v/>
      </c>
      <c r="AD106">
        <f>HYPERLINK("https://klasma.github.io/Logging_0581/tillsynsmail/A 31264-2026 tillsynsbegäran mail.docx", "A 31264-2026")</f>
        <v/>
      </c>
    </row>
    <row r="107" ht="15" customHeight="1">
      <c r="A107" t="inlineStr">
        <is>
          <t>A 31335-2026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46219</v>
      </c>
      <c r="E107" s="1" t="n">
        <v>46313</v>
      </c>
      <c r="F107" t="inlineStr">
        <is>
          <t>ÖSTERGÖTLANDS LÄN</t>
        </is>
      </c>
      <c r="G107" t="inlineStr">
        <is>
          <t>NORRKÖPING</t>
        </is>
      </c>
      <c r="I107" t="n">
        <v>1.1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Bredbrämad bastardsvärmare
Älg</t>
        </is>
      </c>
      <c r="W107">
        <f>HYPERLINK("https://klasma.github.io/Logging_0581/artfynd/A 31335-2026 artfynd.xlsx", "A 31335-2026")</f>
        <v/>
      </c>
      <c r="X107">
        <f>HYPERLINK("https://klasma.github.io/Logging_0581/kartor/A 31335-2026 karta.png", "A 31335-2026")</f>
        <v/>
      </c>
      <c r="Y107">
        <f>HYPERLINK("https://klasma.github.io/Logging_0581/kartor_geotiff/A 31335-2026 georefererad karta.tif", "A 31335-2026")</f>
        <v/>
      </c>
      <c r="AA107">
        <f>HYPERLINK("https://klasma.github.io/Logging_0581/klagomål/A 31335-2026 FSC-klagomål.docx", "A 31335-2026")</f>
        <v/>
      </c>
      <c r="AB107">
        <f>HYPERLINK("https://klasma.github.io/Logging_0581/klagomålsmail/A 31335-2026 FSC-klagomål mail.docx", "A 31335-2026")</f>
        <v/>
      </c>
      <c r="AC107">
        <f>HYPERLINK("https://klasma.github.io/Logging_0581/tillsyn/A 31335-2026 tillsynsbegäran.docx", "A 31335-2026")</f>
        <v/>
      </c>
      <c r="AD107">
        <f>HYPERLINK("https://klasma.github.io/Logging_0581/tillsynsmail/A 31335-2026 tillsynsbegäran mail.docx", "A 31335-2026")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46313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32078-2026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46313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1.8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Grönpyrola
Mindre märgborre</t>
        </is>
      </c>
      <c r="W109">
        <f>HYPERLINK("https://klasma.github.io/Logging_0581/artfynd/A 32078-2026 artfynd.xlsx", "A 32078-2026")</f>
        <v/>
      </c>
      <c r="X109">
        <f>HYPERLINK("https://klasma.github.io/Logging_0581/kartor/A 32078-2026 karta.png", "A 32078-2026")</f>
        <v/>
      </c>
      <c r="Y109">
        <f>HYPERLINK("https://klasma.github.io/Logging_0581/kartor_geotiff/A 32078-2026 georefererad karta.tif", "A 32078-2026")</f>
        <v/>
      </c>
      <c r="AA109">
        <f>HYPERLINK("https://klasma.github.io/Logging_0581/klagomål/A 32078-2026 FSC-klagomål.docx", "A 32078-2026")</f>
        <v/>
      </c>
      <c r="AB109">
        <f>HYPERLINK("https://klasma.github.io/Logging_0581/klagomålsmail/A 32078-2026 FSC-klagomål mail.docx", "A 32078-2026")</f>
        <v/>
      </c>
      <c r="AC109">
        <f>HYPERLINK("https://klasma.github.io/Logging_0581/tillsyn/A 32078-2026 tillsynsbegäran.docx", "A 32078-2026")</f>
        <v/>
      </c>
      <c r="AD109">
        <f>HYPERLINK("https://klasma.github.io/Logging_0581/tillsynsmail/A 32078-2026 tillsynsbegäran mail.docx", "A 32078-2026")</f>
        <v/>
      </c>
    </row>
    <row r="110" ht="15" customHeight="1">
      <c r="A110" t="inlineStr">
        <is>
          <t>A 32077-2026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46313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3.5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Grönpyrola
Mindre märgborre</t>
        </is>
      </c>
      <c r="W110">
        <f>HYPERLINK("https://klasma.github.io/Logging_0581/artfynd/A 32077-2026 artfynd.xlsx", "A 32077-2026")</f>
        <v/>
      </c>
      <c r="X110">
        <f>HYPERLINK("https://klasma.github.io/Logging_0581/kartor/A 32077-2026 karta.png", "A 32077-2026")</f>
        <v/>
      </c>
      <c r="Y110">
        <f>HYPERLINK("https://klasma.github.io/Logging_0581/kartor_geotiff/A 32077-2026 georefererad karta.tif", "A 32077-2026")</f>
        <v/>
      </c>
      <c r="AA110">
        <f>HYPERLINK("https://klasma.github.io/Logging_0581/klagomål/A 32077-2026 FSC-klagomål.docx", "A 32077-2026")</f>
        <v/>
      </c>
      <c r="AB110">
        <f>HYPERLINK("https://klasma.github.io/Logging_0581/klagomålsmail/A 32077-2026 FSC-klagomål mail.docx", "A 32077-2026")</f>
        <v/>
      </c>
      <c r="AC110">
        <f>HYPERLINK("https://klasma.github.io/Logging_0581/tillsyn/A 32077-2026 tillsynsbegäran.docx", "A 32077-2026")</f>
        <v/>
      </c>
      <c r="AD110">
        <f>HYPERLINK("https://klasma.github.io/Logging_0581/tillsynsmail/A 32077-2026 tillsynsbegäran mail.docx", "A 32077-2026")</f>
        <v/>
      </c>
    </row>
    <row r="111" ht="15" customHeight="1">
      <c r="A111" t="inlineStr">
        <is>
          <t>A 17248-2024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45414</v>
      </c>
      <c r="E111" s="1" t="n">
        <v>46313</v>
      </c>
      <c r="F111" t="inlineStr">
        <is>
          <t>ÖSTERGÖTLANDS LÄN</t>
        </is>
      </c>
      <c r="G111" t="inlineStr">
        <is>
          <t>NORRKÖPING</t>
        </is>
      </c>
      <c r="I111" t="n">
        <v>2.6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3</v>
      </c>
      <c r="V111" s="2" t="inlineStr">
        <is>
          <t>Tallticka
Vedticka</t>
        </is>
      </c>
      <c r="W111">
        <f>HYPERLINK("https://klasma.github.io/Logging_0581/artfynd/A 17248-2024 artfynd.xlsx", "A 17248-2024")</f>
        <v/>
      </c>
      <c r="X111">
        <f>HYPERLINK("https://klasma.github.io/Logging_0581/kartor/A 17248-2024 karta.png", "A 17248-2024")</f>
        <v/>
      </c>
      <c r="Y111">
        <f>HYPERLINK("https://klasma.github.io/Logging_0581/kartor_geotiff/A 17248-2024 georefererad karta.tif", "A 17248-2024")</f>
        <v/>
      </c>
      <c r="AA111">
        <f>HYPERLINK("https://klasma.github.io/Logging_0581/klagomål/A 17248-2024 FSC-klagomål.docx", "A 17248-2024")</f>
        <v/>
      </c>
      <c r="AB111">
        <f>HYPERLINK("https://klasma.github.io/Logging_0581/klagomålsmail/A 17248-2024 FSC-klagomål mail.docx", "A 17248-2024")</f>
        <v/>
      </c>
      <c r="AC111">
        <f>HYPERLINK("https://klasma.github.io/Logging_0581/tillsyn/A 17248-2024 tillsynsbegäran.docx", "A 17248-2024")</f>
        <v/>
      </c>
      <c r="AD111">
        <f>HYPERLINK("https://klasma.github.io/Logging_0581/tillsynsmail/A 17248-2024 tillsynsbegäran mail.docx", "A 17248-2024")</f>
        <v/>
      </c>
    </row>
    <row r="112" ht="15" customHeight="1">
      <c r="A112" t="inlineStr">
        <is>
          <t>A 38475-2026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46313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8</v>
      </c>
      <c r="J112" t="n">
        <v>1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Ljungögontröst
Talltita</t>
        </is>
      </c>
      <c r="W112">
        <f>HYPERLINK("https://klasma.github.io/Logging_0581/artfynd/A 38475-2026 artfynd.xlsx", "A 38475-2026")</f>
        <v/>
      </c>
      <c r="X112">
        <f>HYPERLINK("https://klasma.github.io/Logging_0581/kartor/A 38475-2026 karta.png", "A 38475-2026")</f>
        <v/>
      </c>
      <c r="Y112">
        <f>HYPERLINK("https://klasma.github.io/Logging_0581/kartor_geotiff/A 38475-2026 georefererad karta.tif", "A 38475-2026")</f>
        <v/>
      </c>
      <c r="AA112">
        <f>HYPERLINK("https://klasma.github.io/Logging_0581/klagomål/A 38475-2026 FSC-klagomål.docx", "A 38475-2026")</f>
        <v/>
      </c>
      <c r="AB112">
        <f>HYPERLINK("https://klasma.github.io/Logging_0581/klagomålsmail/A 38475-2026 FSC-klagomål mail.docx", "A 38475-2026")</f>
        <v/>
      </c>
      <c r="AC112">
        <f>HYPERLINK("https://klasma.github.io/Logging_0581/tillsyn/A 38475-2026 tillsynsbegäran.docx", "A 38475-2026")</f>
        <v/>
      </c>
      <c r="AD112">
        <f>HYPERLINK("https://klasma.github.io/Logging_0581/tillsynsmail/A 38475-2026 tillsynsbegäran mail.docx", "A 38475-2026")</f>
        <v/>
      </c>
      <c r="AE112">
        <f>HYPERLINK("https://klasma.github.io/Logging_0581/fåglar/A 38475-2026 prioriterade fågelarter.docx", "A 38475-2026")</f>
        <v/>
      </c>
    </row>
    <row r="113" ht="15" customHeight="1">
      <c r="A113" t="inlineStr">
        <is>
          <t>A 17793-2025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45758</v>
      </c>
      <c r="E113" s="1" t="n">
        <v>46313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6.7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Huggorm</t>
        </is>
      </c>
      <c r="W113">
        <f>HYPERLINK("https://klasma.github.io/Logging_0581/artfynd/A 17793-2025 artfynd.xlsx", "A 17793-2025")</f>
        <v/>
      </c>
      <c r="X113">
        <f>HYPERLINK("https://klasma.github.io/Logging_0581/kartor/A 17793-2025 karta.png", "A 17793-2025")</f>
        <v/>
      </c>
      <c r="Y113">
        <f>HYPERLINK("https://klasma.github.io/Logging_0581/kartor_geotiff/A 17793-2025 georefererad karta.tif", "A 17793-2025")</f>
        <v/>
      </c>
      <c r="AA113">
        <f>HYPERLINK("https://klasma.github.io/Logging_0581/klagomål/A 17793-2025 FSC-klagomål.docx", "A 17793-2025")</f>
        <v/>
      </c>
      <c r="AB113">
        <f>HYPERLINK("https://klasma.github.io/Logging_0581/klagomålsmail/A 17793-2025 FSC-klagomål mail.docx", "A 17793-2025")</f>
        <v/>
      </c>
      <c r="AC113">
        <f>HYPERLINK("https://klasma.github.io/Logging_0581/tillsyn/A 17793-2025 tillsynsbegäran.docx", "A 17793-2025")</f>
        <v/>
      </c>
      <c r="AD113">
        <f>HYPERLINK("https://klasma.github.io/Logging_0581/tillsynsmail/A 17793-2025 tillsynsbegäran mail.docx", "A 17793-2025")</f>
        <v/>
      </c>
    </row>
    <row r="114" ht="15" customHeight="1">
      <c r="A114" t="inlineStr">
        <is>
          <t>A 18682-2025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46313</v>
      </c>
      <c r="F114" t="inlineStr">
        <is>
          <t>ÖSTERGÖTLANDS LÄN</t>
        </is>
      </c>
      <c r="G114" t="inlineStr">
        <is>
          <t>NORRKÖPING</t>
        </is>
      </c>
      <c r="I114" t="n">
        <v>8.1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Jungfrulin
Blåmossa</t>
        </is>
      </c>
      <c r="W114">
        <f>HYPERLINK("https://klasma.github.io/Logging_0581/artfynd/A 18682-2025 artfynd.xlsx", "A 18682-2025")</f>
        <v/>
      </c>
      <c r="X114">
        <f>HYPERLINK("https://klasma.github.io/Logging_0581/kartor/A 18682-2025 karta.png", "A 18682-2025")</f>
        <v/>
      </c>
      <c r="Y114">
        <f>HYPERLINK("https://klasma.github.io/Logging_0581/kartor_geotiff/A 18682-2025 georefererad karta.tif", "A 18682-2025")</f>
        <v/>
      </c>
      <c r="AA114">
        <f>HYPERLINK("https://klasma.github.io/Logging_0581/klagomål/A 18682-2025 FSC-klagomål.docx", "A 18682-2025")</f>
        <v/>
      </c>
      <c r="AB114">
        <f>HYPERLINK("https://klasma.github.io/Logging_0581/klagomålsmail/A 18682-2025 FSC-klagomål mail.docx", "A 18682-2025")</f>
        <v/>
      </c>
      <c r="AC114">
        <f>HYPERLINK("https://klasma.github.io/Logging_0581/tillsyn/A 18682-2025 tillsynsbegäran.docx", "A 18682-2025")</f>
        <v/>
      </c>
      <c r="AD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45783</v>
      </c>
      <c r="E115" s="1" t="n">
        <v>46313</v>
      </c>
      <c r="F115" t="inlineStr">
        <is>
          <t>ÖSTERGÖTLANDS LÄN</t>
        </is>
      </c>
      <c r="G115" t="inlineStr">
        <is>
          <t>NORRKÖPING</t>
        </is>
      </c>
      <c r="I115" t="n">
        <v>3.5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HYPERLINK("https://klasma.github.io/Logging_0581/artfynd/A 21799-2025 artfynd.xlsx", "A 21799-2025")</f>
        <v/>
      </c>
      <c r="X115">
        <f>HYPERLINK("https://klasma.github.io/Logging_0581/kartor/A 21799-2025 karta.png", "A 21799-2025")</f>
        <v/>
      </c>
      <c r="Y115">
        <f>HYPERLINK("https://klasma.github.io/Logging_0581/kartor_geotiff/A 21799-2025 georefererad karta.tif", "A 21799-2025")</f>
        <v/>
      </c>
      <c r="AA115">
        <f>HYPERLINK("https://klasma.github.io/Logging_0581/klagomål/A 21799-2025 FSC-klagomål.docx", "A 21799-2025")</f>
        <v/>
      </c>
      <c r="AB115">
        <f>HYPERLINK("https://klasma.github.io/Logging_0581/klagomålsmail/A 21799-2025 FSC-klagomål mail.docx", "A 21799-2025")</f>
        <v/>
      </c>
      <c r="AC115">
        <f>HYPERLINK("https://klasma.github.io/Logging_0581/tillsyn/A 21799-2025 tillsynsbegäran.docx", "A 21799-2025")</f>
        <v/>
      </c>
      <c r="AD115">
        <f>HYPERLINK("https://klasma.github.io/Logging_0581/tillsynsmail/A 21799-2025 tillsynsbegäran mail.docx", "A 21799-2025")</f>
        <v/>
      </c>
    </row>
    <row r="116" ht="15" customHeight="1">
      <c r="A116" t="inlineStr">
        <is>
          <t>A 10769-2024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46313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Talltita
Tjäder</t>
        </is>
      </c>
      <c r="W116">
        <f>HYPERLINK("https://klasma.github.io/Logging_0581/artfynd/A 10769-2024 artfynd.xlsx", "A 10769-2024")</f>
        <v/>
      </c>
      <c r="X116">
        <f>HYPERLINK("https://klasma.github.io/Logging_0581/kartor/A 10769-2024 karta.png", "A 10769-2024")</f>
        <v/>
      </c>
      <c r="Y116">
        <f>HYPERLINK("https://klasma.github.io/Logging_0581/kartor_geotiff/A 10769-2024 georefererad karta.tif", "A 10769-2024")</f>
        <v/>
      </c>
      <c r="AA116">
        <f>HYPERLINK("https://klasma.github.io/Logging_0581/klagomål/A 10769-2024 FSC-klagomål.docx", "A 10769-2024")</f>
        <v/>
      </c>
      <c r="AB116">
        <f>HYPERLINK("https://klasma.github.io/Logging_0581/klagomålsmail/A 10769-2024 FSC-klagomål mail.docx", "A 10769-2024")</f>
        <v/>
      </c>
      <c r="AC116">
        <f>HYPERLINK("https://klasma.github.io/Logging_0581/tillsyn/A 10769-2024 tillsynsbegäran.docx", "A 10769-2024")</f>
        <v/>
      </c>
      <c r="AD116">
        <f>HYPERLINK("https://klasma.github.io/Logging_0581/tillsynsmail/A 10769-2024 tillsynsbegäran mail.docx", "A 10769-2024")</f>
        <v/>
      </c>
      <c r="AE116">
        <f>HYPERLINK("https://klasma.github.io/Logging_0581/fåglar/A 10769-2024 prioriterade fågelarter.docx", "A 10769-2024")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46313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46313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46313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46313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46313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46313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9790-2024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45362</v>
      </c>
      <c r="E123" s="1" t="n">
        <v>46313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Mattlummer</t>
        </is>
      </c>
      <c r="W123">
        <f>HYPERLINK("https://klasma.github.io/Logging_0581/artfynd/A 9790-2024 artfynd.xlsx", "A 9790-2024")</f>
        <v/>
      </c>
      <c r="X123">
        <f>HYPERLINK("https://klasma.github.io/Logging_0581/kartor/A 9790-2024 karta.png", "A 9790-2024")</f>
        <v/>
      </c>
      <c r="Y123">
        <f>HYPERLINK("https://klasma.github.io/Logging_0581/kartor_geotiff/A 9790-2024 georefererad karta.tif", "A 9790-2024")</f>
        <v/>
      </c>
      <c r="AA123">
        <f>HYPERLINK("https://klasma.github.io/Logging_0581/klagomål/A 9790-2024 FSC-klagomål.docx", "A 9790-2024")</f>
        <v/>
      </c>
      <c r="AB123">
        <f>HYPERLINK("https://klasma.github.io/Logging_0581/klagomålsmail/A 9790-2024 FSC-klagomål mail.docx", "A 9790-2024")</f>
        <v/>
      </c>
      <c r="AC123">
        <f>HYPERLINK("https://klasma.github.io/Logging_0581/tillsyn/A 9790-2024 tillsynsbegäran.docx", "A 9790-2024")</f>
        <v/>
      </c>
      <c r="AD123">
        <f>HYPERLINK("https://klasma.github.io/Logging_0581/tillsynsmail/A 9790-2024 tillsynsbegäran mail.docx", "A 9790-2024")</f>
        <v/>
      </c>
    </row>
    <row r="124" ht="15" customHeight="1">
      <c r="A124" t="inlineStr">
        <is>
          <t>A 31897-2022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44777</v>
      </c>
      <c r="E124" s="1" t="n">
        <v>46313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Kommuner</t>
        </is>
      </c>
      <c r="I124" t="n">
        <v>1.8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Grönpyrola</t>
        </is>
      </c>
      <c r="W124">
        <f>HYPERLINK("https://klasma.github.io/Logging_0581/artfynd/A 31897-2022 artfynd.xlsx", "A 31897-2022")</f>
        <v/>
      </c>
      <c r="X124">
        <f>HYPERLINK("https://klasma.github.io/Logging_0581/kartor/A 31897-2022 karta.png", "A 31897-2022")</f>
        <v/>
      </c>
      <c r="Y124">
        <f>HYPERLINK("https://klasma.github.io/Logging_0581/kartor_geotiff/A 31897-2022 georefererad karta.tif", "A 31897-2022")</f>
        <v/>
      </c>
      <c r="AA124">
        <f>HYPERLINK("https://klasma.github.io/Logging_0581/klagomål/A 31897-2022 FSC-klagomål.docx", "A 31897-2022")</f>
        <v/>
      </c>
      <c r="AB124">
        <f>HYPERLINK("https://klasma.github.io/Logging_0581/klagomålsmail/A 31897-2022 FSC-klagomål mail.docx", "A 31897-2022")</f>
        <v/>
      </c>
      <c r="AC124">
        <f>HYPERLINK("https://klasma.github.io/Logging_0581/tillsyn/A 31897-2022 tillsynsbegäran.docx", "A 31897-2022")</f>
        <v/>
      </c>
      <c r="AD124">
        <f>HYPERLINK("https://klasma.github.io/Logging_0581/tillsynsmail/A 31897-2022 tillsynsbegäran mail.docx", "A 31897-2022")</f>
        <v/>
      </c>
    </row>
    <row r="125" ht="15" customHeight="1">
      <c r="A125" t="inlineStr">
        <is>
          <t>A 46806-2024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46313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Vedskivlav</t>
        </is>
      </c>
      <c r="W125">
        <f>HYPERLINK("https://klasma.github.io/Logging_0581/artfynd/A 46806-2024 artfynd.xlsx", "A 46806-2024")</f>
        <v/>
      </c>
      <c r="X125">
        <f>HYPERLINK("https://klasma.github.io/Logging_0581/kartor/A 46806-2024 karta.png", "A 46806-2024")</f>
        <v/>
      </c>
      <c r="Y125">
        <f>HYPERLINK("https://klasma.github.io/Logging_0581/kartor_geotiff/A 46806-2024 georefererad karta.tif", "A 46806-2024")</f>
        <v/>
      </c>
      <c r="AA125">
        <f>HYPERLINK("https://klasma.github.io/Logging_0581/klagomål/A 46806-2024 FSC-klagomål.docx", "A 46806-2024")</f>
        <v/>
      </c>
      <c r="AB125">
        <f>HYPERLINK("https://klasma.github.io/Logging_0581/klagomålsmail/A 46806-2024 FSC-klagomål mail.docx", "A 46806-2024")</f>
        <v/>
      </c>
      <c r="AC125">
        <f>HYPERLINK("https://klasma.github.io/Logging_0581/tillsyn/A 46806-2024 tillsynsbegäran.docx", "A 46806-2024")</f>
        <v/>
      </c>
      <c r="AD125">
        <f>HYPERLINK("https://klasma.github.io/Logging_0581/tillsynsmail/A 46806-2024 tillsynsbegäran mail.docx", "A 46806-2024")</f>
        <v/>
      </c>
    </row>
    <row r="126" ht="15" customHeight="1">
      <c r="A126" t="inlineStr">
        <is>
          <t>A 7317-2025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46313</v>
      </c>
      <c r="F126" t="inlineStr">
        <is>
          <t>ÖSTERGÖTLANDS LÄN</t>
        </is>
      </c>
      <c r="G126" t="inlineStr">
        <is>
          <t>NORRKÖPING</t>
        </is>
      </c>
      <c r="I126" t="n">
        <v>1.4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Backklöver</t>
        </is>
      </c>
      <c r="W126">
        <f>HYPERLINK("https://klasma.github.io/Logging_0581/artfynd/A 7317-2025 artfynd.xlsx", "A 7317-2025")</f>
        <v/>
      </c>
      <c r="X126">
        <f>HYPERLINK("https://klasma.github.io/Logging_0581/kartor/A 7317-2025 karta.png", "A 7317-2025")</f>
        <v/>
      </c>
      <c r="Y126">
        <f>HYPERLINK("https://klasma.github.io/Logging_0581/kartor_geotiff/A 7317-2025 georefererad karta.tif", "A 7317-2025")</f>
        <v/>
      </c>
      <c r="AA126">
        <f>HYPERLINK("https://klasma.github.io/Logging_0581/klagomål/A 7317-2025 FSC-klagomål.docx", "A 7317-2025")</f>
        <v/>
      </c>
      <c r="AB126">
        <f>HYPERLINK("https://klasma.github.io/Logging_0581/klagomålsmail/A 7317-2025 FSC-klagomål mail.docx", "A 7317-2025")</f>
        <v/>
      </c>
      <c r="AC126">
        <f>HYPERLINK("https://klasma.github.io/Logging_0581/tillsyn/A 7317-2025 tillsynsbegäran.docx", "A 7317-2025")</f>
        <v/>
      </c>
      <c r="AD126">
        <f>HYPERLINK("https://klasma.github.io/Logging_0581/tillsynsmail/A 7317-2025 tillsynsbegäran mail.docx", "A 7317-2025")</f>
        <v/>
      </c>
    </row>
    <row r="127" ht="15" customHeight="1">
      <c r="A127" t="inlineStr">
        <is>
          <t>A 41369-2023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46313</v>
      </c>
      <c r="F127" t="inlineStr">
        <is>
          <t>ÖSTERGÖTLANDS LÄN</t>
        </is>
      </c>
      <c r="G127" t="inlineStr">
        <is>
          <t>NORRKÖPING</t>
        </is>
      </c>
      <c r="I127" t="n">
        <v>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HYPERLINK("https://klasma.github.io/Logging_0581/artfynd/A 41369-2023 artfynd.xlsx", "A 41369-2023")</f>
        <v/>
      </c>
      <c r="X127">
        <f>HYPERLINK("https://klasma.github.io/Logging_0581/kartor/A 41369-2023 karta.png", "A 41369-2023")</f>
        <v/>
      </c>
      <c r="Y127">
        <f>HYPERLINK("https://klasma.github.io/Logging_0581/kartor_geotiff/A 41369-2023 georefererad karta.tif", "A 41369-2023")</f>
        <v/>
      </c>
      <c r="AA127">
        <f>HYPERLINK("https://klasma.github.io/Logging_0581/klagomål/A 41369-2023 FSC-klagomål.docx", "A 41369-2023")</f>
        <v/>
      </c>
      <c r="AB127">
        <f>HYPERLINK("https://klasma.github.io/Logging_0581/klagomålsmail/A 41369-2023 FSC-klagomål mail.docx", "A 41369-2023")</f>
        <v/>
      </c>
      <c r="AC127">
        <f>HYPERLINK("https://klasma.github.io/Logging_0581/tillsyn/A 41369-2023 tillsynsbegäran.docx", "A 41369-2023")</f>
        <v/>
      </c>
      <c r="AD127">
        <f>HYPERLINK("https://klasma.github.io/Logging_0581/tillsynsmail/A 41369-2023 tillsynsbegäran mail.docx", "A 41369-2023")</f>
        <v/>
      </c>
    </row>
    <row r="128" ht="15" customHeight="1">
      <c r="A128" t="inlineStr">
        <is>
          <t>A 1077-2023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46313</v>
      </c>
      <c r="F128" t="inlineStr">
        <is>
          <t>ÖSTERGÖTLANDS LÄN</t>
        </is>
      </c>
      <c r="G128" t="inlineStr">
        <is>
          <t>NORRKÖPING</t>
        </is>
      </c>
      <c r="I128" t="n">
        <v>3.4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Äkta lopplummer</t>
        </is>
      </c>
      <c r="W128">
        <f>HYPERLINK("https://klasma.github.io/Logging_0581/artfynd/A 1077-2023 artfynd.xlsx", "A 1077-2023")</f>
        <v/>
      </c>
      <c r="X128">
        <f>HYPERLINK("https://klasma.github.io/Logging_0581/kartor/A 1077-2023 karta.png", "A 1077-2023")</f>
        <v/>
      </c>
      <c r="Y128">
        <f>HYPERLINK("https://klasma.github.io/Logging_0581/kartor_geotiff/A 1077-2023 georefererad karta.tif", "A 1077-2023")</f>
        <v/>
      </c>
      <c r="AA128">
        <f>HYPERLINK("https://klasma.github.io/Logging_0581/klagomål/A 1077-2023 FSC-klagomål.docx", "A 1077-2023")</f>
        <v/>
      </c>
      <c r="AB128">
        <f>HYPERLINK("https://klasma.github.io/Logging_0581/klagomålsmail/A 1077-2023 FSC-klagomål mail.docx", "A 1077-2023")</f>
        <v/>
      </c>
      <c r="AC128">
        <f>HYPERLINK("https://klasma.github.io/Logging_0581/tillsyn/A 1077-2023 tillsynsbegäran.docx", "A 1077-2023")</f>
        <v/>
      </c>
      <c r="AD128">
        <f>HYPERLINK("https://klasma.github.io/Logging_0581/tillsynsmail/A 1077-2023 tillsynsbegäran mail.docx", "A 1077-2023")</f>
        <v/>
      </c>
    </row>
    <row r="129" ht="15" customHeight="1">
      <c r="A129" t="inlineStr">
        <is>
          <t>A 9941-2024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46313</v>
      </c>
      <c r="F129" t="inlineStr">
        <is>
          <t>ÖSTERGÖTLANDS LÄN</t>
        </is>
      </c>
      <c r="G129" t="inlineStr">
        <is>
          <t>NORRKÖPING</t>
        </is>
      </c>
      <c r="I129" t="n">
        <v>3.1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Purpurknipprot</t>
        </is>
      </c>
      <c r="W129">
        <f>HYPERLINK("https://klasma.github.io/Logging_0581/artfynd/A 9941-2024 artfynd.xlsx", "A 9941-2024")</f>
        <v/>
      </c>
      <c r="X129">
        <f>HYPERLINK("https://klasma.github.io/Logging_0581/kartor/A 9941-2024 karta.png", "A 9941-2024")</f>
        <v/>
      </c>
      <c r="Y129">
        <f>HYPERLINK("https://klasma.github.io/Logging_0581/kartor_geotiff/A 9941-2024 georefererad karta.tif", "A 9941-2024")</f>
        <v/>
      </c>
      <c r="AA129">
        <f>HYPERLINK("https://klasma.github.io/Logging_0581/klagomål/A 9941-2024 FSC-klagomål.docx", "A 9941-2024")</f>
        <v/>
      </c>
      <c r="AB129">
        <f>HYPERLINK("https://klasma.github.io/Logging_0581/klagomålsmail/A 9941-2024 FSC-klagomål mail.docx", "A 9941-2024")</f>
        <v/>
      </c>
      <c r="AC129">
        <f>HYPERLINK("https://klasma.github.io/Logging_0581/tillsyn/A 9941-2024 tillsynsbegäran.docx", "A 9941-2024")</f>
        <v/>
      </c>
      <c r="AD129">
        <f>HYPERLINK("https://klasma.github.io/Logging_0581/tillsynsmail/A 9941-2024 tillsynsbegäran mail.docx", "A 9941-2024")</f>
        <v/>
      </c>
    </row>
    <row r="130" ht="15" customHeight="1">
      <c r="A130" t="inlineStr">
        <is>
          <t>A 15124-2025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46313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Vedskivlav</t>
        </is>
      </c>
      <c r="W130">
        <f>HYPERLINK("https://klasma.github.io/Logging_0581/artfynd/A 15124-2025 artfynd.xlsx", "A 15124-2025")</f>
        <v/>
      </c>
      <c r="X130">
        <f>HYPERLINK("https://klasma.github.io/Logging_0581/kartor/A 15124-2025 karta.png", "A 15124-2025")</f>
        <v/>
      </c>
      <c r="Y130">
        <f>HYPERLINK("https://klasma.github.io/Logging_0581/kartor_geotiff/A 15124-2025 georefererad karta.tif", "A 15124-2025")</f>
        <v/>
      </c>
      <c r="AA130">
        <f>HYPERLINK("https://klasma.github.io/Logging_0581/klagomål/A 15124-2025 FSC-klagomål.docx", "A 15124-2025")</f>
        <v/>
      </c>
      <c r="AB130">
        <f>HYPERLINK("https://klasma.github.io/Logging_0581/klagomålsmail/A 15124-2025 FSC-klagomål mail.docx", "A 15124-2025")</f>
        <v/>
      </c>
      <c r="AC130">
        <f>HYPERLINK("https://klasma.github.io/Logging_0581/tillsyn/A 15124-2025 tillsynsbegäran.docx", "A 15124-2025")</f>
        <v/>
      </c>
      <c r="AD130">
        <f>HYPERLINK("https://klasma.github.io/Logging_0581/tillsynsmail/A 15124-2025 tillsynsbegäran mail.docx", "A 15124-2025")</f>
        <v/>
      </c>
    </row>
    <row r="131" ht="15" customHeight="1">
      <c r="A131" t="inlineStr">
        <is>
          <t>A 27236-2023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46313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Motaggsvamp</t>
        </is>
      </c>
      <c r="W131">
        <f>HYPERLINK("https://klasma.github.io/Logging_0581/artfynd/A 27236-2023 artfynd.xlsx", "A 27236-2023")</f>
        <v/>
      </c>
      <c r="X131">
        <f>HYPERLINK("https://klasma.github.io/Logging_0581/kartor/A 27236-2023 karta.png", "A 27236-2023")</f>
        <v/>
      </c>
      <c r="Y131">
        <f>HYPERLINK("https://klasma.github.io/Logging_0581/kartor_geotiff/A 27236-2023 georefererad karta.tif", "A 27236-2023")</f>
        <v/>
      </c>
      <c r="AA131">
        <f>HYPERLINK("https://klasma.github.io/Logging_0581/klagomål/A 27236-2023 FSC-klagomål.docx", "A 27236-2023")</f>
        <v/>
      </c>
      <c r="AB131">
        <f>HYPERLINK("https://klasma.github.io/Logging_0581/klagomålsmail/A 27236-2023 FSC-klagomål mail.docx", "A 27236-2023")</f>
        <v/>
      </c>
      <c r="AC131">
        <f>HYPERLINK("https://klasma.github.io/Logging_0581/tillsyn/A 27236-2023 tillsynsbegäran.docx", "A 27236-2023")</f>
        <v/>
      </c>
      <c r="AD131">
        <f>HYPERLINK("https://klasma.github.io/Logging_0581/tillsynsmail/A 27236-2023 tillsynsbegäran mail.docx", "A 27236-2023")</f>
        <v/>
      </c>
    </row>
    <row r="132" ht="15" customHeight="1">
      <c r="A132" t="inlineStr">
        <is>
          <t>A 15143-2025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46313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Vedskivlav</t>
        </is>
      </c>
      <c r="W132">
        <f>HYPERLINK("https://klasma.github.io/Logging_0581/artfynd/A 15143-2025 artfynd.xlsx", "A 15143-2025")</f>
        <v/>
      </c>
      <c r="X132">
        <f>HYPERLINK("https://klasma.github.io/Logging_0581/kartor/A 15143-2025 karta.png", "A 15143-2025")</f>
        <v/>
      </c>
      <c r="Y132">
        <f>HYPERLINK("https://klasma.github.io/Logging_0581/kartor_geotiff/A 15143-2025 georefererad karta.tif", "A 15143-2025")</f>
        <v/>
      </c>
      <c r="AA132">
        <f>HYPERLINK("https://klasma.github.io/Logging_0581/klagomål/A 15143-2025 FSC-klagomål.docx", "A 15143-2025")</f>
        <v/>
      </c>
      <c r="AB132">
        <f>HYPERLINK("https://klasma.github.io/Logging_0581/klagomålsmail/A 15143-2025 FSC-klagomål mail.docx", "A 15143-2025")</f>
        <v/>
      </c>
      <c r="AC132">
        <f>HYPERLINK("https://klasma.github.io/Logging_0581/tillsyn/A 15143-2025 tillsynsbegäran.docx", "A 15143-2025")</f>
        <v/>
      </c>
      <c r="AD132">
        <f>HYPERLINK("https://klasma.github.io/Logging_0581/tillsynsmail/A 15143-2025 tillsynsbegäran mail.docx", "A 15143-2025")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46313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40053-2025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45894</v>
      </c>
      <c r="E134" s="1" t="n">
        <v>46313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HYPERLINK("https://klasma.github.io/Logging_0581/artfynd/A 40053-2025 artfynd.xlsx", "A 40053-2025")</f>
        <v/>
      </c>
      <c r="X134">
        <f>HYPERLINK("https://klasma.github.io/Logging_0581/kartor/A 40053-2025 karta.png", "A 40053-2025")</f>
        <v/>
      </c>
      <c r="Y134">
        <f>HYPERLINK("https://klasma.github.io/Logging_0581/kartor_geotiff/A 40053-2025 georefererad karta.tif", "A 40053-2025")</f>
        <v/>
      </c>
      <c r="AA134">
        <f>HYPERLINK("https://klasma.github.io/Logging_0581/klagomål/A 40053-2025 FSC-klagomål.docx", "A 40053-2025")</f>
        <v/>
      </c>
      <c r="AB134">
        <f>HYPERLINK("https://klasma.github.io/Logging_0581/klagomålsmail/A 40053-2025 FSC-klagomål mail.docx", "A 40053-2025")</f>
        <v/>
      </c>
      <c r="AC134">
        <f>HYPERLINK("https://klasma.github.io/Logging_0581/tillsyn/A 40053-2025 tillsynsbegäran.docx", "A 40053-2025")</f>
        <v/>
      </c>
      <c r="AD134">
        <f>HYPERLINK("https://klasma.github.io/Logging_0581/tillsynsmail/A 40053-2025 tillsynsbegäran mail.docx", "A 40053-2025")</f>
        <v/>
      </c>
    </row>
    <row r="135" ht="15" customHeight="1">
      <c r="A135" t="inlineStr">
        <is>
          <t>A 2545-2023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46313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Hasselticka</t>
        </is>
      </c>
      <c r="W135">
        <f>HYPERLINK("https://klasma.github.io/Logging_0581/artfynd/A 2545-2023 artfynd.xlsx", "A 2545-2023")</f>
        <v/>
      </c>
      <c r="X135">
        <f>HYPERLINK("https://klasma.github.io/Logging_0581/kartor/A 2545-2023 karta.png", "A 2545-2023")</f>
        <v/>
      </c>
      <c r="Y135">
        <f>HYPERLINK("https://klasma.github.io/Logging_0581/kartor_geotiff/A 2545-2023 georefererad karta.tif", "A 2545-2023")</f>
        <v/>
      </c>
      <c r="AA135">
        <f>HYPERLINK("https://klasma.github.io/Logging_0581/klagomål/A 2545-2023 FSC-klagomål.docx", "A 2545-2023")</f>
        <v/>
      </c>
      <c r="AB135">
        <f>HYPERLINK("https://klasma.github.io/Logging_0581/klagomålsmail/A 2545-2023 FSC-klagomål mail.docx", "A 2545-2023")</f>
        <v/>
      </c>
      <c r="AC135">
        <f>HYPERLINK("https://klasma.github.io/Logging_0581/tillsyn/A 2545-2023 tillsynsbegäran.docx", "A 2545-2023")</f>
        <v/>
      </c>
      <c r="AD135">
        <f>HYPERLINK("https://klasma.github.io/Logging_0581/tillsynsmail/A 2545-2023 tillsynsbegäran mail.docx", "A 2545-2023")</f>
        <v/>
      </c>
    </row>
    <row r="136" ht="15" customHeight="1">
      <c r="A136" t="inlineStr">
        <is>
          <t>A 40095-2025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46313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40095-2025 artfynd.xlsx", "A 40095-2025")</f>
        <v/>
      </c>
      <c r="X136">
        <f>HYPERLINK("https://klasma.github.io/Logging_0581/kartor/A 40095-2025 karta.png", "A 40095-2025")</f>
        <v/>
      </c>
      <c r="Y136">
        <f>HYPERLINK("https://klasma.github.io/Logging_0581/kartor_geotiff/A 40095-2025 georefererad karta.tif", "A 40095-2025")</f>
        <v/>
      </c>
      <c r="AA136">
        <f>HYPERLINK("https://klasma.github.io/Logging_0581/klagomål/A 40095-2025 FSC-klagomål.docx", "A 40095-2025")</f>
        <v/>
      </c>
      <c r="AB136">
        <f>HYPERLINK("https://klasma.github.io/Logging_0581/klagomålsmail/A 40095-2025 FSC-klagomål mail.docx", "A 40095-2025")</f>
        <v/>
      </c>
      <c r="AC136">
        <f>HYPERLINK("https://klasma.github.io/Logging_0581/tillsyn/A 40095-2025 tillsynsbegäran.docx", "A 40095-2025")</f>
        <v/>
      </c>
      <c r="AD136">
        <f>HYPERLINK("https://klasma.github.io/Logging_0581/tillsynsmail/A 40095-2025 tillsynsbegäran mail.docx", "A 40095-2025")</f>
        <v/>
      </c>
      <c r="AE136">
        <f>HYPERLINK("https://klasma.github.io/Logging_0581/fåglar/A 40095-2025 prioriterade fågelarter.docx", "A 40095-2025")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46313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42548-2025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46313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Kattfotslav</t>
        </is>
      </c>
      <c r="W138">
        <f>HYPERLINK("https://klasma.github.io/Logging_0581/artfynd/A 42548-2025 artfynd.xlsx", "A 42548-2025")</f>
        <v/>
      </c>
      <c r="X138">
        <f>HYPERLINK("https://klasma.github.io/Logging_0581/kartor/A 42548-2025 karta.png", "A 42548-2025")</f>
        <v/>
      </c>
      <c r="Y138">
        <f>HYPERLINK("https://klasma.github.io/Logging_0581/kartor_geotiff/A 42548-2025 georefererad karta.tif", "A 42548-2025")</f>
        <v/>
      </c>
      <c r="AA138">
        <f>HYPERLINK("https://klasma.github.io/Logging_0581/klagomål/A 42548-2025 FSC-klagomål.docx", "A 42548-2025")</f>
        <v/>
      </c>
      <c r="AB138">
        <f>HYPERLINK("https://klasma.github.io/Logging_0581/klagomålsmail/A 42548-2025 FSC-klagomål mail.docx", "A 42548-2025")</f>
        <v/>
      </c>
      <c r="AC138">
        <f>HYPERLINK("https://klasma.github.io/Logging_0581/tillsyn/A 42548-2025 tillsynsbegäran.docx", "A 42548-2025")</f>
        <v/>
      </c>
      <c r="AD138">
        <f>HYPERLINK("https://klasma.github.io/Logging_0581/tillsynsmail/A 42548-2025 tillsynsbegäran mail.docx", "A 42548-2025")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46313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Jungfrulin</t>
        </is>
      </c>
      <c r="W139">
        <f>HYPERLINK("https://klasma.github.io/Logging_0581/artfynd/A 42233-2025 artfynd.xlsx", "A 42233-2025")</f>
        <v/>
      </c>
      <c r="X139">
        <f>HYPERLINK("https://klasma.github.io/Logging_0581/kartor/A 42233-2025 karta.png", "A 42233-2025")</f>
        <v/>
      </c>
      <c r="Y139">
        <f>HYPERLINK("https://klasma.github.io/Logging_0581/kartor_geotiff/A 42233-2025 georefererad karta.tif", "A 42233-2025")</f>
        <v/>
      </c>
      <c r="AA139">
        <f>HYPERLINK("https://klasma.github.io/Logging_0581/klagomål/A 42233-2025 FSC-klagomål.docx", "A 42233-2025")</f>
        <v/>
      </c>
      <c r="AB139">
        <f>HYPERLINK("https://klasma.github.io/Logging_0581/klagomålsmail/A 42233-2025 FSC-klagomål mail.docx", "A 42233-2025")</f>
        <v/>
      </c>
      <c r="AC139">
        <f>HYPERLINK("https://klasma.github.io/Logging_0581/tillsyn/A 42233-2025 tillsynsbegäran.docx", "A 42233-2025")</f>
        <v/>
      </c>
      <c r="AD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46313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60899-2024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46313</v>
      </c>
      <c r="F141" t="inlineStr">
        <is>
          <t>ÖSTERGÖTLANDS LÄN</t>
        </is>
      </c>
      <c r="G141" t="inlineStr">
        <is>
          <t>NORRKÖPING</t>
        </is>
      </c>
      <c r="I141" t="n">
        <v>2.4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60899-2024 artfynd.xlsx", "A 60899-2024")</f>
        <v/>
      </c>
      <c r="X141">
        <f>HYPERLINK("https://klasma.github.io/Logging_0581/kartor/A 60899-2024 karta.png", "A 60899-2024")</f>
        <v/>
      </c>
      <c r="Y141">
        <f>HYPERLINK("https://klasma.github.io/Logging_0581/kartor_geotiff/A 60899-2024 georefererad karta.tif", "A 60899-2024")</f>
        <v/>
      </c>
      <c r="AA141">
        <f>HYPERLINK("https://klasma.github.io/Logging_0581/klagomål/A 60899-2024 FSC-klagomål.docx", "A 60899-2024")</f>
        <v/>
      </c>
      <c r="AB141">
        <f>HYPERLINK("https://klasma.github.io/Logging_0581/klagomålsmail/A 60899-2024 FSC-klagomål mail.docx", "A 60899-2024")</f>
        <v/>
      </c>
      <c r="AC141">
        <f>HYPERLINK("https://klasma.github.io/Logging_0581/tillsyn/A 60899-2024 tillsynsbegäran.docx", "A 60899-2024")</f>
        <v/>
      </c>
      <c r="AD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25982-2023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46313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1.8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Linmåra/småsnärjmåra</t>
        </is>
      </c>
      <c r="W142">
        <f>HYPERLINK("https://klasma.github.io/Logging_0581/artfynd/A 25982-2023 artfynd.xlsx", "A 25982-2023")</f>
        <v/>
      </c>
      <c r="X142">
        <f>HYPERLINK("https://klasma.github.io/Logging_0581/kartor/A 25982-2023 karta.png", "A 25982-2023")</f>
        <v/>
      </c>
      <c r="Y142">
        <f>HYPERLINK("https://klasma.github.io/Logging_0581/kartor_geotiff/A 25982-2023 georefererad karta.tif", "A 25982-2023")</f>
        <v/>
      </c>
      <c r="AA142">
        <f>HYPERLINK("https://klasma.github.io/Logging_0581/klagomål/A 25982-2023 FSC-klagomål.docx", "A 25982-2023")</f>
        <v/>
      </c>
      <c r="AB142">
        <f>HYPERLINK("https://klasma.github.io/Logging_0581/klagomålsmail/A 25982-2023 FSC-klagomål mail.docx", "A 25982-2023")</f>
        <v/>
      </c>
      <c r="AC142">
        <f>HYPERLINK("https://klasma.github.io/Logging_0581/tillsyn/A 25982-2023 tillsynsbegäran.docx", "A 25982-2023")</f>
        <v/>
      </c>
      <c r="AD142">
        <f>HYPERLINK("https://klasma.github.io/Logging_0581/tillsynsmail/A 25982-2023 tillsynsbegäran mail.docx", "A 25982-2023")</f>
        <v/>
      </c>
    </row>
    <row r="143" ht="15" customHeight="1">
      <c r="A143" t="inlineStr">
        <is>
          <t>A 58318-2023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46313</v>
      </c>
      <c r="F143" t="inlineStr">
        <is>
          <t>ÖSTERGÖTLANDS LÄN</t>
        </is>
      </c>
      <c r="G143" t="inlineStr">
        <is>
          <t>NORRKÖPING</t>
        </is>
      </c>
      <c r="I143" t="n">
        <v>4.2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Havsörn</t>
        </is>
      </c>
      <c r="W143">
        <f>HYPERLINK("https://klasma.github.io/Logging_0581/artfynd/A 58318-2023 artfynd.xlsx", "A 58318-2023")</f>
        <v/>
      </c>
      <c r="X143">
        <f>HYPERLINK("https://klasma.github.io/Logging_0581/kartor/A 58318-2023 karta.png", "A 58318-2023")</f>
        <v/>
      </c>
      <c r="Y143">
        <f>HYPERLINK("https://klasma.github.io/Logging_0581/kartor_geotiff/A 58318-2023 georefererad karta.tif", "A 58318-2023")</f>
        <v/>
      </c>
      <c r="AA143">
        <f>HYPERLINK("https://klasma.github.io/Logging_0581/klagomål/A 58318-2023 FSC-klagomål.docx", "A 58318-2023")</f>
        <v/>
      </c>
      <c r="AB143">
        <f>HYPERLINK("https://klasma.github.io/Logging_0581/klagomålsmail/A 58318-2023 FSC-klagomål mail.docx", "A 58318-2023")</f>
        <v/>
      </c>
      <c r="AC143">
        <f>HYPERLINK("https://klasma.github.io/Logging_0581/tillsyn/A 58318-2023 tillsynsbegäran.docx", "A 58318-2023")</f>
        <v/>
      </c>
      <c r="AD143">
        <f>HYPERLINK("https://klasma.github.io/Logging_0581/tillsynsmail/A 58318-2023 tillsynsbegäran mail.docx", "A 58318-2023")</f>
        <v/>
      </c>
      <c r="AE143">
        <f>HYPERLINK("https://klasma.github.io/Logging_0581/fåglar/A 58318-2023 prioriterade fågelarter.docx", "A 58318-2023")</f>
        <v/>
      </c>
    </row>
    <row r="144" ht="15" customHeight="1">
      <c r="A144" t="inlineStr">
        <is>
          <t>A 23627-2026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46313</v>
      </c>
      <c r="F144" t="inlineStr">
        <is>
          <t>ÖSTERGÖTLANDS LÄN</t>
        </is>
      </c>
      <c r="G144" t="inlineStr">
        <is>
          <t>NORRKÖPING</t>
        </is>
      </c>
      <c r="I144" t="n">
        <v>4.1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Ekoxe</t>
        </is>
      </c>
      <c r="W144">
        <f>HYPERLINK("https://klasma.github.io/Logging_0581/artfynd/A 23627-2026 artfynd.xlsx", "A 23627-2026")</f>
        <v/>
      </c>
      <c r="X144">
        <f>HYPERLINK("https://klasma.github.io/Logging_0581/kartor/A 23627-2026 karta.png", "A 23627-2026")</f>
        <v/>
      </c>
      <c r="Y144">
        <f>HYPERLINK("https://klasma.github.io/Logging_0581/kartor_geotiff/A 23627-2026 georefererad karta.tif", "A 23627-2026")</f>
        <v/>
      </c>
      <c r="AA144">
        <f>HYPERLINK("https://klasma.github.io/Logging_0581/klagomål/A 23627-2026 FSC-klagomål.docx", "A 23627-2026")</f>
        <v/>
      </c>
      <c r="AB144">
        <f>HYPERLINK("https://klasma.github.io/Logging_0581/klagomålsmail/A 23627-2026 FSC-klagomål mail.docx", "A 23627-2026")</f>
        <v/>
      </c>
      <c r="AC144">
        <f>HYPERLINK("https://klasma.github.io/Logging_0581/tillsyn/A 23627-2026 tillsynsbegäran.docx", "A 23627-2026")</f>
        <v/>
      </c>
      <c r="AD144">
        <f>HYPERLINK("https://klasma.github.io/Logging_0581/tillsynsmail/A 23627-2026 tillsynsbegäran mail.docx", "A 23627-2026")</f>
        <v/>
      </c>
    </row>
    <row r="145" ht="15" customHeight="1">
      <c r="A145" t="inlineStr">
        <is>
          <t>A 8245-2023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46313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Svedjenäva</t>
        </is>
      </c>
      <c r="W145">
        <f>HYPERLINK("https://klasma.github.io/Logging_0581/artfynd/A 8245-2023 artfynd.xlsx", "A 8245-2023")</f>
        <v/>
      </c>
      <c r="X145">
        <f>HYPERLINK("https://klasma.github.io/Logging_0581/kartor/A 8245-2023 karta.png", "A 8245-2023")</f>
        <v/>
      </c>
      <c r="Y145">
        <f>HYPERLINK("https://klasma.github.io/Logging_0581/kartor_geotiff/A 8245-2023 georefererad karta.tif", "A 8245-2023")</f>
        <v/>
      </c>
      <c r="AA145">
        <f>HYPERLINK("https://klasma.github.io/Logging_0581/klagomål/A 8245-2023 FSC-klagomål.docx", "A 8245-2023")</f>
        <v/>
      </c>
      <c r="AB145">
        <f>HYPERLINK("https://klasma.github.io/Logging_0581/klagomålsmail/A 8245-2023 FSC-klagomål mail.docx", "A 8245-2023")</f>
        <v/>
      </c>
      <c r="AC145">
        <f>HYPERLINK("https://klasma.github.io/Logging_0581/tillsyn/A 8245-2023 tillsynsbegäran.docx", "A 8245-2023")</f>
        <v/>
      </c>
      <c r="AD145">
        <f>HYPERLINK("https://klasma.github.io/Logging_0581/tillsynsmail/A 8245-2023 tillsynsbegäran mail.docx", "A 8245-2023")</f>
        <v/>
      </c>
    </row>
    <row r="146" ht="15" customHeight="1">
      <c r="A146" t="inlineStr">
        <is>
          <t>A 57772-2022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46313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Fällmossa</t>
        </is>
      </c>
      <c r="W146">
        <f>HYPERLINK("https://klasma.github.io/Logging_0581/artfynd/A 57772-2022 artfynd.xlsx", "A 57772-2022")</f>
        <v/>
      </c>
      <c r="X146">
        <f>HYPERLINK("https://klasma.github.io/Logging_0581/kartor/A 57772-2022 karta.png", "A 57772-2022")</f>
        <v/>
      </c>
      <c r="Y146">
        <f>HYPERLINK("https://klasma.github.io/Logging_0581/kartor_geotiff/A 57772-2022 georefererad karta.tif", "A 57772-2022")</f>
        <v/>
      </c>
      <c r="AA146">
        <f>HYPERLINK("https://klasma.github.io/Logging_0581/klagomål/A 57772-2022 FSC-klagomål.docx", "A 57772-2022")</f>
        <v/>
      </c>
      <c r="AB146">
        <f>HYPERLINK("https://klasma.github.io/Logging_0581/klagomålsmail/A 57772-2022 FSC-klagomål mail.docx", "A 57772-2022")</f>
        <v/>
      </c>
      <c r="AC146">
        <f>HYPERLINK("https://klasma.github.io/Logging_0581/tillsyn/A 57772-2022 tillsynsbegäran.docx", "A 57772-2022")</f>
        <v/>
      </c>
      <c r="AD146">
        <f>HYPERLINK("https://klasma.github.io/Logging_0581/tillsynsmail/A 57772-2022 tillsynsbegäran mail.docx", "A 57772-2022")</f>
        <v/>
      </c>
    </row>
    <row r="147" ht="15" customHeight="1">
      <c r="A147" t="inlineStr">
        <is>
          <t>A 45953-2024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45580</v>
      </c>
      <c r="E147" s="1" t="n">
        <v>46313</v>
      </c>
      <c r="F147" t="inlineStr">
        <is>
          <t>ÖSTERGÖTLANDS LÄN</t>
        </is>
      </c>
      <c r="G147" t="inlineStr">
        <is>
          <t>NORRKÖPING</t>
        </is>
      </c>
      <c r="I147" t="n">
        <v>1.9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Ekoxe</t>
        </is>
      </c>
      <c r="W147">
        <f>HYPERLINK("https://klasma.github.io/Logging_0581/artfynd/A 45953-2024 artfynd.xlsx", "A 45953-2024")</f>
        <v/>
      </c>
      <c r="X147">
        <f>HYPERLINK("https://klasma.github.io/Logging_0581/kartor/A 45953-2024 karta.png", "A 45953-2024")</f>
        <v/>
      </c>
      <c r="Y147">
        <f>HYPERLINK("https://klasma.github.io/Logging_0581/kartor_geotiff/A 45953-2024 georefererad karta.tif", "A 45953-2024")</f>
        <v/>
      </c>
      <c r="AA147">
        <f>HYPERLINK("https://klasma.github.io/Logging_0581/klagomål/A 45953-2024 FSC-klagomål.docx", "A 45953-2024")</f>
        <v/>
      </c>
      <c r="AB147">
        <f>HYPERLINK("https://klasma.github.io/Logging_0581/klagomålsmail/A 45953-2024 FSC-klagomål mail.docx", "A 45953-2024")</f>
        <v/>
      </c>
      <c r="AC147">
        <f>HYPERLINK("https://klasma.github.io/Logging_0581/tillsyn/A 45953-2024 tillsynsbegäran.docx", "A 45953-2024")</f>
        <v/>
      </c>
      <c r="AD147">
        <f>HYPERLINK("https://klasma.github.io/Logging_0581/tillsynsmail/A 45953-2024 tillsynsbegäran mail.docx", "A 45953-2024")</f>
        <v/>
      </c>
    </row>
    <row r="148" ht="15" customHeight="1">
      <c r="A148" t="inlineStr">
        <is>
          <t>A 14044-2023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46313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Tjäder</t>
        </is>
      </c>
      <c r="W148">
        <f>HYPERLINK("https://klasma.github.io/Logging_0581/artfynd/A 14044-2023 artfynd.xlsx", "A 14044-2023")</f>
        <v/>
      </c>
      <c r="X148">
        <f>HYPERLINK("https://klasma.github.io/Logging_0581/kartor/A 14044-2023 karta.png", "A 14044-2023")</f>
        <v/>
      </c>
      <c r="Y148">
        <f>HYPERLINK("https://klasma.github.io/Logging_0581/kartor_geotiff/A 14044-2023 georefererad karta.tif", "A 14044-2023")</f>
        <v/>
      </c>
      <c r="AA148">
        <f>HYPERLINK("https://klasma.github.io/Logging_0581/klagomål/A 14044-2023 FSC-klagomål.docx", "A 14044-2023")</f>
        <v/>
      </c>
      <c r="AB148">
        <f>HYPERLINK("https://klasma.github.io/Logging_0581/klagomålsmail/A 14044-2023 FSC-klagomål mail.docx", "A 14044-2023")</f>
        <v/>
      </c>
      <c r="AC148">
        <f>HYPERLINK("https://klasma.github.io/Logging_0581/tillsyn/A 14044-2023 tillsynsbegäran.docx", "A 14044-2023")</f>
        <v/>
      </c>
      <c r="AD148">
        <f>HYPERLINK("https://klasma.github.io/Logging_0581/tillsynsmail/A 14044-2023 tillsynsbegäran mail.docx", "A 14044-2023")</f>
        <v/>
      </c>
      <c r="AE148">
        <f>HYPERLINK("https://klasma.github.io/Logging_0581/fåglar/A 14044-2023 prioriterade fågelarter.docx", "A 14044-2023")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46313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HYPERLINK("https://klasma.github.io/Logging_0581/artfynd/A 31659-2023 artfynd.xlsx", "A 31659-2023")</f>
        <v/>
      </c>
      <c r="X149">
        <f>HYPERLINK("https://klasma.github.io/Logging_0581/kartor/A 31659-2023 karta.png", "A 31659-2023")</f>
        <v/>
      </c>
      <c r="Y149">
        <f>HYPERLINK("https://klasma.github.io/Logging_0581/kartor_geotiff/A 31659-2023 georefererad karta.tif", "A 31659-2023")</f>
        <v/>
      </c>
      <c r="AA149">
        <f>HYPERLINK("https://klasma.github.io/Logging_0581/klagomål/A 31659-2023 FSC-klagomål.docx", "A 31659-2023")</f>
        <v/>
      </c>
      <c r="AB149">
        <f>HYPERLINK("https://klasma.github.io/Logging_0581/klagomålsmail/A 31659-2023 FSC-klagomål mail.docx", "A 31659-2023")</f>
        <v/>
      </c>
      <c r="AC149">
        <f>HYPERLINK("https://klasma.github.io/Logging_0581/tillsyn/A 31659-2023 tillsynsbegäran.docx", "A 31659-2023")</f>
        <v/>
      </c>
      <c r="AD149">
        <f>HYPERLINK("https://klasma.github.io/Logging_0581/tillsynsmail/A 31659-2023 tillsynsbegäran mail.docx", "A 31659-2023")</f>
        <v/>
      </c>
      <c r="AE149">
        <f>HYPERLINK("https://klasma.github.io/Logging_0581/fåglar/A 31659-2023 prioriterade fågelarter.docx", "A 31659-2023")</f>
        <v/>
      </c>
    </row>
    <row r="150" ht="15" customHeight="1">
      <c r="A150" t="inlineStr">
        <is>
          <t>A 25707-2026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46313</v>
      </c>
      <c r="F150" t="inlineStr">
        <is>
          <t>ÖSTERGÖTLANDS LÄN</t>
        </is>
      </c>
      <c r="G150" t="inlineStr">
        <is>
          <t>NORRKÖPING</t>
        </is>
      </c>
      <c r="I150" t="n">
        <v>0.5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Tallticka</t>
        </is>
      </c>
      <c r="W150">
        <f>HYPERLINK("https://klasma.github.io/Logging_0581/artfynd/A 25707-2026 artfynd.xlsx", "A 25707-2026")</f>
        <v/>
      </c>
      <c r="X150">
        <f>HYPERLINK("https://klasma.github.io/Logging_0581/kartor/A 25707-2026 karta.png", "A 25707-2026")</f>
        <v/>
      </c>
      <c r="Y150">
        <f>HYPERLINK("https://klasma.github.io/Logging_0581/kartor_geotiff/A 25707-2026 georefererad karta.tif", "A 25707-2026")</f>
        <v/>
      </c>
      <c r="AA150">
        <f>HYPERLINK("https://klasma.github.io/Logging_0581/klagomål/A 25707-2026 FSC-klagomål.docx", "A 25707-2026")</f>
        <v/>
      </c>
      <c r="AB150">
        <f>HYPERLINK("https://klasma.github.io/Logging_0581/klagomålsmail/A 25707-2026 FSC-klagomål mail.docx", "A 25707-2026")</f>
        <v/>
      </c>
      <c r="AC150">
        <f>HYPERLINK("https://klasma.github.io/Logging_0581/tillsyn/A 25707-2026 tillsynsbegäran.docx", "A 25707-2026")</f>
        <v/>
      </c>
      <c r="AD150">
        <f>HYPERLINK("https://klasma.github.io/Logging_0581/tillsynsmail/A 25707-2026 tillsynsbegäran mail.docx", "A 25707-2026")</f>
        <v/>
      </c>
    </row>
    <row r="151" ht="15" customHeight="1">
      <c r="A151" t="inlineStr">
        <is>
          <t>A 2832-2026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46313</v>
      </c>
      <c r="F151" t="inlineStr">
        <is>
          <t>ÖSTERGÖTLANDS LÄN</t>
        </is>
      </c>
      <c r="G151" t="inlineStr">
        <is>
          <t>NORRKÖPING</t>
        </is>
      </c>
      <c r="I151" t="n">
        <v>5.5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Grönpyrola</t>
        </is>
      </c>
      <c r="W151">
        <f>HYPERLINK("https://klasma.github.io/Logging_0581/artfynd/A 2832-2026 artfynd.xlsx", "A 2832-2026")</f>
        <v/>
      </c>
      <c r="X151">
        <f>HYPERLINK("https://klasma.github.io/Logging_0581/kartor/A 2832-2026 karta.png", "A 2832-2026")</f>
        <v/>
      </c>
      <c r="Y151">
        <f>HYPERLINK("https://klasma.github.io/Logging_0581/kartor_geotiff/A 2832-2026 georefererad karta.tif", "A 2832-2026")</f>
        <v/>
      </c>
      <c r="AA151">
        <f>HYPERLINK("https://klasma.github.io/Logging_0581/klagomål/A 2832-2026 FSC-klagomål.docx", "A 2832-2026")</f>
        <v/>
      </c>
      <c r="AB151">
        <f>HYPERLINK("https://klasma.github.io/Logging_0581/klagomålsmail/A 2832-2026 FSC-klagomål mail.docx", "A 2832-2026")</f>
        <v/>
      </c>
      <c r="AC151">
        <f>HYPERLINK("https://klasma.github.io/Logging_0581/tillsyn/A 2832-2026 tillsynsbegäran.docx", "A 2832-2026")</f>
        <v/>
      </c>
      <c r="AD151">
        <f>HYPERLINK("https://klasma.github.io/Logging_0581/tillsynsmail/A 2832-2026 tillsynsbegäran mail.docx", "A 2832-2026")</f>
        <v/>
      </c>
    </row>
    <row r="152" ht="15" customHeight="1">
      <c r="A152" t="inlineStr">
        <is>
          <t>A 14329-2022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44652</v>
      </c>
      <c r="E152" s="1" t="n">
        <v>46313</v>
      </c>
      <c r="F152" t="inlineStr">
        <is>
          <t>ÖSTERGÖTLANDS LÄN</t>
        </is>
      </c>
      <c r="G152" t="inlineStr">
        <is>
          <t>NORRKÖPING</t>
        </is>
      </c>
      <c r="I152" t="n">
        <v>2.7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skogslilja</t>
        </is>
      </c>
      <c r="W152">
        <f>HYPERLINK("https://klasma.github.io/Logging_0581/artfynd/A 14329-2022 artfynd.xlsx", "A 14329-2022")</f>
        <v/>
      </c>
      <c r="X152">
        <f>HYPERLINK("https://klasma.github.io/Logging_0581/kartor/A 14329-2022 karta.png", "A 14329-2022")</f>
        <v/>
      </c>
      <c r="Y152">
        <f>HYPERLINK("https://klasma.github.io/Logging_0581/kartor_geotiff/A 14329-2022 georefererad karta.tif", "A 14329-2022")</f>
        <v/>
      </c>
      <c r="AA152">
        <f>HYPERLINK("https://klasma.github.io/Logging_0581/klagomål/A 14329-2022 FSC-klagomål.docx", "A 14329-2022")</f>
        <v/>
      </c>
      <c r="AB152">
        <f>HYPERLINK("https://klasma.github.io/Logging_0581/klagomålsmail/A 14329-2022 FSC-klagomål mail.docx", "A 14329-2022")</f>
        <v/>
      </c>
      <c r="AC152">
        <f>HYPERLINK("https://klasma.github.io/Logging_0581/tillsyn/A 14329-2022 tillsynsbegäran.docx", "A 14329-2022")</f>
        <v/>
      </c>
      <c r="AD152">
        <f>HYPERLINK("https://klasma.github.io/Logging_0581/tillsynsmail/A 14329-2022 tillsynsbegäran mail.docx", "A 14329-2022")</f>
        <v/>
      </c>
    </row>
    <row r="153" ht="15" customHeight="1">
      <c r="A153" t="inlineStr">
        <is>
          <t>A 6347-2026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46313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Kommuner</t>
        </is>
      </c>
      <c r="I153" t="n">
        <v>1.8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Blanksvart trämyra</t>
        </is>
      </c>
      <c r="W153">
        <f>HYPERLINK("https://klasma.github.io/Logging_0581/artfynd/A 6347-2026 artfynd.xlsx", "A 6347-2026")</f>
        <v/>
      </c>
      <c r="X153">
        <f>HYPERLINK("https://klasma.github.io/Logging_0581/kartor/A 6347-2026 karta.png", "A 6347-2026")</f>
        <v/>
      </c>
      <c r="Y153">
        <f>HYPERLINK("https://klasma.github.io/Logging_0581/kartor_geotiff/A 6347-2026 georefererad karta.tif", "A 6347-2026")</f>
        <v/>
      </c>
      <c r="AA153">
        <f>HYPERLINK("https://klasma.github.io/Logging_0581/klagomål/A 6347-2026 FSC-klagomål.docx", "A 6347-2026")</f>
        <v/>
      </c>
      <c r="AB153">
        <f>HYPERLINK("https://klasma.github.io/Logging_0581/klagomålsmail/A 6347-2026 FSC-klagomål mail.docx", "A 6347-2026")</f>
        <v/>
      </c>
      <c r="AC153">
        <f>HYPERLINK("https://klasma.github.io/Logging_0581/tillsyn/A 6347-2026 tillsynsbegäran.docx", "A 6347-2026")</f>
        <v/>
      </c>
      <c r="AD153">
        <f>HYPERLINK("https://klasma.github.io/Logging_0581/tillsynsmail/A 6347-2026 tillsynsbegäran mail.docx", "A 6347-2026")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46313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Vedskivlav</t>
        </is>
      </c>
      <c r="W154">
        <f>HYPERLINK("https://klasma.github.io/Logging_0581/artfynd/A 46957-2023 artfynd.xlsx", "A 46957-2023")</f>
        <v/>
      </c>
      <c r="X154">
        <f>HYPERLINK("https://klasma.github.io/Logging_0581/kartor/A 46957-2023 karta.png", "A 46957-2023")</f>
        <v/>
      </c>
      <c r="Y154">
        <f>HYPERLINK("https://klasma.github.io/Logging_0581/kartor_geotiff/A 46957-2023 georefererad karta.tif", "A 46957-2023")</f>
        <v/>
      </c>
      <c r="AA154">
        <f>HYPERLINK("https://klasma.github.io/Logging_0581/klagomål/A 46957-2023 FSC-klagomål.docx", "A 46957-2023")</f>
        <v/>
      </c>
      <c r="AB154">
        <f>HYPERLINK("https://klasma.github.io/Logging_0581/klagomålsmail/A 46957-2023 FSC-klagomål mail.docx", "A 46957-2023")</f>
        <v/>
      </c>
      <c r="AC154">
        <f>HYPERLINK("https://klasma.github.io/Logging_0581/tillsyn/A 46957-2023 tillsynsbegäran.docx", "A 46957-2023")</f>
        <v/>
      </c>
      <c r="AD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11126-2026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46079</v>
      </c>
      <c r="E155" s="1" t="n">
        <v>46313</v>
      </c>
      <c r="F155" t="inlineStr">
        <is>
          <t>ÖSTERGÖTLANDS LÄN</t>
        </is>
      </c>
      <c r="G155" t="inlineStr">
        <is>
          <t>NORRKÖPING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Svinrot</t>
        </is>
      </c>
      <c r="W155">
        <f>HYPERLINK("https://klasma.github.io/Logging_0581/artfynd/A 11126-2026 artfynd.xlsx", "A 11126-2026")</f>
        <v/>
      </c>
      <c r="X155">
        <f>HYPERLINK("https://klasma.github.io/Logging_0581/kartor/A 11126-2026 karta.png", "A 11126-2026")</f>
        <v/>
      </c>
      <c r="Y155">
        <f>HYPERLINK("https://klasma.github.io/Logging_0581/kartor_geotiff/A 11126-2026 georefererad karta.tif", "A 11126-2026")</f>
        <v/>
      </c>
      <c r="AA155">
        <f>HYPERLINK("https://klasma.github.io/Logging_0581/klagomål/A 11126-2026 FSC-klagomål.docx", "A 11126-2026")</f>
        <v/>
      </c>
      <c r="AB155">
        <f>HYPERLINK("https://klasma.github.io/Logging_0581/klagomålsmail/A 11126-2026 FSC-klagomål mail.docx", "A 11126-2026")</f>
        <v/>
      </c>
      <c r="AC155">
        <f>HYPERLINK("https://klasma.github.io/Logging_0581/tillsyn/A 11126-2026 tillsynsbegäran.docx", "A 11126-2026")</f>
        <v/>
      </c>
      <c r="AD155">
        <f>HYPERLINK("https://klasma.github.io/Logging_0581/tillsynsmail/A 11126-2026 tillsynsbegäran mail.docx", "A 11126-2026")</f>
        <v/>
      </c>
    </row>
    <row r="156" ht="15" customHeight="1">
      <c r="A156" t="inlineStr">
        <is>
          <t>A 11714-2026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46313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2.9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Gulsparv</t>
        </is>
      </c>
      <c r="W156">
        <f>HYPERLINK("https://klasma.github.io/Logging_0581/artfynd/A 11714-2026 artfynd.xlsx", "A 11714-2026")</f>
        <v/>
      </c>
      <c r="X156">
        <f>HYPERLINK("https://klasma.github.io/Logging_0581/kartor/A 11714-2026 karta.png", "A 11714-2026")</f>
        <v/>
      </c>
      <c r="Y156">
        <f>HYPERLINK("https://klasma.github.io/Logging_0581/kartor_geotiff/A 11714-2026 georefererad karta.tif", "A 11714-2026")</f>
        <v/>
      </c>
      <c r="AA156">
        <f>HYPERLINK("https://klasma.github.io/Logging_0581/klagomål/A 11714-2026 FSC-klagomål.docx", "A 11714-2026")</f>
        <v/>
      </c>
      <c r="AB156">
        <f>HYPERLINK("https://klasma.github.io/Logging_0581/klagomålsmail/A 11714-2026 FSC-klagomål mail.docx", "A 11714-2026")</f>
        <v/>
      </c>
      <c r="AC156">
        <f>HYPERLINK("https://klasma.github.io/Logging_0581/tillsyn/A 11714-2026 tillsynsbegäran.docx", "A 11714-2026")</f>
        <v/>
      </c>
      <c r="AD156">
        <f>HYPERLINK("https://klasma.github.io/Logging_0581/tillsynsmail/A 11714-2026 tillsynsbegäran mail.docx", "A 11714-2026")</f>
        <v/>
      </c>
      <c r="AE156">
        <f>HYPERLINK("https://klasma.github.io/Logging_0581/fåglar/A 11714-2026 prioriterade fågelarter.docx", "A 11714-2026")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46313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31582-2023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46313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HYPERLINK("https://klasma.github.io/Logging_0581/artfynd/A 31582-2023 artfynd.xlsx", "A 31582-2023")</f>
        <v/>
      </c>
      <c r="X158">
        <f>HYPERLINK("https://klasma.github.io/Logging_0581/kartor/A 31582-2023 karta.png", "A 31582-2023")</f>
        <v/>
      </c>
      <c r="Y158">
        <f>HYPERLINK("https://klasma.github.io/Logging_0581/kartor_geotiff/A 31582-2023 georefererad karta.tif", "A 31582-2023")</f>
        <v/>
      </c>
      <c r="AA158">
        <f>HYPERLINK("https://klasma.github.io/Logging_0581/klagomål/A 31582-2023 FSC-klagomål.docx", "A 31582-2023")</f>
        <v/>
      </c>
      <c r="AB158">
        <f>HYPERLINK("https://klasma.github.io/Logging_0581/klagomålsmail/A 31582-2023 FSC-klagomål mail.docx", "A 31582-2023")</f>
        <v/>
      </c>
      <c r="AC158">
        <f>HYPERLINK("https://klasma.github.io/Logging_0581/tillsyn/A 31582-2023 tillsynsbegäran.docx", "A 31582-2023")</f>
        <v/>
      </c>
      <c r="AD158">
        <f>HYPERLINK("https://klasma.github.io/Logging_0581/tillsynsmail/A 31582-2023 tillsynsbegäran mail.docx", "A 31582-2023")</f>
        <v/>
      </c>
      <c r="AE158">
        <f>HYPERLINK("https://klasma.github.io/Logging_0581/fåglar/A 31582-2023 prioriterade fågelarter.docx", "A 31582-2023")</f>
        <v/>
      </c>
    </row>
    <row r="159" ht="15" customHeight="1">
      <c r="A159" t="inlineStr">
        <is>
          <t>A 29202-2026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46313</v>
      </c>
      <c r="F159" t="inlineStr">
        <is>
          <t>ÖSTERGÖTLANDS LÄN</t>
        </is>
      </c>
      <c r="G159" t="inlineStr">
        <is>
          <t>NORRKÖPING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Tibast</t>
        </is>
      </c>
      <c r="W159">
        <f>HYPERLINK("https://klasma.github.io/Logging_0581/artfynd/A 29202-2026 artfynd.xlsx", "A 29202-2026")</f>
        <v/>
      </c>
      <c r="X159">
        <f>HYPERLINK("https://klasma.github.io/Logging_0581/kartor/A 29202-2026 karta.png", "A 29202-2026")</f>
        <v/>
      </c>
      <c r="Y159">
        <f>HYPERLINK("https://klasma.github.io/Logging_0581/kartor_geotiff/A 29202-2026 georefererad karta.tif", "A 29202-2026")</f>
        <v/>
      </c>
      <c r="AA159">
        <f>HYPERLINK("https://klasma.github.io/Logging_0581/klagomål/A 29202-2026 FSC-klagomål.docx", "A 29202-2026")</f>
        <v/>
      </c>
      <c r="AB159">
        <f>HYPERLINK("https://klasma.github.io/Logging_0581/klagomålsmail/A 29202-2026 FSC-klagomål mail.docx", "A 29202-2026")</f>
        <v/>
      </c>
      <c r="AC159">
        <f>HYPERLINK("https://klasma.github.io/Logging_0581/tillsyn/A 29202-2026 tillsynsbegäran.docx", "A 29202-2026")</f>
        <v/>
      </c>
      <c r="AD159">
        <f>HYPERLINK("https://klasma.github.io/Logging_0581/tillsynsmail/A 29202-2026 tillsynsbegäran mail.docx", "A 29202-2026")</f>
        <v/>
      </c>
    </row>
    <row r="160" ht="15" customHeight="1">
      <c r="A160" t="inlineStr">
        <is>
          <t>A 31231-2026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46313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4.2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HYPERLINK("https://klasma.github.io/Logging_0581/artfynd/A 31231-2026 artfynd.xlsx", "A 31231-2026")</f>
        <v/>
      </c>
      <c r="X160">
        <f>HYPERLINK("https://klasma.github.io/Logging_0581/kartor/A 31231-2026 karta.png", "A 31231-2026")</f>
        <v/>
      </c>
      <c r="Y160">
        <f>HYPERLINK("https://klasma.github.io/Logging_0581/kartor_geotiff/A 31231-2026 georefererad karta.tif", "A 31231-2026")</f>
        <v/>
      </c>
      <c r="AA160">
        <f>HYPERLINK("https://klasma.github.io/Logging_0581/klagomål/A 31231-2026 FSC-klagomål.docx", "A 31231-2026")</f>
        <v/>
      </c>
      <c r="AB160">
        <f>HYPERLINK("https://klasma.github.io/Logging_0581/klagomålsmail/A 31231-2026 FSC-klagomål mail.docx", "A 31231-2026")</f>
        <v/>
      </c>
      <c r="AC160">
        <f>HYPERLINK("https://klasma.github.io/Logging_0581/tillsyn/A 31231-2026 tillsynsbegäran.docx", "A 31231-2026")</f>
        <v/>
      </c>
      <c r="AD160">
        <f>HYPERLINK("https://klasma.github.io/Logging_0581/tillsynsmail/A 31231-2026 tillsynsbegäran mail.docx", "A 31231-2026")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46313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31325-2026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46219</v>
      </c>
      <c r="E162" s="1" t="n">
        <v>46313</v>
      </c>
      <c r="F162" t="inlineStr">
        <is>
          <t>ÖSTERGÖTLANDS LÄN</t>
        </is>
      </c>
      <c r="G162" t="inlineStr">
        <is>
          <t>NORRKÖPING</t>
        </is>
      </c>
      <c r="I162" t="n">
        <v>11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Bergsslok</t>
        </is>
      </c>
      <c r="W162">
        <f>HYPERLINK("https://klasma.github.io/Logging_0581/artfynd/A 31325-2026 artfynd.xlsx", "A 31325-2026")</f>
        <v/>
      </c>
      <c r="X162">
        <f>HYPERLINK("https://klasma.github.io/Logging_0581/kartor/A 31325-2026 karta.png", "A 31325-2026")</f>
        <v/>
      </c>
      <c r="Y162">
        <f>HYPERLINK("https://klasma.github.io/Logging_0581/kartor_geotiff/A 31325-2026 georefererad karta.tif", "A 31325-2026")</f>
        <v/>
      </c>
      <c r="AA162">
        <f>HYPERLINK("https://klasma.github.io/Logging_0581/klagomål/A 31325-2026 FSC-klagomål.docx", "A 31325-2026")</f>
        <v/>
      </c>
      <c r="AB162">
        <f>HYPERLINK("https://klasma.github.io/Logging_0581/klagomålsmail/A 31325-2026 FSC-klagomål mail.docx", "A 31325-2026")</f>
        <v/>
      </c>
      <c r="AC162">
        <f>HYPERLINK("https://klasma.github.io/Logging_0581/tillsyn/A 31325-2026 tillsynsbegäran.docx", "A 31325-2026")</f>
        <v/>
      </c>
      <c r="AD162">
        <f>HYPERLINK("https://klasma.github.io/Logging_0581/tillsynsmail/A 31325-2026 tillsynsbegäran mail.docx", "A 31325-2026")</f>
        <v/>
      </c>
    </row>
    <row r="163" ht="15" customHeight="1">
      <c r="A163" t="inlineStr">
        <is>
          <t>A 31660-2026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46225</v>
      </c>
      <c r="E163" s="1" t="n">
        <v>46313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Allmännings- och besparingsskogar</t>
        </is>
      </c>
      <c r="I163" t="n">
        <v>8.199999999999999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Ängsskära</t>
        </is>
      </c>
      <c r="W163">
        <f>HYPERLINK("https://klasma.github.io/Logging_0581/artfynd/A 31660-2026 artfynd.xlsx", "A 31660-2026")</f>
        <v/>
      </c>
      <c r="X163">
        <f>HYPERLINK("https://klasma.github.io/Logging_0581/kartor/A 31660-2026 karta.png", "A 31660-2026")</f>
        <v/>
      </c>
      <c r="Y163">
        <f>HYPERLINK("https://klasma.github.io/Logging_0581/kartor_geotiff/A 31660-2026 georefererad karta.tif", "A 31660-2026")</f>
        <v/>
      </c>
      <c r="AA163">
        <f>HYPERLINK("https://klasma.github.io/Logging_0581/klagomål/A 31660-2026 FSC-klagomål.docx", "A 31660-2026")</f>
        <v/>
      </c>
      <c r="AB163">
        <f>HYPERLINK("https://klasma.github.io/Logging_0581/klagomålsmail/A 31660-2026 FSC-klagomål mail.docx", "A 31660-2026")</f>
        <v/>
      </c>
      <c r="AC163">
        <f>HYPERLINK("https://klasma.github.io/Logging_0581/tillsyn/A 31660-2026 tillsynsbegäran.docx", "A 31660-2026")</f>
        <v/>
      </c>
      <c r="AD163">
        <f>HYPERLINK("https://klasma.github.io/Logging_0581/tillsynsmail/A 31660-2026 tillsynsbegäran mail.docx", "A 31660-2026")</f>
        <v/>
      </c>
    </row>
    <row r="164" ht="15" customHeight="1">
      <c r="A164" t="inlineStr">
        <is>
          <t>A 16610-2024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46313</v>
      </c>
      <c r="F164" t="inlineStr">
        <is>
          <t>ÖSTERGÖTLANDS LÄN</t>
        </is>
      </c>
      <c r="G164" t="inlineStr">
        <is>
          <t>NORRKÖPING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Knärot</t>
        </is>
      </c>
      <c r="W164">
        <f>HYPERLINK("https://klasma.github.io/Logging_0581/artfynd/A 16610-2024 artfynd.xlsx", "A 16610-2024")</f>
        <v/>
      </c>
      <c r="X164">
        <f>HYPERLINK("https://klasma.github.io/Logging_0581/kartor/A 16610-2024 karta.png", "A 16610-2024")</f>
        <v/>
      </c>
      <c r="Y164">
        <f>HYPERLINK("https://klasma.github.io/Logging_0581/kartor_geotiff/A 16610-2024 georefererad karta.tif", "A 16610-2024")</f>
        <v/>
      </c>
      <c r="Z164">
        <f>HYPERLINK("https://klasma.github.io/Logging_0581/knärot/A 16610-2024 karta knärot.png", "A 16610-2024")</f>
        <v/>
      </c>
      <c r="AA164">
        <f>HYPERLINK("https://klasma.github.io/Logging_0581/klagomål/A 16610-2024 FSC-klagomål.docx", "A 16610-2024")</f>
        <v/>
      </c>
      <c r="AB164">
        <f>HYPERLINK("https://klasma.github.io/Logging_0581/klagomålsmail/A 16610-2024 FSC-klagomål mail.docx", "A 16610-2024")</f>
        <v/>
      </c>
      <c r="AC164">
        <f>HYPERLINK("https://klasma.github.io/Logging_0581/tillsyn/A 16610-2024 tillsynsbegäran.docx", "A 16610-2024")</f>
        <v/>
      </c>
      <c r="AD164">
        <f>HYPERLINK("https://klasma.github.io/Logging_0581/tillsynsmail/A 16610-2024 tillsynsbegäran mail.docx", "A 16610-2024")</f>
        <v/>
      </c>
    </row>
    <row r="165" ht="15" customHeight="1">
      <c r="A165" t="inlineStr">
        <is>
          <t>A 18636-2023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45043</v>
      </c>
      <c r="E165" s="1" t="n">
        <v>46313</v>
      </c>
      <c r="F165" t="inlineStr">
        <is>
          <t>ÖSTERGÖTLANDS LÄN</t>
        </is>
      </c>
      <c r="G165" t="inlineStr">
        <is>
          <t>NORRKÖPING</t>
        </is>
      </c>
      <c r="I165" t="n">
        <v>5.7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Spillkråka</t>
        </is>
      </c>
      <c r="W165">
        <f>HYPERLINK("https://klasma.github.io/Logging_0581/artfynd/A 18636-2023 artfynd.xlsx", "A 18636-2023")</f>
        <v/>
      </c>
      <c r="X165">
        <f>HYPERLINK("https://klasma.github.io/Logging_0581/kartor/A 18636-2023 karta.png", "A 18636-2023")</f>
        <v/>
      </c>
      <c r="Y165">
        <f>HYPERLINK("https://klasma.github.io/Logging_0581/kartor_geotiff/A 18636-2023 georefererad karta.tif", "A 18636-2023")</f>
        <v/>
      </c>
      <c r="AA165">
        <f>HYPERLINK("https://klasma.github.io/Logging_0581/klagomål/A 18636-2023 FSC-klagomål.docx", "A 18636-2023")</f>
        <v/>
      </c>
      <c r="AB165">
        <f>HYPERLINK("https://klasma.github.io/Logging_0581/klagomålsmail/A 18636-2023 FSC-klagomål mail.docx", "A 18636-2023")</f>
        <v/>
      </c>
      <c r="AC165">
        <f>HYPERLINK("https://klasma.github.io/Logging_0581/tillsyn/A 18636-2023 tillsynsbegäran.docx", "A 18636-2023")</f>
        <v/>
      </c>
      <c r="AD165">
        <f>HYPERLINK("https://klasma.github.io/Logging_0581/tillsynsmail/A 18636-2023 tillsynsbegäran mail.docx", "A 18636-2023")</f>
        <v/>
      </c>
      <c r="AE165">
        <f>HYPERLINK("https://klasma.github.io/Logging_0581/fåglar/A 18636-2023 prioriterade fågelarter.docx", "A 18636-2023")</f>
        <v/>
      </c>
    </row>
    <row r="166" ht="15" customHeight="1">
      <c r="A166" t="inlineStr">
        <is>
          <t>A 31892-2026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46313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HYPERLINK("https://klasma.github.io/Logging_0581/artfynd/A 31892-2026 artfynd.xlsx", "A 31892-2026")</f>
        <v/>
      </c>
      <c r="X166">
        <f>HYPERLINK("https://klasma.github.io/Logging_0581/kartor/A 31892-2026 karta.png", "A 31892-2026")</f>
        <v/>
      </c>
      <c r="Y166">
        <f>HYPERLINK("https://klasma.github.io/Logging_0581/kartor_geotiff/A 31892-2026 georefererad karta.tif", "A 31892-2026")</f>
        <v/>
      </c>
      <c r="AA166">
        <f>HYPERLINK("https://klasma.github.io/Logging_0581/klagomål/A 31892-2026 FSC-klagomål.docx", "A 31892-2026")</f>
        <v/>
      </c>
      <c r="AB166">
        <f>HYPERLINK("https://klasma.github.io/Logging_0581/klagomålsmail/A 31892-2026 FSC-klagomål mail.docx", "A 31892-2026")</f>
        <v/>
      </c>
      <c r="AC166">
        <f>HYPERLINK("https://klasma.github.io/Logging_0581/tillsyn/A 31892-2026 tillsynsbegäran.docx", "A 31892-2026")</f>
        <v/>
      </c>
      <c r="AD166">
        <f>HYPERLINK("https://klasma.github.io/Logging_0581/tillsynsmail/A 31892-2026 tillsynsbegäran mail.docx", "A 31892-2026")</f>
        <v/>
      </c>
    </row>
    <row r="167" ht="15" customHeight="1">
      <c r="A167" t="inlineStr">
        <is>
          <t>A 32075-2026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46233</v>
      </c>
      <c r="E167" s="1" t="n">
        <v>46313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1.3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2</v>
      </c>
      <c r="U167" t="n">
        <v>2</v>
      </c>
      <c r="V167" s="2" t="inlineStr">
        <is>
          <t>Grönpyrola</t>
        </is>
      </c>
      <c r="W167">
        <f>HYPERLINK("https://klasma.github.io/Logging_0581/artfynd/A 32075-2026 artfynd.xlsx", "A 32075-2026")</f>
        <v/>
      </c>
      <c r="X167">
        <f>HYPERLINK("https://klasma.github.io/Logging_0581/kartor/A 32075-2026 karta.png", "A 32075-2026")</f>
        <v/>
      </c>
      <c r="Y167">
        <f>HYPERLINK("https://klasma.github.io/Logging_0581/kartor_geotiff/A 32075-2026 georefererad karta.tif", "A 32075-2026")</f>
        <v/>
      </c>
      <c r="AA167">
        <f>HYPERLINK("https://klasma.github.io/Logging_0581/klagomål/A 32075-2026 FSC-klagomål.docx", "A 32075-2026")</f>
        <v/>
      </c>
      <c r="AB167">
        <f>HYPERLINK("https://klasma.github.io/Logging_0581/klagomålsmail/A 32075-2026 FSC-klagomål mail.docx", "A 32075-2026")</f>
        <v/>
      </c>
      <c r="AC167">
        <f>HYPERLINK("https://klasma.github.io/Logging_0581/tillsyn/A 32075-2026 tillsynsbegäran.docx", "A 32075-2026")</f>
        <v/>
      </c>
      <c r="AD167">
        <f>HYPERLINK("https://klasma.github.io/Logging_0581/tillsynsmail/A 32075-2026 tillsynsbegäran mail.docx", "A 32075-2026")</f>
        <v/>
      </c>
    </row>
    <row r="168" ht="15" customHeight="1">
      <c r="A168" t="inlineStr">
        <is>
          <t>A 32070-2026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46233</v>
      </c>
      <c r="E168" s="1" t="n">
        <v>46313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2.2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Grönpyrola</t>
        </is>
      </c>
      <c r="W168">
        <f>HYPERLINK("https://klasma.github.io/Logging_0581/artfynd/A 32070-2026 artfynd.xlsx", "A 32070-2026")</f>
        <v/>
      </c>
      <c r="X168">
        <f>HYPERLINK("https://klasma.github.io/Logging_0581/kartor/A 32070-2026 karta.png", "A 32070-2026")</f>
        <v/>
      </c>
      <c r="Y168">
        <f>HYPERLINK("https://klasma.github.io/Logging_0581/kartor_geotiff/A 32070-2026 georefererad karta.tif", "A 32070-2026")</f>
        <v/>
      </c>
      <c r="AA168">
        <f>HYPERLINK("https://klasma.github.io/Logging_0581/klagomål/A 32070-2026 FSC-klagomål.docx", "A 32070-2026")</f>
        <v/>
      </c>
      <c r="AB168">
        <f>HYPERLINK("https://klasma.github.io/Logging_0581/klagomålsmail/A 32070-2026 FSC-klagomål mail.docx", "A 32070-2026")</f>
        <v/>
      </c>
      <c r="AC168">
        <f>HYPERLINK("https://klasma.github.io/Logging_0581/tillsyn/A 32070-2026 tillsynsbegäran.docx", "A 32070-2026")</f>
        <v/>
      </c>
      <c r="AD168">
        <f>HYPERLINK("https://klasma.github.io/Logging_0581/tillsynsmail/A 32070-2026 tillsynsbegäran mail.docx", "A 32070-2026")</f>
        <v/>
      </c>
    </row>
    <row r="169" ht="15" customHeight="1">
      <c r="A169" t="inlineStr">
        <is>
          <t>A 12145-2024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45376</v>
      </c>
      <c r="E169" s="1" t="n">
        <v>46313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10.4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Gullgröppa</t>
        </is>
      </c>
      <c r="W169">
        <f>HYPERLINK("https://klasma.github.io/Logging_0581/artfynd/A 12145-2024 artfynd.xlsx", "A 12145-2024")</f>
        <v/>
      </c>
      <c r="X169">
        <f>HYPERLINK("https://klasma.github.io/Logging_0581/kartor/A 12145-2024 karta.png", "A 12145-2024")</f>
        <v/>
      </c>
      <c r="Y169">
        <f>HYPERLINK("https://klasma.github.io/Logging_0581/kartor_geotiff/A 12145-2024 georefererad karta.tif", "A 12145-2024")</f>
        <v/>
      </c>
      <c r="AA169">
        <f>HYPERLINK("https://klasma.github.io/Logging_0581/klagomål/A 12145-2024 FSC-klagomål.docx", "A 12145-2024")</f>
        <v/>
      </c>
      <c r="AB169">
        <f>HYPERLINK("https://klasma.github.io/Logging_0581/klagomålsmail/A 12145-2024 FSC-klagomål mail.docx", "A 12145-2024")</f>
        <v/>
      </c>
      <c r="AC169">
        <f>HYPERLINK("https://klasma.github.io/Logging_0581/tillsyn/A 12145-2024 tillsynsbegäran.docx", "A 12145-2024")</f>
        <v/>
      </c>
      <c r="AD169">
        <f>HYPERLINK("https://klasma.github.io/Logging_0581/tillsynsmail/A 12145-2024 tillsynsbegäran mail.docx", "A 12145-2024")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46313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39427-2026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46288</v>
      </c>
      <c r="E171" s="1" t="n">
        <v>46313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9.800000000000001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Sångsvan</t>
        </is>
      </c>
      <c r="W171">
        <f>HYPERLINK("https://klasma.github.io/Logging_0581/artfynd/A 39427-2026 artfynd.xlsx", "A 39427-2026")</f>
        <v/>
      </c>
      <c r="X171">
        <f>HYPERLINK("https://klasma.github.io/Logging_0581/kartor/A 39427-2026 karta.png", "A 39427-2026")</f>
        <v/>
      </c>
      <c r="Y171">
        <f>HYPERLINK("https://klasma.github.io/Logging_0581/kartor_geotiff/A 39427-2026 georefererad karta.tif", "A 39427-2026")</f>
        <v/>
      </c>
      <c r="AA171">
        <f>HYPERLINK("https://klasma.github.io/Logging_0581/klagomål/A 39427-2026 FSC-klagomål.docx", "A 39427-2026")</f>
        <v/>
      </c>
      <c r="AB171">
        <f>HYPERLINK("https://klasma.github.io/Logging_0581/klagomålsmail/A 39427-2026 FSC-klagomål mail.docx", "A 39427-2026")</f>
        <v/>
      </c>
      <c r="AC171">
        <f>HYPERLINK("https://klasma.github.io/Logging_0581/tillsyn/A 39427-2026 tillsynsbegäran.docx", "A 39427-2026")</f>
        <v/>
      </c>
      <c r="AD171">
        <f>HYPERLINK("https://klasma.github.io/Logging_0581/tillsynsmail/A 39427-2026 tillsynsbegäran mail.docx", "A 39427-2026")</f>
        <v/>
      </c>
      <c r="AE171">
        <f>HYPERLINK("https://klasma.github.io/Logging_0581/fåglar/A 39427-2026 prioriterade fågelarter.docx", "A 39427-2026")</f>
        <v/>
      </c>
    </row>
    <row r="172" ht="15" customHeight="1">
      <c r="A172" t="inlineStr">
        <is>
          <t>A 15870-2024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46313</v>
      </c>
      <c r="F172" t="inlineStr">
        <is>
          <t>ÖSTERGÖTLANDS LÄN</t>
        </is>
      </c>
      <c r="G172" t="inlineStr">
        <is>
          <t>NORRKÖPING</t>
        </is>
      </c>
      <c r="I172" t="n">
        <v>1.3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Mörk dunört</t>
        </is>
      </c>
      <c r="W172">
        <f>HYPERLINK("https://klasma.github.io/Logging_0581/artfynd/A 15870-2024 artfynd.xlsx", "A 15870-2024")</f>
        <v/>
      </c>
      <c r="X172">
        <f>HYPERLINK("https://klasma.github.io/Logging_0581/kartor/A 15870-2024 karta.png", "A 15870-2024")</f>
        <v/>
      </c>
      <c r="Y172">
        <f>HYPERLINK("https://klasma.github.io/Logging_0581/kartor_geotiff/A 15870-2024 georefererad karta.tif", "A 15870-2024")</f>
        <v/>
      </c>
      <c r="AA172">
        <f>HYPERLINK("https://klasma.github.io/Logging_0581/klagomål/A 15870-2024 FSC-klagomål.docx", "A 15870-2024")</f>
        <v/>
      </c>
      <c r="AB172">
        <f>HYPERLINK("https://klasma.github.io/Logging_0581/klagomålsmail/A 15870-2024 FSC-klagomål mail.docx", "A 15870-2024")</f>
        <v/>
      </c>
      <c r="AC172">
        <f>HYPERLINK("https://klasma.github.io/Logging_0581/tillsyn/A 15870-2024 tillsynsbegäran.docx", "A 15870-2024")</f>
        <v/>
      </c>
      <c r="AD172">
        <f>HYPERLINK("https://klasma.github.io/Logging_0581/tillsynsmail/A 15870-2024 tillsynsbegäran mail.docx", "A 15870-2024")</f>
        <v/>
      </c>
    </row>
    <row r="173" ht="15" customHeight="1">
      <c r="A173" t="inlineStr">
        <is>
          <t>A 46201-2025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46313</v>
      </c>
      <c r="F173" t="inlineStr">
        <is>
          <t>ÖSTERGÖTLANDS LÄN</t>
        </is>
      </c>
      <c r="G173" t="inlineStr">
        <is>
          <t>NORRKÖPING</t>
        </is>
      </c>
      <c r="I173" t="n">
        <v>1.5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Hasselticka</t>
        </is>
      </c>
      <c r="W173">
        <f>HYPERLINK("https://klasma.github.io/Logging_0581/artfynd/A 46201-2025 artfynd.xlsx", "A 46201-2025")</f>
        <v/>
      </c>
      <c r="X173">
        <f>HYPERLINK("https://klasma.github.io/Logging_0581/kartor/A 46201-2025 karta.png", "A 46201-2025")</f>
        <v/>
      </c>
      <c r="Y173">
        <f>HYPERLINK("https://klasma.github.io/Logging_0581/kartor_geotiff/A 46201-2025 georefererad karta.tif", "A 46201-2025")</f>
        <v/>
      </c>
      <c r="AA173">
        <f>HYPERLINK("https://klasma.github.io/Logging_0581/klagomål/A 46201-2025 FSC-klagomål.docx", "A 46201-2025")</f>
        <v/>
      </c>
      <c r="AB173">
        <f>HYPERLINK("https://klasma.github.io/Logging_0581/klagomålsmail/A 46201-2025 FSC-klagomål mail.docx", "A 46201-2025")</f>
        <v/>
      </c>
      <c r="AC173">
        <f>HYPERLINK("https://klasma.github.io/Logging_0581/tillsyn/A 46201-2025 tillsynsbegäran.docx", "A 46201-2025")</f>
        <v/>
      </c>
      <c r="AD173">
        <f>HYPERLINK("https://klasma.github.io/Logging_0581/tillsynsmail/A 46201-2025 tillsynsbegäran mail.docx", "A 46201-2025")</f>
        <v/>
      </c>
    </row>
    <row r="174" ht="15" customHeight="1">
      <c r="A174" t="inlineStr">
        <is>
          <t>A 58711-2023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46313</v>
      </c>
      <c r="F174" t="inlineStr">
        <is>
          <t>ÖSTERGÖTLANDS LÄN</t>
        </is>
      </c>
      <c r="G174" t="inlineStr">
        <is>
          <t>NORRKÖPING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Ängsskära</t>
        </is>
      </c>
      <c r="W174">
        <f>HYPERLINK("https://klasma.github.io/Logging_0581/artfynd/A 58711-2023 artfynd.xlsx", "A 58711-2023")</f>
        <v/>
      </c>
      <c r="X174">
        <f>HYPERLINK("https://klasma.github.io/Logging_0581/kartor/A 58711-2023 karta.png", "A 58711-2023")</f>
        <v/>
      </c>
      <c r="Y174">
        <f>HYPERLINK("https://klasma.github.io/Logging_0581/kartor_geotiff/A 58711-2023 georefererad karta.tif", "A 58711-2023")</f>
        <v/>
      </c>
      <c r="AA174">
        <f>HYPERLINK("https://klasma.github.io/Logging_0581/klagomål/A 58711-2023 FSC-klagomål.docx", "A 58711-2023")</f>
        <v/>
      </c>
      <c r="AB174">
        <f>HYPERLINK("https://klasma.github.io/Logging_0581/klagomålsmail/A 58711-2023 FSC-klagomål mail.docx", "A 58711-2023")</f>
        <v/>
      </c>
      <c r="AC174">
        <f>HYPERLINK("https://klasma.github.io/Logging_0581/tillsyn/A 58711-2023 tillsynsbegäran.docx", "A 58711-2023")</f>
        <v/>
      </c>
      <c r="AD174">
        <f>HYPERLINK("https://klasma.github.io/Logging_0581/tillsynsmail/A 58711-2023 tillsynsbegäran mail.docx", "A 58711-2023")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46313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A 46671-2024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46313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2</v>
      </c>
      <c r="V176" s="2" t="inlineStr">
        <is>
          <t>Kattfotslav</t>
        </is>
      </c>
      <c r="W176">
        <f>HYPERLINK("https://klasma.github.io/Logging_0581/artfynd/A 46671-2024 artfynd.xlsx", "A 46671-2024")</f>
        <v/>
      </c>
      <c r="X176">
        <f>HYPERLINK("https://klasma.github.io/Logging_0581/kartor/A 46671-2024 karta.png", "A 46671-2024")</f>
        <v/>
      </c>
      <c r="Y176">
        <f>HYPERLINK("https://klasma.github.io/Logging_0581/kartor_geotiff/A 46671-2024 georefererad karta.tif", "A 46671-2024")</f>
        <v/>
      </c>
      <c r="AA176">
        <f>HYPERLINK("https://klasma.github.io/Logging_0581/klagomål/A 46671-2024 FSC-klagomål.docx", "A 46671-2024")</f>
        <v/>
      </c>
      <c r="AB176">
        <f>HYPERLINK("https://klasma.github.io/Logging_0581/klagomålsmail/A 46671-2024 FSC-klagomål mail.docx", "A 46671-2024")</f>
        <v/>
      </c>
      <c r="AC176">
        <f>HYPERLINK("https://klasma.github.io/Logging_0581/tillsyn/A 46671-2024 tillsynsbegäran.docx", "A 46671-2024")</f>
        <v/>
      </c>
      <c r="AD176">
        <f>HYPERLINK("https://klasma.github.io/Logging_0581/tillsynsmail/A 46671-2024 tillsynsbegäran mail.docx", "A 46671-2024")</f>
        <v/>
      </c>
    </row>
    <row r="177" ht="15" customHeight="1">
      <c r="A177" t="inlineStr">
        <is>
          <t>A 31320-2025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46313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1.2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Blåmossa</t>
        </is>
      </c>
      <c r="W177">
        <f>HYPERLINK("https://klasma.github.io/Logging_0581/artfynd/A 31320-2025 artfynd.xlsx", "A 31320-2025")</f>
        <v/>
      </c>
      <c r="X177">
        <f>HYPERLINK("https://klasma.github.io/Logging_0581/kartor/A 31320-2025 karta.png", "A 31320-2025")</f>
        <v/>
      </c>
      <c r="Y177">
        <f>HYPERLINK("https://klasma.github.io/Logging_0581/kartor_geotiff/A 31320-2025 georefererad karta.tif", "A 31320-2025")</f>
        <v/>
      </c>
      <c r="AA177">
        <f>HYPERLINK("https://klasma.github.io/Logging_0581/klagomål/A 31320-2025 FSC-klagomål.docx", "A 31320-2025")</f>
        <v/>
      </c>
      <c r="AB177">
        <f>HYPERLINK("https://klasma.github.io/Logging_0581/klagomålsmail/A 31320-2025 FSC-klagomål mail.docx", "A 31320-2025")</f>
        <v/>
      </c>
      <c r="AC177">
        <f>HYPERLINK("https://klasma.github.io/Logging_0581/tillsyn/A 31320-2025 tillsynsbegäran.docx", "A 31320-2025")</f>
        <v/>
      </c>
      <c r="AD177">
        <f>HYPERLINK("https://klasma.github.io/Logging_0581/tillsynsmail/A 31320-2025 tillsynsbegäran mail.docx", "A 31320-2025")</f>
        <v/>
      </c>
    </row>
    <row r="178" ht="15" customHeight="1">
      <c r="A178" t="inlineStr">
        <is>
          <t>A 62973-2021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44504</v>
      </c>
      <c r="E178" s="1" t="n">
        <v>46313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Allmännings- och besparingsskogar</t>
        </is>
      </c>
      <c r="I178" t="n">
        <v>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Krusfrö</t>
        </is>
      </c>
      <c r="W178">
        <f>HYPERLINK("https://klasma.github.io/Logging_0581/artfynd/A 62973-2021 artfynd.xlsx", "A 62973-2021")</f>
        <v/>
      </c>
      <c r="X178">
        <f>HYPERLINK("https://klasma.github.io/Logging_0581/kartor/A 62973-2021 karta.png", "A 62973-2021")</f>
        <v/>
      </c>
      <c r="Y178">
        <f>HYPERLINK("https://klasma.github.io/Logging_0581/kartor_geotiff/A 62973-2021 georefererad karta.tif", "A 62973-2021")</f>
        <v/>
      </c>
      <c r="AA178">
        <f>HYPERLINK("https://klasma.github.io/Logging_0581/klagomål/A 62973-2021 FSC-klagomål.docx", "A 62973-2021")</f>
        <v/>
      </c>
      <c r="AB178">
        <f>HYPERLINK("https://klasma.github.io/Logging_0581/klagomålsmail/A 62973-2021 FSC-klagomål mail.docx", "A 62973-2021")</f>
        <v/>
      </c>
      <c r="AC178">
        <f>HYPERLINK("https://klasma.github.io/Logging_0581/tillsyn/A 62973-2021 tillsynsbegäran.docx", "A 62973-2021")</f>
        <v/>
      </c>
      <c r="AD178">
        <f>HYPERLINK("https://klasma.github.io/Logging_0581/tillsynsmail/A 62973-2021 tillsynsbegäran mail.docx", "A 62973-2021")</f>
        <v/>
      </c>
    </row>
    <row r="179" ht="15" customHeight="1">
      <c r="A179" t="inlineStr">
        <is>
          <t>A 34078-2025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46313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0.9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Järpe</t>
        </is>
      </c>
      <c r="W179">
        <f>HYPERLINK("https://klasma.github.io/Logging_0581/artfynd/A 34078-2025 artfynd.xlsx", "A 34078-2025")</f>
        <v/>
      </c>
      <c r="X179">
        <f>HYPERLINK("https://klasma.github.io/Logging_0581/kartor/A 34078-2025 karta.png", "A 34078-2025")</f>
        <v/>
      </c>
      <c r="Y179">
        <f>HYPERLINK("https://klasma.github.io/Logging_0581/kartor_geotiff/A 34078-2025 georefererad karta.tif", "A 34078-2025")</f>
        <v/>
      </c>
      <c r="AA179">
        <f>HYPERLINK("https://klasma.github.io/Logging_0581/klagomål/A 34078-2025 FSC-klagomål.docx", "A 34078-2025")</f>
        <v/>
      </c>
      <c r="AB179">
        <f>HYPERLINK("https://klasma.github.io/Logging_0581/klagomålsmail/A 34078-2025 FSC-klagomål mail.docx", "A 34078-2025")</f>
        <v/>
      </c>
      <c r="AC179">
        <f>HYPERLINK("https://klasma.github.io/Logging_0581/tillsyn/A 34078-2025 tillsynsbegäran.docx", "A 34078-2025")</f>
        <v/>
      </c>
      <c r="AD179">
        <f>HYPERLINK("https://klasma.github.io/Logging_0581/tillsynsmail/A 34078-2025 tillsynsbegäran mail.docx", "A 34078-2025")</f>
        <v/>
      </c>
      <c r="AE179">
        <f>HYPERLINK("https://klasma.github.io/Logging_0581/fåglar/A 34078-2025 prioriterade fågelarter.docx", "A 34078-2025")</f>
        <v/>
      </c>
    </row>
    <row r="180" ht="15" customHeight="1">
      <c r="A180" t="inlineStr">
        <is>
          <t>A 24629-2025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46313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0.6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Kråka</t>
        </is>
      </c>
      <c r="W180">
        <f>HYPERLINK("https://klasma.github.io/Logging_0581/artfynd/A 24629-2025 artfynd.xlsx", "A 24629-2025")</f>
        <v/>
      </c>
      <c r="X180">
        <f>HYPERLINK("https://klasma.github.io/Logging_0581/kartor/A 24629-2025 karta.png", "A 24629-2025")</f>
        <v/>
      </c>
      <c r="Y180">
        <f>HYPERLINK("https://klasma.github.io/Logging_0581/kartor_geotiff/A 24629-2025 georefererad karta.tif", "A 24629-2025")</f>
        <v/>
      </c>
      <c r="AA180">
        <f>HYPERLINK("https://klasma.github.io/Logging_0581/klagomål/A 24629-2025 FSC-klagomål.docx", "A 24629-2025")</f>
        <v/>
      </c>
      <c r="AB180">
        <f>HYPERLINK("https://klasma.github.io/Logging_0581/klagomålsmail/A 24629-2025 FSC-klagomål mail.docx", "A 24629-2025")</f>
        <v/>
      </c>
      <c r="AC180">
        <f>HYPERLINK("https://klasma.github.io/Logging_0581/tillsyn/A 24629-2025 tillsynsbegäran.docx", "A 24629-2025")</f>
        <v/>
      </c>
      <c r="AD180">
        <f>HYPERLINK("https://klasma.github.io/Logging_0581/tillsynsmail/A 24629-2025 tillsynsbegäran mail.docx", "A 24629-2025")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46313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46313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46313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68936-2021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46313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46313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46313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46313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46313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46313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46313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46313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46313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46313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46313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46313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46313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46313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46313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46313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44630</v>
      </c>
      <c r="E200" s="1" t="n">
        <v>46313</v>
      </c>
      <c r="F200" t="inlineStr">
        <is>
          <t>ÖSTERGÖTLANDS LÄN</t>
        </is>
      </c>
      <c r="G200" t="inlineStr">
        <is>
          <t>NORRKÖPING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46313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62574-2021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44503</v>
      </c>
      <c r="E202" s="1" t="n">
        <v>46313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46313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46313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46313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46313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46313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46313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46313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46313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46313</v>
      </c>
      <c r="F211" t="inlineStr">
        <is>
          <t>ÖSTERGÖTLANDS LÄN</t>
        </is>
      </c>
      <c r="G211" t="inlineStr">
        <is>
          <t>NORRKÖPING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44730</v>
      </c>
      <c r="E212" s="1" t="n">
        <v>46313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46313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BillerudKorsnäs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46313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46313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46313</v>
      </c>
      <c r="F216" t="inlineStr">
        <is>
          <t>ÖSTERGÖTLANDS LÄN</t>
        </is>
      </c>
      <c r="G216" t="inlineStr">
        <is>
          <t>NORRKÖPING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44726</v>
      </c>
      <c r="E217" s="1" t="n">
        <v>46313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58093-2021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44487</v>
      </c>
      <c r="E218" s="1" t="n">
        <v>46313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46313</v>
      </c>
      <c r="F219" t="inlineStr">
        <is>
          <t>ÖSTERGÖTLANDS LÄN</t>
        </is>
      </c>
      <c r="G219" t="inlineStr">
        <is>
          <t>NORRKÖPING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46313</v>
      </c>
      <c r="F220" t="inlineStr">
        <is>
          <t>ÖSTERGÖTLANDS LÄN</t>
        </is>
      </c>
      <c r="G220" t="inlineStr">
        <is>
          <t>NORRKÖPING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46313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45401</v>
      </c>
      <c r="E222" s="1" t="n">
        <v>46313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44651</v>
      </c>
      <c r="E223" s="1" t="n">
        <v>46313</v>
      </c>
      <c r="F223" t="inlineStr">
        <is>
          <t>ÖSTERGÖTLANDS LÄN</t>
        </is>
      </c>
      <c r="G223" t="inlineStr">
        <is>
          <t>NORRKÖPING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46313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46313</v>
      </c>
      <c r="F225" t="inlineStr">
        <is>
          <t>ÖSTERGÖTLANDS LÄN</t>
        </is>
      </c>
      <c r="G225" t="inlineStr">
        <is>
          <t>NORRKÖPING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44826</v>
      </c>
      <c r="E226" s="1" t="n">
        <v>46313</v>
      </c>
      <c r="F226" t="inlineStr">
        <is>
          <t>ÖSTERGÖTLANDS LÄN</t>
        </is>
      </c>
      <c r="G226" t="inlineStr">
        <is>
          <t>NORRKÖPING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46313</v>
      </c>
      <c r="F227" t="inlineStr">
        <is>
          <t>ÖSTERGÖTLANDS LÄN</t>
        </is>
      </c>
      <c r="G227" t="inlineStr">
        <is>
          <t>NORRKÖPING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46313</v>
      </c>
      <c r="F228" t="inlineStr">
        <is>
          <t>ÖSTERGÖTLANDS LÄN</t>
        </is>
      </c>
      <c r="G228" t="inlineStr">
        <is>
          <t>NORRKÖPING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46313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44783</v>
      </c>
      <c r="E230" s="1" t="n">
        <v>46313</v>
      </c>
      <c r="F230" t="inlineStr">
        <is>
          <t>ÖSTERGÖTLANDS LÄN</t>
        </is>
      </c>
      <c r="G230" t="inlineStr">
        <is>
          <t>NORRKÖPING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46313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64898-2021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44512</v>
      </c>
      <c r="E232" s="1" t="n">
        <v>46313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46313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46313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46313</v>
      </c>
      <c r="F235" t="inlineStr">
        <is>
          <t>ÖSTERGÖTLANDS LÄN</t>
        </is>
      </c>
      <c r="G235" t="inlineStr">
        <is>
          <t>NORRKÖPING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45716</v>
      </c>
      <c r="E236" s="1" t="n">
        <v>46313</v>
      </c>
      <c r="F236" t="inlineStr">
        <is>
          <t>ÖSTERGÖTLANDS LÄN</t>
        </is>
      </c>
      <c r="G236" t="inlineStr">
        <is>
          <t>NORRKÖPING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46313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46313</v>
      </c>
      <c r="F238" t="inlineStr">
        <is>
          <t>ÖSTERGÖTLANDS LÄN</t>
        </is>
      </c>
      <c r="G238" t="inlineStr">
        <is>
          <t>NORRKÖPING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45053</v>
      </c>
      <c r="E239" s="1" t="n">
        <v>46313</v>
      </c>
      <c r="F239" t="inlineStr">
        <is>
          <t>ÖSTERGÖTLANDS LÄN</t>
        </is>
      </c>
      <c r="G239" t="inlineStr">
        <is>
          <t>NORRKÖPING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49456-2022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44861</v>
      </c>
      <c r="E240" s="1" t="n">
        <v>46313</v>
      </c>
      <c r="F240" t="inlineStr">
        <is>
          <t>ÖSTERGÖTLANDS LÄN</t>
        </is>
      </c>
      <c r="G240" t="inlineStr">
        <is>
          <t>NORRKÖPING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46313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46313</v>
      </c>
      <c r="F242" t="inlineStr">
        <is>
          <t>ÖSTERGÖTLANDS LÄN</t>
        </is>
      </c>
      <c r="G242" t="inlineStr">
        <is>
          <t>NORRKÖPING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46313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46313</v>
      </c>
      <c r="F244" t="inlineStr">
        <is>
          <t>ÖSTERGÖTLANDS LÄN</t>
        </is>
      </c>
      <c r="G244" t="inlineStr">
        <is>
          <t>NORRKÖPING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45313</v>
      </c>
      <c r="E245" s="1" t="n">
        <v>46313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46313</v>
      </c>
      <c r="F246" t="inlineStr">
        <is>
          <t>ÖSTERGÖTLANDS LÄN</t>
        </is>
      </c>
      <c r="G246" t="inlineStr">
        <is>
          <t>NORRKÖPING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46313</v>
      </c>
      <c r="F247" t="inlineStr">
        <is>
          <t>ÖSTERGÖTLANDS LÄN</t>
        </is>
      </c>
      <c r="G247" t="inlineStr">
        <is>
          <t>NORRKÖPING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44998</v>
      </c>
      <c r="E248" s="1" t="n">
        <v>46313</v>
      </c>
      <c r="F248" t="inlineStr">
        <is>
          <t>ÖSTERGÖTLANDS LÄN</t>
        </is>
      </c>
      <c r="G248" t="inlineStr">
        <is>
          <t>NORRKÖPING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46313</v>
      </c>
      <c r="F249" t="inlineStr">
        <is>
          <t>ÖSTERGÖTLANDS LÄN</t>
        </is>
      </c>
      <c r="G249" t="inlineStr">
        <is>
          <t>NORRKÖPING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44741</v>
      </c>
      <c r="E250" s="1" t="n">
        <v>46313</v>
      </c>
      <c r="F250" t="inlineStr">
        <is>
          <t>ÖSTERGÖTLANDS LÄN</t>
        </is>
      </c>
      <c r="G250" t="inlineStr">
        <is>
          <t>NORRKÖPING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46313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46313</v>
      </c>
      <c r="F252" t="inlineStr">
        <is>
          <t>ÖSTERGÖTLANDS LÄN</t>
        </is>
      </c>
      <c r="G252" t="inlineStr">
        <is>
          <t>NORRKÖPING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46313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46313</v>
      </c>
      <c r="F254" t="inlineStr">
        <is>
          <t>ÖSTERGÖTLANDS LÄN</t>
        </is>
      </c>
      <c r="G254" t="inlineStr">
        <is>
          <t>NORRKÖPING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45254</v>
      </c>
      <c r="E255" s="1" t="n">
        <v>46313</v>
      </c>
      <c r="F255" t="inlineStr">
        <is>
          <t>ÖSTERGÖTLANDS LÄN</t>
        </is>
      </c>
      <c r="G255" t="inlineStr">
        <is>
          <t>NORRKÖPING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45583</v>
      </c>
      <c r="E256" s="1" t="n">
        <v>46313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45535</v>
      </c>
      <c r="E257" s="1" t="n">
        <v>46313</v>
      </c>
      <c r="F257" t="inlineStr">
        <is>
          <t>ÖSTERGÖTLANDS LÄN</t>
        </is>
      </c>
      <c r="G257" t="inlineStr">
        <is>
          <t>NORRKÖPING</t>
        </is>
      </c>
      <c r="I257" t="n">
        <v>12.8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46313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46313</v>
      </c>
      <c r="F259" t="inlineStr">
        <is>
          <t>ÖSTERGÖTLANDS LÄN</t>
        </is>
      </c>
      <c r="G259" t="inlineStr">
        <is>
          <t>NORRKÖPING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46313</v>
      </c>
      <c r="F260" t="inlineStr">
        <is>
          <t>ÖSTERGÖTLANDS LÄN</t>
        </is>
      </c>
      <c r="G260" t="inlineStr">
        <is>
          <t>NORRKÖPING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46313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46313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46313</v>
      </c>
      <c r="F263" t="inlineStr">
        <is>
          <t>ÖSTERGÖTLANDS LÄN</t>
        </is>
      </c>
      <c r="G263" t="inlineStr">
        <is>
          <t>NORRKÖPING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46313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46313</v>
      </c>
      <c r="F265" t="inlineStr">
        <is>
          <t>ÖSTERGÖTLANDS LÄN</t>
        </is>
      </c>
      <c r="G265" t="inlineStr">
        <is>
          <t>NORRKÖPING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62875-2023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46313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44575</v>
      </c>
      <c r="E267" s="1" t="n">
        <v>46313</v>
      </c>
      <c r="F267" t="inlineStr">
        <is>
          <t>ÖSTERGÖTLANDS LÄN</t>
        </is>
      </c>
      <c r="G267" t="inlineStr">
        <is>
          <t>NORRKÖPING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46313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45274</v>
      </c>
      <c r="E269" s="1" t="n">
        <v>46313</v>
      </c>
      <c r="F269" t="inlineStr">
        <is>
          <t>ÖSTERGÖTLANDS LÄN</t>
        </is>
      </c>
      <c r="G269" t="inlineStr">
        <is>
          <t>NORRKÖPING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46313</v>
      </c>
      <c r="F270" t="inlineStr">
        <is>
          <t>ÖSTERGÖTLANDS LÄN</t>
        </is>
      </c>
      <c r="G270" t="inlineStr">
        <is>
          <t>NORRKÖPING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46313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44754</v>
      </c>
      <c r="E272" s="1" t="n">
        <v>46313</v>
      </c>
      <c r="F272" t="inlineStr">
        <is>
          <t>ÖSTERGÖTLANDS LÄN</t>
        </is>
      </c>
      <c r="G272" t="inlineStr">
        <is>
          <t>NORRKÖPING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46313</v>
      </c>
      <c r="F273" t="inlineStr">
        <is>
          <t>ÖSTERGÖTLANDS LÄN</t>
        </is>
      </c>
      <c r="G273" t="inlineStr">
        <is>
          <t>NORRKÖPING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46313</v>
      </c>
      <c r="F274" t="inlineStr">
        <is>
          <t>ÖSTERGÖTLANDS LÄN</t>
        </is>
      </c>
      <c r="G274" t="inlineStr">
        <is>
          <t>NORRKÖPING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46313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44950</v>
      </c>
      <c r="E276" s="1" t="n">
        <v>46313</v>
      </c>
      <c r="F276" t="inlineStr">
        <is>
          <t>ÖSTERGÖTLANDS LÄN</t>
        </is>
      </c>
      <c r="G276" t="inlineStr">
        <is>
          <t>NORRKÖPING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46313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44897</v>
      </c>
      <c r="E278" s="1" t="n">
        <v>46313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13173-2022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44644</v>
      </c>
      <c r="E279" s="1" t="n">
        <v>46313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Allmännings- och besparingsskogar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46313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48462-2022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44858</v>
      </c>
      <c r="E281" s="1" t="n">
        <v>46313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45436</v>
      </c>
      <c r="E282" s="1" t="n">
        <v>46313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46313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46313</v>
      </c>
      <c r="F284" t="inlineStr">
        <is>
          <t>ÖSTERGÖTLANDS LÄN</t>
        </is>
      </c>
      <c r="G284" t="inlineStr">
        <is>
          <t>NORRKÖPING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46313</v>
      </c>
      <c r="F285" t="inlineStr">
        <is>
          <t>ÖSTERGÖTLANDS LÄN</t>
        </is>
      </c>
      <c r="G285" t="inlineStr">
        <is>
          <t>NORRKÖPING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46313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45597</v>
      </c>
      <c r="E287" s="1" t="n">
        <v>46313</v>
      </c>
      <c r="F287" t="inlineStr">
        <is>
          <t>ÖSTERGÖTLANDS LÄN</t>
        </is>
      </c>
      <c r="G287" t="inlineStr">
        <is>
          <t>NORRKÖPING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22651-2023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46313</v>
      </c>
      <c r="F288" t="inlineStr">
        <is>
          <t>ÖSTERGÖTLANDS LÄN</t>
        </is>
      </c>
      <c r="G288" t="inlineStr">
        <is>
          <t>NORRKÖPING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45121</v>
      </c>
      <c r="E289" s="1" t="n">
        <v>46313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45678</v>
      </c>
      <c r="E290" s="1" t="n">
        <v>46313</v>
      </c>
      <c r="F290" t="inlineStr">
        <is>
          <t>ÖSTERGÖTLANDS LÄN</t>
        </is>
      </c>
      <c r="G290" t="inlineStr">
        <is>
          <t>NORRKÖPING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35701-2024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45532</v>
      </c>
      <c r="E291" s="1" t="n">
        <v>46313</v>
      </c>
      <c r="F291" t="inlineStr">
        <is>
          <t>ÖSTERGÖTLANDS LÄN</t>
        </is>
      </c>
      <c r="G291" t="inlineStr">
        <is>
          <t>NORRKÖPING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55941-2022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46313</v>
      </c>
      <c r="F292" t="inlineStr">
        <is>
          <t>ÖSTERGÖTLANDS LÄN</t>
        </is>
      </c>
      <c r="G292" t="inlineStr">
        <is>
          <t>NORRKÖPING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46313</v>
      </c>
      <c r="F293" t="inlineStr">
        <is>
          <t>ÖSTERGÖTLANDS LÄN</t>
        </is>
      </c>
      <c r="G293" t="inlineStr">
        <is>
          <t>NORRKÖPING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45317</v>
      </c>
      <c r="E294" s="1" t="n">
        <v>46313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45202</v>
      </c>
      <c r="E295" s="1" t="n">
        <v>46313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45478</v>
      </c>
      <c r="E296" s="1" t="n">
        <v>46313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46313</v>
      </c>
      <c r="F297" t="inlineStr">
        <is>
          <t>ÖSTERGÖTLANDS LÄN</t>
        </is>
      </c>
      <c r="G297" t="inlineStr">
        <is>
          <t>NORRKÖPING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45098</v>
      </c>
      <c r="E298" s="1" t="n">
        <v>46313</v>
      </c>
      <c r="F298" t="inlineStr">
        <is>
          <t>ÖSTERGÖTLANDS LÄN</t>
        </is>
      </c>
      <c r="G298" t="inlineStr">
        <is>
          <t>NORRKÖPING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46313</v>
      </c>
      <c r="F299" t="inlineStr">
        <is>
          <t>ÖSTERGÖTLANDS LÄN</t>
        </is>
      </c>
      <c r="G299" t="inlineStr">
        <is>
          <t>NORRKÖPING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45414</v>
      </c>
      <c r="E300" s="1" t="n">
        <v>46313</v>
      </c>
      <c r="F300" t="inlineStr">
        <is>
          <t>ÖSTERGÖTLANDS LÄN</t>
        </is>
      </c>
      <c r="G300" t="inlineStr">
        <is>
          <t>NORRKÖPING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45183</v>
      </c>
      <c r="E301" s="1" t="n">
        <v>46313</v>
      </c>
      <c r="F301" t="inlineStr">
        <is>
          <t>ÖSTERGÖTLANDS LÄN</t>
        </is>
      </c>
      <c r="G301" t="inlineStr">
        <is>
          <t>NORRKÖPING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45043</v>
      </c>
      <c r="E302" s="1" t="n">
        <v>46313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45757</v>
      </c>
      <c r="E303" s="1" t="n">
        <v>46313</v>
      </c>
      <c r="F303" t="inlineStr">
        <is>
          <t>ÖSTERGÖTLANDS LÄN</t>
        </is>
      </c>
      <c r="G303" t="inlineStr">
        <is>
          <t>NORRKÖPING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45118</v>
      </c>
      <c r="E304" s="1" t="n">
        <v>46313</v>
      </c>
      <c r="F304" t="inlineStr">
        <is>
          <t>ÖSTERGÖTLANDS LÄN</t>
        </is>
      </c>
      <c r="G304" t="inlineStr">
        <is>
          <t>NORRKÖPING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46313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50092-2023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46313</v>
      </c>
      <c r="F306" t="inlineStr">
        <is>
          <t>ÖSTERGÖTLANDS LÄN</t>
        </is>
      </c>
      <c r="G306" t="inlineStr">
        <is>
          <t>NORRKÖPING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70378-2021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44536</v>
      </c>
      <c r="E307" s="1" t="n">
        <v>46313</v>
      </c>
      <c r="F307" t="inlineStr">
        <is>
          <t>ÖSTERGÖTLANDS LÄN</t>
        </is>
      </c>
      <c r="G307" t="inlineStr">
        <is>
          <t>NORRKÖPING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45153</v>
      </c>
      <c r="E308" s="1" t="n">
        <v>46313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45096</v>
      </c>
      <c r="E309" s="1" t="n">
        <v>46313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45468</v>
      </c>
      <c r="E310" s="1" t="n">
        <v>46313</v>
      </c>
      <c r="F310" t="inlineStr">
        <is>
          <t>ÖSTERGÖTLANDS LÄN</t>
        </is>
      </c>
      <c r="G310" t="inlineStr">
        <is>
          <t>NORRKÖPING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45049</v>
      </c>
      <c r="E311" s="1" t="n">
        <v>46313</v>
      </c>
      <c r="F311" t="inlineStr">
        <is>
          <t>ÖSTERGÖTLANDS LÄN</t>
        </is>
      </c>
      <c r="G311" t="inlineStr">
        <is>
          <t>NORRKÖPING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44599</v>
      </c>
      <c r="E312" s="1" t="n">
        <v>46313</v>
      </c>
      <c r="F312" t="inlineStr">
        <is>
          <t>ÖSTERGÖTLANDS LÄN</t>
        </is>
      </c>
      <c r="G312" t="inlineStr">
        <is>
          <t>NORRKÖPING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44999</v>
      </c>
      <c r="E313" s="1" t="n">
        <v>46313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Allmännings- och besparingsskogar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45330</v>
      </c>
      <c r="E314" s="1" t="n">
        <v>46313</v>
      </c>
      <c r="F314" t="inlineStr">
        <is>
          <t>ÖSTERGÖTLANDS LÄN</t>
        </is>
      </c>
      <c r="G314" t="inlineStr">
        <is>
          <t>NORRKÖPING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47090-2023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46313</v>
      </c>
      <c r="F315" t="inlineStr">
        <is>
          <t>ÖSTERGÖTLANDS LÄN</t>
        </is>
      </c>
      <c r="G315" t="inlineStr">
        <is>
          <t>NORRKÖPING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46313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46313</v>
      </c>
      <c r="F317" t="inlineStr">
        <is>
          <t>ÖSTERGÖTLANDS LÄN</t>
        </is>
      </c>
      <c r="G317" t="inlineStr">
        <is>
          <t>NORRKÖPING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46313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45886</v>
      </c>
      <c r="E319" s="1" t="n">
        <v>46313</v>
      </c>
      <c r="F319" t="inlineStr">
        <is>
          <t>ÖSTERGÖTLANDS LÄN</t>
        </is>
      </c>
      <c r="G319" t="inlineStr">
        <is>
          <t>NORRKÖPING</t>
        </is>
      </c>
      <c r="I319" t="n">
        <v>14.3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46313</v>
      </c>
      <c r="F320" t="inlineStr">
        <is>
          <t>ÖSTERGÖTLANDS LÄN</t>
        </is>
      </c>
      <c r="G320" t="inlineStr">
        <is>
          <t>NORRKÖPING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46313</v>
      </c>
      <c r="F321" t="inlineStr">
        <is>
          <t>ÖSTERGÖTLANDS LÄN</t>
        </is>
      </c>
      <c r="G321" t="inlineStr">
        <is>
          <t>NORRKÖPING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46313</v>
      </c>
      <c r="F322" t="inlineStr">
        <is>
          <t>ÖSTERGÖTLANDS LÄN</t>
        </is>
      </c>
      <c r="G322" t="inlineStr">
        <is>
          <t>NORRKÖPING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45317</v>
      </c>
      <c r="E323" s="1" t="n">
        <v>46313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10393-2024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45365</v>
      </c>
      <c r="E324" s="1" t="n">
        <v>46313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Kommuner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45405</v>
      </c>
      <c r="E325" s="1" t="n">
        <v>46313</v>
      </c>
      <c r="F325" t="inlineStr">
        <is>
          <t>ÖSTERGÖTLANDS LÄN</t>
        </is>
      </c>
      <c r="G325" t="inlineStr">
        <is>
          <t>NORRKÖPING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45769</v>
      </c>
      <c r="E326" s="1" t="n">
        <v>46313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44923</v>
      </c>
      <c r="E327" s="1" t="n">
        <v>46313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44930</v>
      </c>
      <c r="E328" s="1" t="n">
        <v>46313</v>
      </c>
      <c r="F328" t="inlineStr">
        <is>
          <t>ÖSTERGÖTLANDS LÄN</t>
        </is>
      </c>
      <c r="G328" t="inlineStr">
        <is>
          <t>NORRKÖPING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46313</v>
      </c>
      <c r="F329" t="inlineStr">
        <is>
          <t>ÖSTERGÖTLANDS LÄN</t>
        </is>
      </c>
      <c r="G329" t="inlineStr">
        <is>
          <t>NORRKÖPING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45891</v>
      </c>
      <c r="E330" s="1" t="n">
        <v>46313</v>
      </c>
      <c r="F330" t="inlineStr">
        <is>
          <t>ÖSTERGÖTLANDS LÄN</t>
        </is>
      </c>
      <c r="G330" t="inlineStr">
        <is>
          <t>NORRKÖPING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46313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45043</v>
      </c>
      <c r="E332" s="1" t="n">
        <v>46313</v>
      </c>
      <c r="F332" t="inlineStr">
        <is>
          <t>ÖSTERGÖTLANDS LÄN</t>
        </is>
      </c>
      <c r="G332" t="inlineStr">
        <is>
          <t>NORRKÖPING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39067-2025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45888</v>
      </c>
      <c r="E333" s="1" t="n">
        <v>46313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45092</v>
      </c>
      <c r="E334" s="1" t="n">
        <v>46313</v>
      </c>
      <c r="F334" t="inlineStr">
        <is>
          <t>ÖSTERGÖTLANDS LÄN</t>
        </is>
      </c>
      <c r="G334" t="inlineStr">
        <is>
          <t>NORRKÖPING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44970</v>
      </c>
      <c r="E335" s="1" t="n">
        <v>46313</v>
      </c>
      <c r="F335" t="inlineStr">
        <is>
          <t>ÖSTERGÖTLANDS LÄN</t>
        </is>
      </c>
      <c r="G335" t="inlineStr">
        <is>
          <t>NORRKÖPING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50157-2022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44865</v>
      </c>
      <c r="E336" s="1" t="n">
        <v>46313</v>
      </c>
      <c r="F336" t="inlineStr">
        <is>
          <t>ÖSTERGÖTLANDS LÄN</t>
        </is>
      </c>
      <c r="G336" t="inlineStr">
        <is>
          <t>NORRKÖPING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45895</v>
      </c>
      <c r="E337" s="1" t="n">
        <v>46313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46313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46313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45894</v>
      </c>
      <c r="E340" s="1" t="n">
        <v>46313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46313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45896</v>
      </c>
      <c r="E342" s="1" t="n">
        <v>46313</v>
      </c>
      <c r="F342" t="inlineStr">
        <is>
          <t>ÖSTERGÖTLANDS LÄN</t>
        </is>
      </c>
      <c r="G342" t="inlineStr">
        <is>
          <t>NORRKÖPING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46313</v>
      </c>
      <c r="F343" t="inlineStr">
        <is>
          <t>ÖSTERGÖTLANDS LÄN</t>
        </is>
      </c>
      <c r="G343" t="inlineStr">
        <is>
          <t>NORRKÖPING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49465-2023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46313</v>
      </c>
      <c r="F344" t="inlineStr">
        <is>
          <t>ÖSTERGÖTLANDS LÄN</t>
        </is>
      </c>
      <c r="G344" t="inlineStr">
        <is>
          <t>NORRKÖPING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46313</v>
      </c>
      <c r="F345" t="inlineStr">
        <is>
          <t>ÖSTERGÖTLANDS LÄN</t>
        </is>
      </c>
      <c r="G345" t="inlineStr">
        <is>
          <t>NORRKÖPING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36302-2025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45867</v>
      </c>
      <c r="E346" s="1" t="n">
        <v>46313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45887</v>
      </c>
      <c r="E347" s="1" t="n">
        <v>46313</v>
      </c>
      <c r="F347" t="inlineStr">
        <is>
          <t>ÖSTERGÖTLANDS LÄN</t>
        </is>
      </c>
      <c r="G347" t="inlineStr">
        <is>
          <t>NORRKÖPING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45887</v>
      </c>
      <c r="E348" s="1" t="n">
        <v>46313</v>
      </c>
      <c r="F348" t="inlineStr">
        <is>
          <t>ÖSTERGÖTLANDS LÄN</t>
        </is>
      </c>
      <c r="G348" t="inlineStr">
        <is>
          <t>NORRKÖPING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45836</v>
      </c>
      <c r="E349" s="1" t="n">
        <v>46313</v>
      </c>
      <c r="F349" t="inlineStr">
        <is>
          <t>ÖSTERGÖTLANDS LÄN</t>
        </is>
      </c>
      <c r="G349" t="inlineStr">
        <is>
          <t>NORRKÖPING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50117-2023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46313</v>
      </c>
      <c r="F350" t="inlineStr">
        <is>
          <t>ÖSTERGÖTLANDS LÄN</t>
        </is>
      </c>
      <c r="G350" t="inlineStr">
        <is>
          <t>NORRKÖPING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45178</v>
      </c>
      <c r="E351" s="1" t="n">
        <v>46313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20340-2026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46139</v>
      </c>
      <c r="E352" s="1" t="n">
        <v>46313</v>
      </c>
      <c r="F352" t="inlineStr">
        <is>
          <t>ÖSTERGÖTLANDS LÄN</t>
        </is>
      </c>
      <c r="G352" t="inlineStr">
        <is>
          <t>NORRKÖPING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41321-2025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46313</v>
      </c>
      <c r="F353" t="inlineStr">
        <is>
          <t>ÖSTERGÖTLANDS LÄN</t>
        </is>
      </c>
      <c r="G353" t="inlineStr">
        <is>
          <t>NORRKÖPING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46313</v>
      </c>
      <c r="F354" t="inlineStr">
        <is>
          <t>ÖSTERGÖTLANDS LÄN</t>
        </is>
      </c>
      <c r="G354" t="inlineStr">
        <is>
          <t>NORRKÖPING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20587-2024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45436</v>
      </c>
      <c r="E355" s="1" t="n">
        <v>46313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46313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47846-2023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45204</v>
      </c>
      <c r="E357" s="1" t="n">
        <v>46313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Naturvårdsverket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46313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8806-2024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45356</v>
      </c>
      <c r="E359" s="1" t="n">
        <v>46313</v>
      </c>
      <c r="F359" t="inlineStr">
        <is>
          <t>ÖSTERGÖTLANDS LÄN</t>
        </is>
      </c>
      <c r="G359" t="inlineStr">
        <is>
          <t>NORRKÖPING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45215</v>
      </c>
      <c r="E360" s="1" t="n">
        <v>46313</v>
      </c>
      <c r="F360" t="inlineStr">
        <is>
          <t>ÖSTERGÖTLANDS LÄN</t>
        </is>
      </c>
      <c r="G360" t="inlineStr">
        <is>
          <t>NORRKÖPING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46313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46313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46313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Allmännings- och besparingsskogar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44945</v>
      </c>
      <c r="E364" s="1" t="n">
        <v>46313</v>
      </c>
      <c r="F364" t="inlineStr">
        <is>
          <t>ÖSTERGÖTLANDS LÄN</t>
        </is>
      </c>
      <c r="G364" t="inlineStr">
        <is>
          <t>NORRKÖPING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44936</v>
      </c>
      <c r="E365" s="1" t="n">
        <v>46313</v>
      </c>
      <c r="F365" t="inlineStr">
        <is>
          <t>ÖSTERGÖTLANDS LÄN</t>
        </is>
      </c>
      <c r="G365" t="inlineStr">
        <is>
          <t>NORRKÖPING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46313</v>
      </c>
      <c r="F366" t="inlineStr">
        <is>
          <t>ÖSTERGÖTLANDS LÄN</t>
        </is>
      </c>
      <c r="G366" t="inlineStr">
        <is>
          <t>NORRKÖPING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46313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46313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45582</v>
      </c>
      <c r="E369" s="1" t="n">
        <v>46313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Allmännings- och besparingsskogar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45386</v>
      </c>
      <c r="E370" s="1" t="n">
        <v>46313</v>
      </c>
      <c r="F370" t="inlineStr">
        <is>
          <t>ÖSTERGÖTLANDS LÄN</t>
        </is>
      </c>
      <c r="G370" t="inlineStr">
        <is>
          <t>NORRKÖPING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45538-2025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46313</v>
      </c>
      <c r="F371" t="inlineStr">
        <is>
          <t>ÖSTERGÖTLANDS LÄN</t>
        </is>
      </c>
      <c r="G371" t="inlineStr">
        <is>
          <t>NORRKÖPING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46313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46313</v>
      </c>
      <c r="F373" t="inlineStr">
        <is>
          <t>ÖSTERGÖTLANDS LÄN</t>
        </is>
      </c>
      <c r="G373" t="inlineStr">
        <is>
          <t>NORRKÖPING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46313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46313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46313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46313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44825</v>
      </c>
      <c r="E378" s="1" t="n">
        <v>46313</v>
      </c>
      <c r="F378" t="inlineStr">
        <is>
          <t>ÖSTERGÖTLANDS LÄN</t>
        </is>
      </c>
      <c r="G378" t="inlineStr">
        <is>
          <t>NORRKÖPING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46313</v>
      </c>
      <c r="F379" t="inlineStr">
        <is>
          <t>ÖSTERGÖTLANDS LÄN</t>
        </is>
      </c>
      <c r="G379" t="inlineStr">
        <is>
          <t>NORRKÖPING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46313</v>
      </c>
      <c r="F380" t="inlineStr">
        <is>
          <t>ÖSTERGÖTLANDS LÄN</t>
        </is>
      </c>
      <c r="G380" t="inlineStr">
        <is>
          <t>NORRKÖPING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46313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16705-2023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45030</v>
      </c>
      <c r="E382" s="1" t="n">
        <v>46313</v>
      </c>
      <c r="F382" t="inlineStr">
        <is>
          <t>ÖSTERGÖTLANDS LÄN</t>
        </is>
      </c>
      <c r="G382" t="inlineStr">
        <is>
          <t>NORRKÖPING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2021-2023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44939</v>
      </c>
      <c r="E383" s="1" t="n">
        <v>46313</v>
      </c>
      <c r="F383" t="inlineStr">
        <is>
          <t>ÖSTERGÖTLANDS LÄN</t>
        </is>
      </c>
      <c r="G383" t="inlineStr">
        <is>
          <t>NORRKÖPING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46313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Allmännings- och besparingsskogar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45012</v>
      </c>
      <c r="E385" s="1" t="n">
        <v>46313</v>
      </c>
      <c r="F385" t="inlineStr">
        <is>
          <t>ÖSTERGÖTLANDS LÄN</t>
        </is>
      </c>
      <c r="G385" t="inlineStr">
        <is>
          <t>NORRKÖPING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45153</v>
      </c>
      <c r="E386" s="1" t="n">
        <v>46313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45873</v>
      </c>
      <c r="E387" s="1" t="n">
        <v>46313</v>
      </c>
      <c r="F387" t="inlineStr">
        <is>
          <t>ÖSTERGÖTLANDS LÄN</t>
        </is>
      </c>
      <c r="G387" t="inlineStr">
        <is>
          <t>NORRKÖPING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8426-2025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45709</v>
      </c>
      <c r="E388" s="1" t="n">
        <v>46313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45943</v>
      </c>
      <c r="E389" s="1" t="n">
        <v>46313</v>
      </c>
      <c r="F389" t="inlineStr">
        <is>
          <t>ÖSTERGÖTLANDS LÄN</t>
        </is>
      </c>
      <c r="G389" t="inlineStr">
        <is>
          <t>NORRKÖPING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50960-2022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46313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Allmännings- och besparingsskogar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45373</v>
      </c>
      <c r="E391" s="1" t="n">
        <v>46313</v>
      </c>
      <c r="F391" t="inlineStr">
        <is>
          <t>ÖSTERGÖTLANDS LÄN</t>
        </is>
      </c>
      <c r="G391" t="inlineStr">
        <is>
          <t>NORRKÖPING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9201-2023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44980</v>
      </c>
      <c r="E392" s="1" t="n">
        <v>46313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15177-2023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45016</v>
      </c>
      <c r="E393" s="1" t="n">
        <v>46313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45254</v>
      </c>
      <c r="E394" s="1" t="n">
        <v>46313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45742</v>
      </c>
      <c r="E395" s="1" t="n">
        <v>46313</v>
      </c>
      <c r="F395" t="inlineStr">
        <is>
          <t>ÖSTERGÖTLANDS LÄN</t>
        </is>
      </c>
      <c r="G395" t="inlineStr">
        <is>
          <t>NORRKÖPING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45497</v>
      </c>
      <c r="E396" s="1" t="n">
        <v>46313</v>
      </c>
      <c r="F396" t="inlineStr">
        <is>
          <t>ÖSTERGÖTLANDS LÄN</t>
        </is>
      </c>
      <c r="G396" t="inlineStr">
        <is>
          <t>NORRKÖPING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44861</v>
      </c>
      <c r="E397" s="1" t="n">
        <v>46313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7709-2022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44607</v>
      </c>
      <c r="E398" s="1" t="n">
        <v>46313</v>
      </c>
      <c r="F398" t="inlineStr">
        <is>
          <t>ÖSTERGÖTLANDS LÄN</t>
        </is>
      </c>
      <c r="G398" t="inlineStr">
        <is>
          <t>NORRKÖPING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57405-2024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45629</v>
      </c>
      <c r="E399" s="1" t="n">
        <v>46313</v>
      </c>
      <c r="F399" t="inlineStr">
        <is>
          <t>ÖSTERGÖTLANDS LÄN</t>
        </is>
      </c>
      <c r="G399" t="inlineStr">
        <is>
          <t>NORRKÖPING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45716</v>
      </c>
      <c r="E400" s="1" t="n">
        <v>46313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46313</v>
      </c>
      <c r="F401" t="inlineStr">
        <is>
          <t>ÖSTERGÖTLANDS LÄN</t>
        </is>
      </c>
      <c r="G401" t="inlineStr">
        <is>
          <t>NORRKÖPING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46313</v>
      </c>
      <c r="F402" t="inlineStr">
        <is>
          <t>ÖSTERGÖTLANDS LÄN</t>
        </is>
      </c>
      <c r="G402" t="inlineStr">
        <is>
          <t>NORRKÖPING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46313</v>
      </c>
      <c r="F403" t="inlineStr">
        <is>
          <t>ÖSTERGÖTLANDS LÄN</t>
        </is>
      </c>
      <c r="G403" t="inlineStr">
        <is>
          <t>NORRKÖPING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46313</v>
      </c>
      <c r="F404" t="inlineStr">
        <is>
          <t>ÖSTERGÖTLANDS LÄN</t>
        </is>
      </c>
      <c r="G404" t="inlineStr">
        <is>
          <t>NORRKÖPING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20356-2024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45435</v>
      </c>
      <c r="E405" s="1" t="n">
        <v>46313</v>
      </c>
      <c r="F405" t="inlineStr">
        <is>
          <t>ÖSTERGÖTLANDS LÄN</t>
        </is>
      </c>
      <c r="G405" t="inlineStr">
        <is>
          <t>NORRKÖPING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8517-2023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44977</v>
      </c>
      <c r="E406" s="1" t="n">
        <v>46313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53702-2025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45960</v>
      </c>
      <c r="E407" s="1" t="n">
        <v>46313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46313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53694-2025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46313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53881-2025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45961</v>
      </c>
      <c r="E410" s="1" t="n">
        <v>46313</v>
      </c>
      <c r="F410" t="inlineStr">
        <is>
          <t>ÖSTERGÖTLANDS LÄN</t>
        </is>
      </c>
      <c r="G410" t="inlineStr">
        <is>
          <t>NORRKÖPING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45114</v>
      </c>
      <c r="E411" s="1" t="n">
        <v>46313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11344-2022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44630</v>
      </c>
      <c r="E412" s="1" t="n">
        <v>46313</v>
      </c>
      <c r="F412" t="inlineStr">
        <is>
          <t>ÖSTERGÖTLANDS LÄN</t>
        </is>
      </c>
      <c r="G412" t="inlineStr">
        <is>
          <t>NORRKÖPING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14031-2023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45008</v>
      </c>
      <c r="E413" s="1" t="n">
        <v>46313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32574-2022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44783</v>
      </c>
      <c r="E414" s="1" t="n">
        <v>46313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46313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10791-2024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45369</v>
      </c>
      <c r="E416" s="1" t="n">
        <v>46313</v>
      </c>
      <c r="F416" t="inlineStr">
        <is>
          <t>ÖSTERGÖTLANDS LÄN</t>
        </is>
      </c>
      <c r="G416" t="inlineStr">
        <is>
          <t>NORRKÖPING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23051-2022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44719</v>
      </c>
      <c r="E417" s="1" t="n">
        <v>46313</v>
      </c>
      <c r="F417" t="inlineStr">
        <is>
          <t>ÖSTERGÖTLANDS LÄN</t>
        </is>
      </c>
      <c r="G417" t="inlineStr">
        <is>
          <t>NORRKÖPING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14503-2023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45012</v>
      </c>
      <c r="E418" s="1" t="n">
        <v>46313</v>
      </c>
      <c r="F418" t="inlineStr">
        <is>
          <t>ÖSTERGÖTLANDS LÄN</t>
        </is>
      </c>
      <c r="G418" t="inlineStr">
        <is>
          <t>NORRKÖPING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46313</v>
      </c>
      <c r="F419" t="inlineStr">
        <is>
          <t>ÖSTERGÖTLANDS LÄN</t>
        </is>
      </c>
      <c r="G419" t="inlineStr">
        <is>
          <t>NORRKÖPING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45310</v>
      </c>
      <c r="E420" s="1" t="n">
        <v>46313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45976</v>
      </c>
      <c r="E421" s="1" t="n">
        <v>46313</v>
      </c>
      <c r="F421" t="inlineStr">
        <is>
          <t>ÖSTERGÖTLANDS LÄN</t>
        </is>
      </c>
      <c r="G421" t="inlineStr">
        <is>
          <t>NORRKÖPING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46313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46313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45490</v>
      </c>
      <c r="E424" s="1" t="n">
        <v>46313</v>
      </c>
      <c r="F424" t="inlineStr">
        <is>
          <t>ÖSTERGÖTLANDS LÄN</t>
        </is>
      </c>
      <c r="G424" t="inlineStr">
        <is>
          <t>NORRKÖPING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46313</v>
      </c>
      <c r="F425" t="inlineStr">
        <is>
          <t>ÖSTERGÖTLANDS LÄN</t>
        </is>
      </c>
      <c r="G425" t="inlineStr">
        <is>
          <t>NORRKÖPING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45370</v>
      </c>
      <c r="E426" s="1" t="n">
        <v>46313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36887-2022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44805</v>
      </c>
      <c r="E427" s="1" t="n">
        <v>46313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Allmännings- och besparingsskogar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59580-2022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44907</v>
      </c>
      <c r="E428" s="1" t="n">
        <v>46313</v>
      </c>
      <c r="F428" t="inlineStr">
        <is>
          <t>ÖSTERGÖTLANDS LÄN</t>
        </is>
      </c>
      <c r="G428" t="inlineStr">
        <is>
          <t>NORRKÖPING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46313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45121</v>
      </c>
      <c r="E430" s="1" t="n">
        <v>46313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46313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46313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46313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46313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19739-2024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45432</v>
      </c>
      <c r="E435" s="1" t="n">
        <v>46313</v>
      </c>
      <c r="F435" t="inlineStr">
        <is>
          <t>ÖSTERGÖTLANDS LÄN</t>
        </is>
      </c>
      <c r="G435" t="inlineStr">
        <is>
          <t>NORRKÖPING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46313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44767</v>
      </c>
      <c r="E437" s="1" t="n">
        <v>46313</v>
      </c>
      <c r="F437" t="inlineStr">
        <is>
          <t>ÖSTERGÖTLANDS LÄN</t>
        </is>
      </c>
      <c r="G437" t="inlineStr">
        <is>
          <t>NORRKÖPING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39223-2025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45889</v>
      </c>
      <c r="E438" s="1" t="n">
        <v>46313</v>
      </c>
      <c r="F438" t="inlineStr">
        <is>
          <t>ÖSTERGÖTLANDS LÄN</t>
        </is>
      </c>
      <c r="G438" t="inlineStr">
        <is>
          <t>NORRKÖPING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22956-2023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45072</v>
      </c>
      <c r="E439" s="1" t="n">
        <v>46313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46313</v>
      </c>
      <c r="F440" t="inlineStr">
        <is>
          <t>ÖSTERGÖTLANDS LÄN</t>
        </is>
      </c>
      <c r="G440" t="inlineStr">
        <is>
          <t>NORRKÖPING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47477-2022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44853</v>
      </c>
      <c r="E441" s="1" t="n">
        <v>46313</v>
      </c>
      <c r="F441" t="inlineStr">
        <is>
          <t>ÖSTERGÖTLANDS LÄN</t>
        </is>
      </c>
      <c r="G441" t="inlineStr">
        <is>
          <t>NORRKÖPING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57380-2024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45629</v>
      </c>
      <c r="E442" s="1" t="n">
        <v>46313</v>
      </c>
      <c r="F442" t="inlineStr">
        <is>
          <t>ÖSTERGÖTLANDS LÄN</t>
        </is>
      </c>
      <c r="G442" t="inlineStr">
        <is>
          <t>NORRKÖPING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46313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45478</v>
      </c>
      <c r="E444" s="1" t="n">
        <v>46313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11767-2025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46313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25981-2023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45090</v>
      </c>
      <c r="E446" s="1" t="n">
        <v>46313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46061</v>
      </c>
      <c r="E447" s="1" t="n">
        <v>46313</v>
      </c>
      <c r="F447" t="inlineStr">
        <is>
          <t>ÖSTERGÖTLANDS LÄN</t>
        </is>
      </c>
      <c r="G447" t="inlineStr">
        <is>
          <t>NORRKÖPING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46313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44936</v>
      </c>
      <c r="E449" s="1" t="n">
        <v>46313</v>
      </c>
      <c r="F449" t="inlineStr">
        <is>
          <t>ÖSTERGÖTLANDS LÄN</t>
        </is>
      </c>
      <c r="G449" t="inlineStr">
        <is>
          <t>NORRKÖPING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45205</v>
      </c>
      <c r="E450" s="1" t="n">
        <v>46313</v>
      </c>
      <c r="F450" t="inlineStr">
        <is>
          <t>ÖSTERGÖTLANDS LÄN</t>
        </is>
      </c>
      <c r="G450" t="inlineStr">
        <is>
          <t>NORRKÖPING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22319-2024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45446</v>
      </c>
      <c r="E451" s="1" t="n">
        <v>46313</v>
      </c>
      <c r="F451" t="inlineStr">
        <is>
          <t>ÖSTERGÖTLANDS LÄN</t>
        </is>
      </c>
      <c r="G451" t="inlineStr">
        <is>
          <t>NORRKÖPING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45446</v>
      </c>
      <c r="E452" s="1" t="n">
        <v>46313</v>
      </c>
      <c r="F452" t="inlineStr">
        <is>
          <t>ÖSTERGÖTLANDS LÄN</t>
        </is>
      </c>
      <c r="G452" t="inlineStr">
        <is>
          <t>NORRKÖPING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46313</v>
      </c>
      <c r="F453" t="inlineStr">
        <is>
          <t>ÖSTERGÖTLANDS LÄN</t>
        </is>
      </c>
      <c r="G453" t="inlineStr">
        <is>
          <t>NORRKÖPING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26388-2023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46313</v>
      </c>
      <c r="F454" t="inlineStr">
        <is>
          <t>ÖSTERGÖTLANDS LÄN</t>
        </is>
      </c>
      <c r="G454" t="inlineStr">
        <is>
          <t>NORRKÖPING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45278</v>
      </c>
      <c r="E455" s="1" t="n">
        <v>46313</v>
      </c>
      <c r="F455" t="inlineStr">
        <is>
          <t>ÖSTERGÖTLANDS LÄN</t>
        </is>
      </c>
      <c r="G455" t="inlineStr">
        <is>
          <t>NORRKÖPING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62370-2025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46313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46313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45030</v>
      </c>
      <c r="E458" s="1" t="n">
        <v>46313</v>
      </c>
      <c r="F458" t="inlineStr">
        <is>
          <t>ÖSTERGÖTLANDS LÄN</t>
        </is>
      </c>
      <c r="G458" t="inlineStr">
        <is>
          <t>NORRKÖPING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15082-2024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45399</v>
      </c>
      <c r="E459" s="1" t="n">
        <v>46313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46313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46313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46313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46006</v>
      </c>
      <c r="E463" s="1" t="n">
        <v>46313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38874-2024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45547</v>
      </c>
      <c r="E464" s="1" t="n">
        <v>46313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Allmännings- och besparingsskogar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37700-2023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45159</v>
      </c>
      <c r="E465" s="1" t="n">
        <v>46313</v>
      </c>
      <c r="F465" t="inlineStr">
        <is>
          <t>ÖSTERGÖTLANDS LÄN</t>
        </is>
      </c>
      <c r="G465" t="inlineStr">
        <is>
          <t>NORRKÖPING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46313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45699</v>
      </c>
      <c r="E467" s="1" t="n">
        <v>46313</v>
      </c>
      <c r="F467" t="inlineStr">
        <is>
          <t>ÖSTERGÖTLANDS LÄN</t>
        </is>
      </c>
      <c r="G467" t="inlineStr">
        <is>
          <t>NORRKÖPING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45699</v>
      </c>
      <c r="E468" s="1" t="n">
        <v>46313</v>
      </c>
      <c r="F468" t="inlineStr">
        <is>
          <t>ÖSTERGÖTLANDS LÄN</t>
        </is>
      </c>
      <c r="G468" t="inlineStr">
        <is>
          <t>NORRKÖPING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44910</v>
      </c>
      <c r="E469" s="1" t="n">
        <v>46313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44928</v>
      </c>
      <c r="E470" s="1" t="n">
        <v>46313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63168-2025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46313</v>
      </c>
      <c r="F471" t="inlineStr">
        <is>
          <t>ÖSTERGÖTLANDS LÄN</t>
        </is>
      </c>
      <c r="G471" t="inlineStr">
        <is>
          <t>NORRKÖPING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45637</v>
      </c>
      <c r="E472" s="1" t="n">
        <v>46313</v>
      </c>
      <c r="F472" t="inlineStr">
        <is>
          <t>ÖSTERGÖTLANDS LÄN</t>
        </is>
      </c>
      <c r="G472" t="inlineStr">
        <is>
          <t>NORRKÖPING</t>
        </is>
      </c>
      <c r="I472" t="n">
        <v>24.7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63229-2025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46313</v>
      </c>
      <c r="F473" t="inlineStr">
        <is>
          <t>ÖSTERGÖTLANDS LÄN</t>
        </is>
      </c>
      <c r="G473" t="inlineStr">
        <is>
          <t>NORRKÖPING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31653-2023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46313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63165-2025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46313</v>
      </c>
      <c r="F475" t="inlineStr">
        <is>
          <t>ÖSTERGÖTLANDS LÄN</t>
        </is>
      </c>
      <c r="G475" t="inlineStr">
        <is>
          <t>NORRKÖPING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63241-2025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46313</v>
      </c>
      <c r="F476" t="inlineStr">
        <is>
          <t>ÖSTERGÖTLANDS LÄN</t>
        </is>
      </c>
      <c r="G476" t="inlineStr">
        <is>
          <t>NORRKÖPING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45678</v>
      </c>
      <c r="E477" s="1" t="n">
        <v>46313</v>
      </c>
      <c r="F477" t="inlineStr">
        <is>
          <t>ÖSTERGÖTLANDS LÄN</t>
        </is>
      </c>
      <c r="G477" t="inlineStr">
        <is>
          <t>NORRKÖPING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14901-2023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45014</v>
      </c>
      <c r="E478" s="1" t="n">
        <v>46313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62028-2023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45266</v>
      </c>
      <c r="E479" s="1" t="n">
        <v>46313</v>
      </c>
      <c r="F479" t="inlineStr">
        <is>
          <t>ÖSTERGÖTLANDS LÄN</t>
        </is>
      </c>
      <c r="G479" t="inlineStr">
        <is>
          <t>NORRKÖPING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46313</v>
      </c>
      <c r="F480" t="inlineStr">
        <is>
          <t>ÖSTERGÖTLANDS LÄN</t>
        </is>
      </c>
      <c r="G480" t="inlineStr">
        <is>
          <t>NORRKÖPING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19260-2023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46313</v>
      </c>
      <c r="F481" t="inlineStr">
        <is>
          <t>ÖSTERGÖTLANDS LÄN</t>
        </is>
      </c>
      <c r="G481" t="inlineStr">
        <is>
          <t>NORRKÖPING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62033-2023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45266</v>
      </c>
      <c r="E482" s="1" t="n">
        <v>46313</v>
      </c>
      <c r="F482" t="inlineStr">
        <is>
          <t>ÖSTERGÖTLANDS LÄN</t>
        </is>
      </c>
      <c r="G482" t="inlineStr">
        <is>
          <t>NORRKÖPING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46030</v>
      </c>
      <c r="E483" s="1" t="n">
        <v>46313</v>
      </c>
      <c r="F483" t="inlineStr">
        <is>
          <t>ÖSTERGÖTLANDS LÄN</t>
        </is>
      </c>
      <c r="G483" t="inlineStr">
        <is>
          <t>NORRKÖPING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55063-2023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45237</v>
      </c>
      <c r="E484" s="1" t="n">
        <v>46313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Kyrkan</t>
        </is>
      </c>
      <c r="I484" t="n">
        <v>9.699999999999999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63944-2025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46010</v>
      </c>
      <c r="E485" s="1" t="n">
        <v>46313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11.6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8220-2023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46313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46313</v>
      </c>
      <c r="F487" t="inlineStr">
        <is>
          <t>ÖSTERGÖTLANDS LÄN</t>
        </is>
      </c>
      <c r="G487" t="inlineStr">
        <is>
          <t>NORRKÖPING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44965</v>
      </c>
      <c r="E488" s="1" t="n">
        <v>46313</v>
      </c>
      <c r="F488" t="inlineStr">
        <is>
          <t>ÖSTERGÖTLANDS LÄN</t>
        </is>
      </c>
      <c r="G488" t="inlineStr">
        <is>
          <t>NORRKÖPING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46313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Allmännings- och besparingsskogar</t>
        </is>
      </c>
      <c r="I489" t="n">
        <v>12.4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46037</v>
      </c>
      <c r="E490" s="1" t="n">
        <v>46313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46313</v>
      </c>
      <c r="F491" t="inlineStr">
        <is>
          <t>ÖSTERGÖTLANDS LÄN</t>
        </is>
      </c>
      <c r="G491" t="inlineStr">
        <is>
          <t>NORRKÖPING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46041</v>
      </c>
      <c r="E492" s="1" t="n">
        <v>46313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Kommuner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25690-2026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46313</v>
      </c>
      <c r="F493" t="inlineStr">
        <is>
          <t>ÖSTERGÖTLANDS LÄN</t>
        </is>
      </c>
      <c r="G493" t="inlineStr">
        <is>
          <t>NORRKÖPING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46313</v>
      </c>
      <c r="F494" t="inlineStr">
        <is>
          <t>ÖSTERGÖTLANDS LÄN</t>
        </is>
      </c>
      <c r="G494" t="inlineStr">
        <is>
          <t>NORRKÖPING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46038</v>
      </c>
      <c r="E495" s="1" t="n">
        <v>46313</v>
      </c>
      <c r="F495" t="inlineStr">
        <is>
          <t>ÖSTERGÖTLANDS LÄN</t>
        </is>
      </c>
      <c r="G495" t="inlineStr">
        <is>
          <t>NORRKÖPING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46042</v>
      </c>
      <c r="E496" s="1" t="n">
        <v>46313</v>
      </c>
      <c r="F496" t="inlineStr">
        <is>
          <t>ÖSTERGÖTLANDS LÄN</t>
        </is>
      </c>
      <c r="G496" t="inlineStr">
        <is>
          <t>NORRKÖPING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46178</v>
      </c>
      <c r="E497" s="1" t="n">
        <v>46313</v>
      </c>
      <c r="F497" t="inlineStr">
        <is>
          <t>ÖSTERGÖTLANDS LÄN</t>
        </is>
      </c>
      <c r="G497" t="inlineStr">
        <is>
          <t>NORRKÖPING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46042</v>
      </c>
      <c r="E498" s="1" t="n">
        <v>46313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43322-2022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44834</v>
      </c>
      <c r="E499" s="1" t="n">
        <v>46313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46313</v>
      </c>
      <c r="F500" t="inlineStr">
        <is>
          <t>ÖSTERGÖTLANDS LÄN</t>
        </is>
      </c>
      <c r="G500" t="inlineStr">
        <is>
          <t>NORRKÖPING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46178</v>
      </c>
      <c r="E501" s="1" t="n">
        <v>46313</v>
      </c>
      <c r="F501" t="inlineStr">
        <is>
          <t>ÖSTERGÖTLANDS LÄN</t>
        </is>
      </c>
      <c r="G501" t="inlineStr">
        <is>
          <t>NORRKÖPING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46042</v>
      </c>
      <c r="E502" s="1" t="n">
        <v>46313</v>
      </c>
      <c r="F502" t="inlineStr">
        <is>
          <t>ÖSTERGÖTLANDS LÄN</t>
        </is>
      </c>
      <c r="G502" t="inlineStr">
        <is>
          <t>NORRKÖPING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25687-2026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46313</v>
      </c>
      <c r="F503" t="inlineStr">
        <is>
          <t>ÖSTERGÖTLANDS LÄN</t>
        </is>
      </c>
      <c r="G503" t="inlineStr">
        <is>
          <t>NORRKÖPING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44596</v>
      </c>
      <c r="E504" s="1" t="n">
        <v>46313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Allmännings- och besparingsskogar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46313</v>
      </c>
      <c r="F505" t="inlineStr">
        <is>
          <t>ÖSTERGÖTLANDS LÄN</t>
        </is>
      </c>
      <c r="G505" t="inlineStr">
        <is>
          <t>NORRKÖPING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46313</v>
      </c>
      <c r="F506" t="inlineStr">
        <is>
          <t>ÖSTERGÖTLANDS LÄN</t>
        </is>
      </c>
      <c r="G506" t="inlineStr">
        <is>
          <t>NORRKÖPING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46313</v>
      </c>
      <c r="F507" t="inlineStr">
        <is>
          <t>ÖSTERGÖTLANDS LÄN</t>
        </is>
      </c>
      <c r="G507" t="inlineStr">
        <is>
          <t>NORRKÖPING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46046</v>
      </c>
      <c r="E508" s="1" t="n">
        <v>46313</v>
      </c>
      <c r="F508" t="inlineStr">
        <is>
          <t>ÖSTERGÖTLANDS LÄN</t>
        </is>
      </c>
      <c r="G508" t="inlineStr">
        <is>
          <t>NORRKÖPING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46046</v>
      </c>
      <c r="E509" s="1" t="n">
        <v>46313</v>
      </c>
      <c r="F509" t="inlineStr">
        <is>
          <t>ÖSTERGÖTLANDS LÄN</t>
        </is>
      </c>
      <c r="G509" t="inlineStr">
        <is>
          <t>NORRKÖPING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46313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45771</v>
      </c>
      <c r="E511" s="1" t="n">
        <v>46313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38441-2024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45546</v>
      </c>
      <c r="E512" s="1" t="n">
        <v>46313</v>
      </c>
      <c r="F512" t="inlineStr">
        <is>
          <t>ÖSTERGÖTLANDS LÄN</t>
        </is>
      </c>
      <c r="G512" t="inlineStr">
        <is>
          <t>NORRKÖPING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53278-2023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45229</v>
      </c>
      <c r="E513" s="1" t="n">
        <v>46313</v>
      </c>
      <c r="F513" t="inlineStr">
        <is>
          <t>ÖSTERGÖTLANDS LÄN</t>
        </is>
      </c>
      <c r="G513" t="inlineStr">
        <is>
          <t>NORRKÖPING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46313</v>
      </c>
      <c r="F514" t="inlineStr">
        <is>
          <t>ÖSTERGÖTLANDS LÄN</t>
        </is>
      </c>
      <c r="G514" t="inlineStr">
        <is>
          <t>NORRKÖPING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46313</v>
      </c>
      <c r="F515" t="inlineStr">
        <is>
          <t>ÖSTERGÖTLANDS LÄN</t>
        </is>
      </c>
      <c r="G515" t="inlineStr">
        <is>
          <t>NORRKÖPING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45030</v>
      </c>
      <c r="E516" s="1" t="n">
        <v>46313</v>
      </c>
      <c r="F516" t="inlineStr">
        <is>
          <t>ÖSTERGÖTLANDS LÄN</t>
        </is>
      </c>
      <c r="G516" t="inlineStr">
        <is>
          <t>NORRKÖPING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46313</v>
      </c>
      <c r="F517" t="inlineStr">
        <is>
          <t>ÖSTERGÖTLANDS LÄN</t>
        </is>
      </c>
      <c r="G517" t="inlineStr">
        <is>
          <t>NORRKÖPING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46182</v>
      </c>
      <c r="E518" s="1" t="n">
        <v>46313</v>
      </c>
      <c r="F518" t="inlineStr">
        <is>
          <t>ÖSTERGÖTLANDS LÄN</t>
        </is>
      </c>
      <c r="G518" t="inlineStr">
        <is>
          <t>NORRKÖPING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46313</v>
      </c>
      <c r="F519" t="inlineStr">
        <is>
          <t>ÖSTERGÖTLANDS LÄN</t>
        </is>
      </c>
      <c r="G519" t="inlineStr">
        <is>
          <t>NORRKÖPING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45188</v>
      </c>
      <c r="E520" s="1" t="n">
        <v>46313</v>
      </c>
      <c r="F520" t="inlineStr">
        <is>
          <t>ÖSTERGÖTLANDS LÄN</t>
        </is>
      </c>
      <c r="G520" t="inlineStr">
        <is>
          <t>NORRKÖPING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46313</v>
      </c>
      <c r="F521" t="inlineStr">
        <is>
          <t>ÖSTERGÖTLANDS LÄN</t>
        </is>
      </c>
      <c r="G521" t="inlineStr">
        <is>
          <t>NORRKÖPING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45268</v>
      </c>
      <c r="E522" s="1" t="n">
        <v>46313</v>
      </c>
      <c r="F522" t="inlineStr">
        <is>
          <t>ÖSTERGÖTLANDS LÄN</t>
        </is>
      </c>
      <c r="G522" t="inlineStr">
        <is>
          <t>NORRKÖPING</t>
        </is>
      </c>
      <c r="I522" t="n">
        <v>12.5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39232-2024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45550</v>
      </c>
      <c r="E523" s="1" t="n">
        <v>46313</v>
      </c>
      <c r="F523" t="inlineStr">
        <is>
          <t>ÖSTERGÖTLANDS LÄN</t>
        </is>
      </c>
      <c r="G523" t="inlineStr">
        <is>
          <t>NORRKÖPING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46313</v>
      </c>
      <c r="F524" t="inlineStr">
        <is>
          <t>ÖSTERGÖTLANDS LÄN</t>
        </is>
      </c>
      <c r="G524" t="inlineStr">
        <is>
          <t>NORRKÖPING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19853-2023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45053</v>
      </c>
      <c r="E525" s="1" t="n">
        <v>46313</v>
      </c>
      <c r="F525" t="inlineStr">
        <is>
          <t>ÖSTERGÖTLANDS LÄN</t>
        </is>
      </c>
      <c r="G525" t="inlineStr">
        <is>
          <t>NORRKÖPING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49060-2022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44860</v>
      </c>
      <c r="E526" s="1" t="n">
        <v>46313</v>
      </c>
      <c r="F526" t="inlineStr">
        <is>
          <t>ÖSTERGÖTLANDS LÄN</t>
        </is>
      </c>
      <c r="G526" t="inlineStr">
        <is>
          <t>NORRKÖPING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46313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44597</v>
      </c>
      <c r="E528" s="1" t="n">
        <v>46313</v>
      </c>
      <c r="F528" t="inlineStr">
        <is>
          <t>ÖSTERGÖTLANDS LÄN</t>
        </is>
      </c>
      <c r="G528" t="inlineStr">
        <is>
          <t>NORRKÖPING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14899-2023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45014</v>
      </c>
      <c r="E529" s="1" t="n">
        <v>46313</v>
      </c>
      <c r="F529" t="inlineStr">
        <is>
          <t>ÖSTERGÖTLANDS LÄN</t>
        </is>
      </c>
      <c r="G529" t="inlineStr">
        <is>
          <t>NORRKÖPING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44936</v>
      </c>
      <c r="E530" s="1" t="n">
        <v>46313</v>
      </c>
      <c r="F530" t="inlineStr">
        <is>
          <t>ÖSTERGÖTLANDS LÄN</t>
        </is>
      </c>
      <c r="G530" t="inlineStr">
        <is>
          <t>NORRKÖPING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46313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27119-2026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46313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9787-2026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46072</v>
      </c>
      <c r="E533" s="1" t="n">
        <v>46313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Kyrkan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4127-2022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44588</v>
      </c>
      <c r="E534" s="1" t="n">
        <v>46313</v>
      </c>
      <c r="F534" t="inlineStr">
        <is>
          <t>ÖSTERGÖTLANDS LÄN</t>
        </is>
      </c>
      <c r="G534" t="inlineStr">
        <is>
          <t>NORRKÖPING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46313</v>
      </c>
      <c r="F535" t="inlineStr">
        <is>
          <t>ÖSTERGÖTLANDS LÄN</t>
        </is>
      </c>
      <c r="G535" t="inlineStr">
        <is>
          <t>NORRKÖPING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10261-2026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46076</v>
      </c>
      <c r="E536" s="1" t="n">
        <v>46313</v>
      </c>
      <c r="F536" t="inlineStr">
        <is>
          <t>ÖSTERGÖTLANDS LÄN</t>
        </is>
      </c>
      <c r="G536" t="inlineStr">
        <is>
          <t>NORRKÖPING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26999-2026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46313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11031-2026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46313</v>
      </c>
      <c r="F538" t="inlineStr">
        <is>
          <t>ÖSTERGÖTLANDS LÄN</t>
        </is>
      </c>
      <c r="G538" t="inlineStr">
        <is>
          <t>NORRKÖPING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59768-2021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44494</v>
      </c>
      <c r="E539" s="1" t="n">
        <v>46313</v>
      </c>
      <c r="F539" t="inlineStr">
        <is>
          <t>ÖSTERGÖTLANDS LÄN</t>
        </is>
      </c>
      <c r="G539" t="inlineStr">
        <is>
          <t>NORRKÖPING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46313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45274</v>
      </c>
      <c r="E541" s="1" t="n">
        <v>46313</v>
      </c>
      <c r="F541" t="inlineStr">
        <is>
          <t>ÖSTERGÖTLANDS LÄN</t>
        </is>
      </c>
      <c r="G541" t="inlineStr">
        <is>
          <t>NORRKÖPING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46313</v>
      </c>
      <c r="F542" t="inlineStr">
        <is>
          <t>ÖSTERGÖTLANDS LÄN</t>
        </is>
      </c>
      <c r="G542" t="inlineStr">
        <is>
          <t>NORRKÖPING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26085-2026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46313</v>
      </c>
      <c r="F543" t="inlineStr">
        <is>
          <t>ÖSTERGÖTLANDS LÄN</t>
        </is>
      </c>
      <c r="G543" t="inlineStr">
        <is>
          <t>NORRKÖPING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40816-2024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45558</v>
      </c>
      <c r="E544" s="1" t="n">
        <v>46313</v>
      </c>
      <c r="F544" t="inlineStr">
        <is>
          <t>ÖSTERGÖTLANDS LÄN</t>
        </is>
      </c>
      <c r="G544" t="inlineStr">
        <is>
          <t>NORRKÖPING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9806-2026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46313</v>
      </c>
      <c r="F545" t="inlineStr">
        <is>
          <t>ÖSTERGÖTLANDS LÄN</t>
        </is>
      </c>
      <c r="G545" t="inlineStr">
        <is>
          <t>NORRKÖPING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48786-2022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44859</v>
      </c>
      <c r="E546" s="1" t="n">
        <v>46313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46313</v>
      </c>
      <c r="F547" t="inlineStr">
        <is>
          <t>ÖSTERGÖTLANDS LÄN</t>
        </is>
      </c>
      <c r="G547" t="inlineStr">
        <is>
          <t>NORRKÖPING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46313</v>
      </c>
      <c r="F548" t="inlineStr">
        <is>
          <t>ÖSTERGÖTLANDS LÄN</t>
        </is>
      </c>
      <c r="G548" t="inlineStr">
        <is>
          <t>NORRKÖPING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13330-2026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46313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46313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46313</v>
      </c>
      <c r="F551" t="inlineStr">
        <is>
          <t>ÖSTERGÖTLANDS LÄN</t>
        </is>
      </c>
      <c r="G551" t="inlineStr">
        <is>
          <t>NORRKÖPING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46313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13091-2026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46313</v>
      </c>
      <c r="F553" t="inlineStr">
        <is>
          <t>ÖSTERGÖTLANDS LÄN</t>
        </is>
      </c>
      <c r="G553" t="inlineStr">
        <is>
          <t>NORRKÖPING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5938-2024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45336</v>
      </c>
      <c r="E554" s="1" t="n">
        <v>46313</v>
      </c>
      <c r="F554" t="inlineStr">
        <is>
          <t>ÖSTERGÖTLANDS LÄN</t>
        </is>
      </c>
      <c r="G554" t="inlineStr">
        <is>
          <t>NORRKÖPING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44582</v>
      </c>
      <c r="E555" s="1" t="n">
        <v>46313</v>
      </c>
      <c r="F555" t="inlineStr">
        <is>
          <t>ÖSTERGÖTLANDS LÄN</t>
        </is>
      </c>
      <c r="G555" t="inlineStr">
        <is>
          <t>NORRKÖPING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21767-2024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45442</v>
      </c>
      <c r="E556" s="1" t="n">
        <v>46313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43344-2023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45183</v>
      </c>
      <c r="E557" s="1" t="n">
        <v>46313</v>
      </c>
      <c r="F557" t="inlineStr">
        <is>
          <t>ÖSTERGÖTLANDS LÄN</t>
        </is>
      </c>
      <c r="G557" t="inlineStr">
        <is>
          <t>NORRKÖPING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43346-2023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45183</v>
      </c>
      <c r="E558" s="1" t="n">
        <v>46313</v>
      </c>
      <c r="F558" t="inlineStr">
        <is>
          <t>ÖSTERGÖTLANDS LÄN</t>
        </is>
      </c>
      <c r="G558" t="inlineStr">
        <is>
          <t>NORRKÖPING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45043</v>
      </c>
      <c r="E559" s="1" t="n">
        <v>46313</v>
      </c>
      <c r="F559" t="inlineStr">
        <is>
          <t>ÖSTERGÖTLANDS LÄN</t>
        </is>
      </c>
      <c r="G559" t="inlineStr">
        <is>
          <t>NORRKÖPING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31801-2024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45509</v>
      </c>
      <c r="E560" s="1" t="n">
        <v>46313</v>
      </c>
      <c r="F560" t="inlineStr">
        <is>
          <t>ÖSTERGÖTLANDS LÄN</t>
        </is>
      </c>
      <c r="G560" t="inlineStr">
        <is>
          <t>NORRKÖPING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46101</v>
      </c>
      <c r="E561" s="1" t="n">
        <v>46313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46313</v>
      </c>
      <c r="F562" t="inlineStr">
        <is>
          <t>ÖSTERGÖTLANDS LÄN</t>
        </is>
      </c>
      <c r="G562" t="inlineStr">
        <is>
          <t>NORRKÖPING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24018-2025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45796</v>
      </c>
      <c r="E563" s="1" t="n">
        <v>46313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14645-2026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46313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46313</v>
      </c>
      <c r="F565" t="inlineStr">
        <is>
          <t>ÖSTERGÖTLANDS LÄN</t>
        </is>
      </c>
      <c r="G565" t="inlineStr">
        <is>
          <t>NORRKÖPING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45145</v>
      </c>
      <c r="E566" s="1" t="n">
        <v>46313</v>
      </c>
      <c r="F566" t="inlineStr">
        <is>
          <t>ÖSTERGÖTLANDS LÄN</t>
        </is>
      </c>
      <c r="G566" t="inlineStr">
        <is>
          <t>NORRKÖPING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46313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46313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28255-2026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46196</v>
      </c>
      <c r="E569" s="1" t="n">
        <v>46313</v>
      </c>
      <c r="F569" t="inlineStr">
        <is>
          <t>ÖSTERGÖTLANDS LÄN</t>
        </is>
      </c>
      <c r="G569" t="inlineStr">
        <is>
          <t>NORRKÖPING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46196</v>
      </c>
      <c r="E570" s="1" t="n">
        <v>46313</v>
      </c>
      <c r="F570" t="inlineStr">
        <is>
          <t>ÖSTERGÖTLANDS LÄN</t>
        </is>
      </c>
      <c r="G570" t="inlineStr">
        <is>
          <t>NORRKÖPING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50119-2023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45215</v>
      </c>
      <c r="E571" s="1" t="n">
        <v>46313</v>
      </c>
      <c r="F571" t="inlineStr">
        <is>
          <t>ÖSTERGÖTLANDS LÄN</t>
        </is>
      </c>
      <c r="G571" t="inlineStr">
        <is>
          <t>NORRKÖPING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16083-2026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46313</v>
      </c>
      <c r="F572" t="inlineStr">
        <is>
          <t>ÖSTERGÖTLANDS LÄN</t>
        </is>
      </c>
      <c r="G572" t="inlineStr">
        <is>
          <t>NORRKÖPING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15722-2026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46107</v>
      </c>
      <c r="E573" s="1" t="n">
        <v>46313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44936</v>
      </c>
      <c r="E574" s="1" t="n">
        <v>46313</v>
      </c>
      <c r="F574" t="inlineStr">
        <is>
          <t>ÖSTERGÖTLANDS LÄN</t>
        </is>
      </c>
      <c r="G574" t="inlineStr">
        <is>
          <t>NORRKÖPING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56331-2022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44890</v>
      </c>
      <c r="E575" s="1" t="n">
        <v>46313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45769</v>
      </c>
      <c r="E576" s="1" t="n">
        <v>46313</v>
      </c>
      <c r="F576" t="inlineStr">
        <is>
          <t>ÖSTERGÖTLANDS LÄN</t>
        </is>
      </c>
      <c r="G576" t="inlineStr">
        <is>
          <t>NORRKÖPING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14611-2023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45013</v>
      </c>
      <c r="E577" s="1" t="n">
        <v>46313</v>
      </c>
      <c r="F577" t="inlineStr">
        <is>
          <t>ÖSTERGÖTLANDS LÄN</t>
        </is>
      </c>
      <c r="G577" t="inlineStr">
        <is>
          <t>NORRKÖPING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46313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44956</v>
      </c>
      <c r="E579" s="1" t="n">
        <v>46313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46313</v>
      </c>
      <c r="F580" t="inlineStr">
        <is>
          <t>ÖSTERGÖTLANDS LÄN</t>
        </is>
      </c>
      <c r="G580" t="inlineStr">
        <is>
          <t>NORRKÖPING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28781-2026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46313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23783-2022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44721</v>
      </c>
      <c r="E582" s="1" t="n">
        <v>46313</v>
      </c>
      <c r="F582" t="inlineStr">
        <is>
          <t>ÖSTERGÖTLANDS LÄN</t>
        </is>
      </c>
      <c r="G582" t="inlineStr">
        <is>
          <t>NORRKÖPING</t>
        </is>
      </c>
      <c r="I582" t="n">
        <v>11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17453-2026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46313</v>
      </c>
      <c r="F583" t="inlineStr">
        <is>
          <t>ÖSTERGÖTLANDS LÄN</t>
        </is>
      </c>
      <c r="G583" t="inlineStr">
        <is>
          <t>NORRKÖPING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46313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17452-2026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46313</v>
      </c>
      <c r="F585" t="inlineStr">
        <is>
          <t>ÖSTERGÖTLANDS LÄN</t>
        </is>
      </c>
      <c r="G585" t="inlineStr">
        <is>
          <t>NORRKÖPING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50678-2023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45217</v>
      </c>
      <c r="E586" s="1" t="n">
        <v>46313</v>
      </c>
      <c r="F586" t="inlineStr">
        <is>
          <t>ÖSTERGÖTLANDS LÄN</t>
        </is>
      </c>
      <c r="G586" t="inlineStr">
        <is>
          <t>NORRKÖPING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45075-2023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45191</v>
      </c>
      <c r="E587" s="1" t="n">
        <v>46313</v>
      </c>
      <c r="F587" t="inlineStr">
        <is>
          <t>ÖSTERGÖTLANDS LÄN</t>
        </is>
      </c>
      <c r="G587" t="inlineStr">
        <is>
          <t>NORRKÖPING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29180-2026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46313</v>
      </c>
      <c r="F588" t="inlineStr">
        <is>
          <t>ÖSTERGÖTLANDS LÄN</t>
        </is>
      </c>
      <c r="G588" t="inlineStr">
        <is>
          <t>NORRKÖPING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29033-2026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46313</v>
      </c>
      <c r="F589" t="inlineStr">
        <is>
          <t>ÖSTERGÖTLANDS LÄN</t>
        </is>
      </c>
      <c r="G589" t="inlineStr">
        <is>
          <t>NORRKÖPING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46199</v>
      </c>
      <c r="E590" s="1" t="n">
        <v>46313</v>
      </c>
      <c r="F590" t="inlineStr">
        <is>
          <t>ÖSTERGÖTLANDS LÄN</t>
        </is>
      </c>
      <c r="G590" t="inlineStr">
        <is>
          <t>NORRKÖPING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12814-2025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45733</v>
      </c>
      <c r="E591" s="1" t="n">
        <v>46313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46313</v>
      </c>
      <c r="F592" t="inlineStr">
        <is>
          <t>ÖSTERGÖTLANDS LÄN</t>
        </is>
      </c>
      <c r="G592" t="inlineStr">
        <is>
          <t>NORRKÖPING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18819-2026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46128</v>
      </c>
      <c r="E593" s="1" t="n">
        <v>46313</v>
      </c>
      <c r="F593" t="inlineStr">
        <is>
          <t>ÖSTERGÖTLANDS LÄN</t>
        </is>
      </c>
      <c r="G593" t="inlineStr">
        <is>
          <t>NORRKÖPING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36258-2022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44803</v>
      </c>
      <c r="E594" s="1" t="n">
        <v>46313</v>
      </c>
      <c r="F594" t="inlineStr">
        <is>
          <t>ÖSTERGÖTLANDS LÄN</t>
        </is>
      </c>
      <c r="G594" t="inlineStr">
        <is>
          <t>NORRKÖPING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28902-2026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46199</v>
      </c>
      <c r="E595" s="1" t="n">
        <v>46313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49062-2022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44860</v>
      </c>
      <c r="E596" s="1" t="n">
        <v>46313</v>
      </c>
      <c r="F596" t="inlineStr">
        <is>
          <t>ÖSTERGÖTLANDS LÄN</t>
        </is>
      </c>
      <c r="G596" t="inlineStr">
        <is>
          <t>NORRKÖPING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20001-2026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46135</v>
      </c>
      <c r="E597" s="1" t="n">
        <v>46313</v>
      </c>
      <c r="F597" t="inlineStr">
        <is>
          <t>ÖSTERGÖTLANDS LÄN</t>
        </is>
      </c>
      <c r="G597" t="inlineStr">
        <is>
          <t>NORRKÖPING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19801-2026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46135</v>
      </c>
      <c r="E598" s="1" t="n">
        <v>46313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1914-2023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44939</v>
      </c>
      <c r="E599" s="1" t="n">
        <v>46313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Naturvårdsverket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39863-2025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45891</v>
      </c>
      <c r="E600" s="1" t="n">
        <v>46313</v>
      </c>
      <c r="F600" t="inlineStr">
        <is>
          <t>ÖSTERGÖTLANDS LÄN</t>
        </is>
      </c>
      <c r="G600" t="inlineStr">
        <is>
          <t>NORRKÖPING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30485-2026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46313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Allmännings- och besparingsskogar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62176-2024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45657</v>
      </c>
      <c r="E602" s="1" t="n">
        <v>46313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44956</v>
      </c>
      <c r="E603" s="1" t="n">
        <v>46313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12538-2024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45379</v>
      </c>
      <c r="E604" s="1" t="n">
        <v>46313</v>
      </c>
      <c r="F604" t="inlineStr">
        <is>
          <t>ÖSTERGÖTLANDS LÄN</t>
        </is>
      </c>
      <c r="G604" t="inlineStr">
        <is>
          <t>NORRKÖPING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12727-2022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44641</v>
      </c>
      <c r="E605" s="1" t="n">
        <v>46313</v>
      </c>
      <c r="F605" t="inlineStr">
        <is>
          <t>ÖSTERGÖTLANDS LÄN</t>
        </is>
      </c>
      <c r="G605" t="inlineStr">
        <is>
          <t>NORRKÖPING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46313</v>
      </c>
      <c r="F606" t="inlineStr">
        <is>
          <t>ÖSTERGÖTLANDS LÄN</t>
        </is>
      </c>
      <c r="G606" t="inlineStr">
        <is>
          <t>NORRKÖPING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17138-2022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44677</v>
      </c>
      <c r="E607" s="1" t="n">
        <v>46313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20352-2026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46139</v>
      </c>
      <c r="E608" s="1" t="n">
        <v>46313</v>
      </c>
      <c r="F608" t="inlineStr">
        <is>
          <t>ÖSTERGÖTLANDS LÄN</t>
        </is>
      </c>
      <c r="G608" t="inlineStr">
        <is>
          <t>NORRKÖPING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33170-2023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45126</v>
      </c>
      <c r="E609" s="1" t="n">
        <v>46313</v>
      </c>
      <c r="F609" t="inlineStr">
        <is>
          <t>ÖSTERGÖTLANDS LÄN</t>
        </is>
      </c>
      <c r="G609" t="inlineStr">
        <is>
          <t>NORRKÖPING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33171-2023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45126</v>
      </c>
      <c r="E610" s="1" t="n">
        <v>46313</v>
      </c>
      <c r="F610" t="inlineStr">
        <is>
          <t>ÖSTERGÖTLANDS LÄN</t>
        </is>
      </c>
      <c r="G610" t="inlineStr">
        <is>
          <t>NORRKÖPING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45884</v>
      </c>
      <c r="E611" s="1" t="n">
        <v>46313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46205-2025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45924</v>
      </c>
      <c r="E612" s="1" t="n">
        <v>46313</v>
      </c>
      <c r="F612" t="inlineStr">
        <is>
          <t>ÖSTERGÖTLANDS LÄN</t>
        </is>
      </c>
      <c r="G612" t="inlineStr">
        <is>
          <t>NORRKÖPING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62529-2023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45268</v>
      </c>
      <c r="E613" s="1" t="n">
        <v>46313</v>
      </c>
      <c r="F613" t="inlineStr">
        <is>
          <t>ÖSTERGÖTLANDS LÄN</t>
        </is>
      </c>
      <c r="G613" t="inlineStr">
        <is>
          <t>NORRKÖPING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59586-2022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44907</v>
      </c>
      <c r="E614" s="1" t="n">
        <v>46313</v>
      </c>
      <c r="F614" t="inlineStr">
        <is>
          <t>ÖSTERGÖTLANDS LÄN</t>
        </is>
      </c>
      <c r="G614" t="inlineStr">
        <is>
          <t>NORRKÖPING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31359-2023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45114</v>
      </c>
      <c r="E615" s="1" t="n">
        <v>46313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45114</v>
      </c>
      <c r="E616" s="1" t="n">
        <v>46313</v>
      </c>
      <c r="F616" t="inlineStr">
        <is>
          <t>ÖSTERGÖTLANDS LÄN</t>
        </is>
      </c>
      <c r="G616" t="inlineStr">
        <is>
          <t>NORRKÖPING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31364-2025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45833</v>
      </c>
      <c r="E617" s="1" t="n">
        <v>46313</v>
      </c>
      <c r="F617" t="inlineStr">
        <is>
          <t>ÖSTERGÖTLANDS LÄN</t>
        </is>
      </c>
      <c r="G617" t="inlineStr">
        <is>
          <t>NORRKÖPING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46313</v>
      </c>
      <c r="F618" t="inlineStr">
        <is>
          <t>ÖSTERGÖTLANDS LÄN</t>
        </is>
      </c>
      <c r="G618" t="inlineStr">
        <is>
          <t>NORRKÖPING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11140-2025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46313</v>
      </c>
      <c r="F619" t="inlineStr">
        <is>
          <t>ÖSTERGÖTLANDS LÄN</t>
        </is>
      </c>
      <c r="G619" t="inlineStr">
        <is>
          <t>NORRKÖPING</t>
        </is>
      </c>
      <c r="I619" t="n">
        <v>13.9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30217-2026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46206</v>
      </c>
      <c r="E620" s="1" t="n">
        <v>46313</v>
      </c>
      <c r="F620" t="inlineStr">
        <is>
          <t>ÖSTERGÖTLANDS LÄN</t>
        </is>
      </c>
      <c r="G620" t="inlineStr">
        <is>
          <t>NORRKÖPING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17503-2022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44679</v>
      </c>
      <c r="E621" s="1" t="n">
        <v>46313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9528-2024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45359</v>
      </c>
      <c r="E622" s="1" t="n">
        <v>46313</v>
      </c>
      <c r="F622" t="inlineStr">
        <is>
          <t>ÖSTERGÖTLANDS LÄN</t>
        </is>
      </c>
      <c r="G622" t="inlineStr">
        <is>
          <t>NORRKÖPING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53747-2022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44880</v>
      </c>
      <c r="E623" s="1" t="n">
        <v>46313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46213</v>
      </c>
      <c r="E624" s="1" t="n">
        <v>46313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31078-2026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46216</v>
      </c>
      <c r="E625" s="1" t="n">
        <v>46313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24634-2025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45798</v>
      </c>
      <c r="E626" s="1" t="n">
        <v>46313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46213</v>
      </c>
      <c r="E627" s="1" t="n">
        <v>46313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30901-2026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46213</v>
      </c>
      <c r="E628" s="1" t="n">
        <v>46313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1277-2023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44936</v>
      </c>
      <c r="E629" s="1" t="n">
        <v>46313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44936</v>
      </c>
      <c r="E630" s="1" t="n">
        <v>46313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31266-2026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46218</v>
      </c>
      <c r="E631" s="1" t="n">
        <v>46313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31225-2026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46217</v>
      </c>
      <c r="E632" s="1" t="n">
        <v>46313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31268-2026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46218</v>
      </c>
      <c r="E633" s="1" t="n">
        <v>46313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46217</v>
      </c>
      <c r="E634" s="1" t="n">
        <v>46313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19324-2025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46313</v>
      </c>
      <c r="F635" t="inlineStr">
        <is>
          <t>ÖSTERGÖTLANDS LÄN</t>
        </is>
      </c>
      <c r="G635" t="inlineStr">
        <is>
          <t>NORRKÖPING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58525-2021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44488</v>
      </c>
      <c r="E636" s="1" t="n">
        <v>46313</v>
      </c>
      <c r="F636" t="inlineStr">
        <is>
          <t>ÖSTERGÖTLANDS LÄN</t>
        </is>
      </c>
      <c r="G636" t="inlineStr">
        <is>
          <t>NORRKÖPING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11612-2023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44994</v>
      </c>
      <c r="E637" s="1" t="n">
        <v>46313</v>
      </c>
      <c r="F637" t="inlineStr">
        <is>
          <t>ÖSTERGÖTLANDS LÄN</t>
        </is>
      </c>
      <c r="G637" t="inlineStr">
        <is>
          <t>NORRKÖPING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46178</v>
      </c>
      <c r="E638" s="1" t="n">
        <v>46313</v>
      </c>
      <c r="F638" t="inlineStr">
        <is>
          <t>ÖSTERGÖTLANDS LÄN</t>
        </is>
      </c>
      <c r="G638" t="inlineStr">
        <is>
          <t>NORRKÖPING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16253-2023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45028</v>
      </c>
      <c r="E639" s="1" t="n">
        <v>46313</v>
      </c>
      <c r="F639" t="inlineStr">
        <is>
          <t>ÖSTERGÖTLANDS LÄN</t>
        </is>
      </c>
      <c r="G639" t="inlineStr">
        <is>
          <t>NORRKÖPING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45442</v>
      </c>
      <c r="E640" s="1" t="n">
        <v>46313</v>
      </c>
      <c r="F640" t="inlineStr">
        <is>
          <t>ÖSTERGÖTLANDS LÄN</t>
        </is>
      </c>
      <c r="G640" t="inlineStr">
        <is>
          <t>NORRKÖPING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16590-2024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45408</v>
      </c>
      <c r="E641" s="1" t="n">
        <v>46313</v>
      </c>
      <c r="F641" t="inlineStr">
        <is>
          <t>ÖSTERGÖTLANDS LÄN</t>
        </is>
      </c>
      <c r="G641" t="inlineStr">
        <is>
          <t>NORRKÖPING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46313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31844-2023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45106</v>
      </c>
      <c r="E643" s="1" t="n">
        <v>46313</v>
      </c>
      <c r="F643" t="inlineStr">
        <is>
          <t>ÖSTERGÖTLANDS LÄN</t>
        </is>
      </c>
      <c r="G643" t="inlineStr">
        <is>
          <t>NORRKÖPING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49799-2022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44862</v>
      </c>
      <c r="E644" s="1" t="n">
        <v>46313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36954-2022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44805</v>
      </c>
      <c r="E645" s="1" t="n">
        <v>46313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Allmännings- och besparingsskogar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47051-2023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46313</v>
      </c>
      <c r="F646" t="inlineStr">
        <is>
          <t>ÖSTERGÖTLANDS LÄN</t>
        </is>
      </c>
      <c r="G646" t="inlineStr">
        <is>
          <t>NORRKÖPING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11641-2024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45373</v>
      </c>
      <c r="E647" s="1" t="n">
        <v>46313</v>
      </c>
      <c r="F647" t="inlineStr">
        <is>
          <t>ÖSTERGÖTLANDS LÄN</t>
        </is>
      </c>
      <c r="G647" t="inlineStr">
        <is>
          <t>NORRKÖPING</t>
        </is>
      </c>
      <c r="I647" t="n">
        <v>8.6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11261-2023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44992</v>
      </c>
      <c r="E648" s="1" t="n">
        <v>46313</v>
      </c>
      <c r="F648" t="inlineStr">
        <is>
          <t>ÖSTERGÖTLANDS LÄN</t>
        </is>
      </c>
      <c r="G648" t="inlineStr">
        <is>
          <t>NORRKÖPING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46231</v>
      </c>
      <c r="E649" s="1" t="n">
        <v>46313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58936-2023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45252</v>
      </c>
      <c r="E650" s="1" t="n">
        <v>46313</v>
      </c>
      <c r="F650" t="inlineStr">
        <is>
          <t>ÖSTERGÖTLANDS LÄN</t>
        </is>
      </c>
      <c r="G650" t="inlineStr">
        <is>
          <t>NORRKÖPING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10796-2024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45369</v>
      </c>
      <c r="E651" s="1" t="n">
        <v>46313</v>
      </c>
      <c r="F651" t="inlineStr">
        <is>
          <t>ÖSTERGÖTLANDS LÄN</t>
        </is>
      </c>
      <c r="G651" t="inlineStr">
        <is>
          <t>NORRKÖPING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2287-2025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45673</v>
      </c>
      <c r="E652" s="1" t="n">
        <v>46313</v>
      </c>
      <c r="F652" t="inlineStr">
        <is>
          <t>ÖSTERGÖTLANDS LÄN</t>
        </is>
      </c>
      <c r="G652" t="inlineStr">
        <is>
          <t>NORRKÖPING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33341-2023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45128</v>
      </c>
      <c r="E653" s="1" t="n">
        <v>46313</v>
      </c>
      <c r="F653" t="inlineStr">
        <is>
          <t>ÖSTERGÖTLANDS LÄN</t>
        </is>
      </c>
      <c r="G653" t="inlineStr">
        <is>
          <t>NORRKÖPING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14441-2025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45741</v>
      </c>
      <c r="E654" s="1" t="n">
        <v>46313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Allmännings- och besparingsskogar</t>
        </is>
      </c>
      <c r="I654" t="n">
        <v>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46313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46313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46313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45096</v>
      </c>
      <c r="E658" s="1" t="n">
        <v>46313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Allmännings- och besparingsskogar</t>
        </is>
      </c>
      <c r="I658" t="n">
        <v>12.3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46313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32073-2026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46313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46233</v>
      </c>
      <c r="E661" s="1" t="n">
        <v>46313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46313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57492-2023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45246</v>
      </c>
      <c r="E663" s="1" t="n">
        <v>46313</v>
      </c>
      <c r="F663" t="inlineStr">
        <is>
          <t>ÖSTERGÖTLANDS LÄN</t>
        </is>
      </c>
      <c r="G663" t="inlineStr">
        <is>
          <t>NORRKÖPING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57496-2023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45246</v>
      </c>
      <c r="E664" s="1" t="n">
        <v>46313</v>
      </c>
      <c r="F664" t="inlineStr">
        <is>
          <t>ÖSTERGÖTLANDS LÄN</t>
        </is>
      </c>
      <c r="G664" t="inlineStr">
        <is>
          <t>NORRKÖPING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46313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41381-2023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45174</v>
      </c>
      <c r="E666" s="1" t="n">
        <v>46313</v>
      </c>
      <c r="F666" t="inlineStr">
        <is>
          <t>ÖSTERGÖTLANDS LÄN</t>
        </is>
      </c>
      <c r="G666" t="inlineStr">
        <is>
          <t>NORRKÖPING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41382-2023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45174</v>
      </c>
      <c r="E667" s="1" t="n">
        <v>46313</v>
      </c>
      <c r="F667" t="inlineStr">
        <is>
          <t>ÖSTERGÖTLANDS LÄN</t>
        </is>
      </c>
      <c r="G667" t="inlineStr">
        <is>
          <t>NORRKÖPING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38017-2026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46280</v>
      </c>
      <c r="E668" s="1" t="n">
        <v>46313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45457</v>
      </c>
      <c r="E669" s="1" t="n">
        <v>46313</v>
      </c>
      <c r="F669" t="inlineStr">
        <is>
          <t>ÖSTERGÖTLANDS LÄN</t>
        </is>
      </c>
      <c r="G669" t="inlineStr">
        <is>
          <t>NORRKÖPING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26407-2023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46313</v>
      </c>
      <c r="F670" t="inlineStr">
        <is>
          <t>ÖSTERGÖTLANDS LÄN</t>
        </is>
      </c>
      <c r="G670" t="inlineStr">
        <is>
          <t>NORRKÖPING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59964-2023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45254</v>
      </c>
      <c r="E671" s="1" t="n">
        <v>46313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16594-2023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45027</v>
      </c>
      <c r="E672" s="1" t="n">
        <v>46313</v>
      </c>
      <c r="F672" t="inlineStr">
        <is>
          <t>ÖSTERGÖTLANDS LÄN</t>
        </is>
      </c>
      <c r="G672" t="inlineStr">
        <is>
          <t>NORRKÖPING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18592-2024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45425</v>
      </c>
      <c r="E673" s="1" t="n">
        <v>46313</v>
      </c>
      <c r="F673" t="inlineStr">
        <is>
          <t>ÖSTERGÖTLANDS LÄN</t>
        </is>
      </c>
      <c r="G673" t="inlineStr">
        <is>
          <t>NORRKÖPING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46270-2024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46313</v>
      </c>
      <c r="F674" t="inlineStr">
        <is>
          <t>ÖSTERGÖTLANDS LÄN</t>
        </is>
      </c>
      <c r="G674" t="inlineStr">
        <is>
          <t>NORRKÖPING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37958-2026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46280</v>
      </c>
      <c r="E675" s="1" t="n">
        <v>46313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26977-2023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45091</v>
      </c>
      <c r="E676" s="1" t="n">
        <v>46313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Allmännings- och besparingsskogar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10798-2024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45369</v>
      </c>
      <c r="E677" s="1" t="n">
        <v>46313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18667-2023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45043</v>
      </c>
      <c r="E678" s="1" t="n">
        <v>46313</v>
      </c>
      <c r="F678" t="inlineStr">
        <is>
          <t>ÖSTERGÖTLANDS LÄN</t>
        </is>
      </c>
      <c r="G678" t="inlineStr">
        <is>
          <t>NORRKÖPING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45442</v>
      </c>
      <c r="E679" s="1" t="n">
        <v>46313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45008</v>
      </c>
      <c r="E680" s="1" t="n">
        <v>46313</v>
      </c>
      <c r="F680" t="inlineStr">
        <is>
          <t>ÖSTERGÖTLANDS LÄN</t>
        </is>
      </c>
      <c r="G680" t="inlineStr">
        <is>
          <t>NORRKÖPING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6490-2024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45339</v>
      </c>
      <c r="E681" s="1" t="n">
        <v>46313</v>
      </c>
      <c r="F681" t="inlineStr">
        <is>
          <t>ÖSTERGÖTLANDS LÄN</t>
        </is>
      </c>
      <c r="G681" t="inlineStr">
        <is>
          <t>NORRKÖPING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38511-2026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46313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Allmännings- och besparingsskogar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46241</v>
      </c>
      <c r="E683" s="1" t="n">
        <v>46313</v>
      </c>
      <c r="F683" t="inlineStr">
        <is>
          <t>ÖSTERGÖTLANDS LÄN</t>
        </is>
      </c>
      <c r="G683" t="inlineStr">
        <is>
          <t>NORRKÖPING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26834-2023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45093</v>
      </c>
      <c r="E684" s="1" t="n">
        <v>46313</v>
      </c>
      <c r="F684" t="inlineStr">
        <is>
          <t>ÖSTERGÖTLANDS LÄN</t>
        </is>
      </c>
      <c r="G684" t="inlineStr">
        <is>
          <t>NORRKÖPING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11587-2023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44992</v>
      </c>
      <c r="E685" s="1" t="n">
        <v>46313</v>
      </c>
      <c r="F685" t="inlineStr">
        <is>
          <t>ÖSTERGÖTLANDS LÄN</t>
        </is>
      </c>
      <c r="G685" t="inlineStr">
        <is>
          <t>NORRKÖPING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32885-2026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46244</v>
      </c>
      <c r="E686" s="1" t="n">
        <v>46313</v>
      </c>
      <c r="F686" t="inlineStr">
        <is>
          <t>ÖSTERGÖTLANDS LÄN</t>
        </is>
      </c>
      <c r="G686" t="inlineStr">
        <is>
          <t>NORRKÖPING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9233-2023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44980</v>
      </c>
      <c r="E687" s="1" t="n">
        <v>46313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46241</v>
      </c>
      <c r="E688" s="1" t="n">
        <v>46313</v>
      </c>
      <c r="F688" t="inlineStr">
        <is>
          <t>ÖSTERGÖTLANDS LÄN</t>
        </is>
      </c>
      <c r="G688" t="inlineStr">
        <is>
          <t>NORRKÖPING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23349-2024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45453</v>
      </c>
      <c r="E689" s="1" t="n">
        <v>46313</v>
      </c>
      <c r="F689" t="inlineStr">
        <is>
          <t>ÖSTERGÖTLANDS LÄN</t>
        </is>
      </c>
      <c r="G689" t="inlineStr">
        <is>
          <t>NORRKÖPING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32967-2026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46244</v>
      </c>
      <c r="E690" s="1" t="n">
        <v>46313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33013-2026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46244</v>
      </c>
      <c r="E691" s="1" t="n">
        <v>46313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Allmännings- och besparingsskogar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32880-2026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46244</v>
      </c>
      <c r="E692" s="1" t="n">
        <v>46313</v>
      </c>
      <c r="F692" t="inlineStr">
        <is>
          <t>ÖSTERGÖTLANDS LÄN</t>
        </is>
      </c>
      <c r="G692" t="inlineStr">
        <is>
          <t>NORRKÖPING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59077-2023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45252</v>
      </c>
      <c r="E693" s="1" t="n">
        <v>46313</v>
      </c>
      <c r="F693" t="inlineStr">
        <is>
          <t>ÖSTERGÖTLANDS LÄN</t>
        </is>
      </c>
      <c r="G693" t="inlineStr">
        <is>
          <t>NORRKÖPING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58884-2024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45636</v>
      </c>
      <c r="E694" s="1" t="n">
        <v>46313</v>
      </c>
      <c r="F694" t="inlineStr">
        <is>
          <t>ÖSTERGÖTLANDS LÄN</t>
        </is>
      </c>
      <c r="G694" t="inlineStr">
        <is>
          <t>NORRKÖPING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58901-2024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45636</v>
      </c>
      <c r="E695" s="1" t="n">
        <v>46313</v>
      </c>
      <c r="F695" t="inlineStr">
        <is>
          <t>ÖSTERGÖTLANDS LÄN</t>
        </is>
      </c>
      <c r="G695" t="inlineStr">
        <is>
          <t>NORRKÖPING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32926-2026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46244</v>
      </c>
      <c r="E696" s="1" t="n">
        <v>46313</v>
      </c>
      <c r="F696" t="inlineStr">
        <is>
          <t>ÖSTERGÖTLANDS LÄN</t>
        </is>
      </c>
      <c r="G696" t="inlineStr">
        <is>
          <t>NORRKÖPING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1506-2022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44573</v>
      </c>
      <c r="E697" s="1" t="n">
        <v>46313</v>
      </c>
      <c r="F697" t="inlineStr">
        <is>
          <t>ÖSTERGÖTLANDS LÄN</t>
        </is>
      </c>
      <c r="G697" t="inlineStr">
        <is>
          <t>NORRKÖPING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5116-2024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45330</v>
      </c>
      <c r="E698" s="1" t="n">
        <v>46313</v>
      </c>
      <c r="F698" t="inlineStr">
        <is>
          <t>ÖSTERGÖTLANDS LÄN</t>
        </is>
      </c>
      <c r="G698" t="inlineStr">
        <is>
          <t>NORRKÖPING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49617-2022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44862</v>
      </c>
      <c r="E699" s="1" t="n">
        <v>46313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39536-2026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46289</v>
      </c>
      <c r="E700" s="1" t="n">
        <v>46313</v>
      </c>
      <c r="F700" t="inlineStr">
        <is>
          <t>ÖSTERGÖTLANDS LÄN</t>
        </is>
      </c>
      <c r="G700" t="inlineStr">
        <is>
          <t>NORRKÖPING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39426-2026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46288</v>
      </c>
      <c r="E701" s="1" t="n">
        <v>46313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Kyrkan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33075-2026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46245</v>
      </c>
      <c r="E702" s="1" t="n">
        <v>46313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33124-2026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46245</v>
      </c>
      <c r="E703" s="1" t="n">
        <v>46313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44573</v>
      </c>
      <c r="E704" s="1" t="n">
        <v>46313</v>
      </c>
      <c r="F704" t="inlineStr">
        <is>
          <t>ÖSTERGÖTLANDS LÄN</t>
        </is>
      </c>
      <c r="G704" t="inlineStr">
        <is>
          <t>NORRKÖPING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46313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30062-2023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45110</v>
      </c>
      <c r="E706" s="1" t="n">
        <v>46313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22470-2022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44713</v>
      </c>
      <c r="E707" s="1" t="n">
        <v>46313</v>
      </c>
      <c r="F707" t="inlineStr">
        <is>
          <t>ÖSTERGÖTLANDS LÄN</t>
        </is>
      </c>
      <c r="G707" t="inlineStr">
        <is>
          <t>NORRKÖPING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33094-2026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46245</v>
      </c>
      <c r="E708" s="1" t="n">
        <v>46313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39439-2026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46288</v>
      </c>
      <c r="E709" s="1" t="n">
        <v>46313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Kyrkan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30784-2023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46313</v>
      </c>
      <c r="F710" t="inlineStr">
        <is>
          <t>ÖSTERGÖTLANDS LÄN</t>
        </is>
      </c>
      <c r="G710" t="inlineStr">
        <is>
          <t>NORRKÖPING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46052</v>
      </c>
      <c r="E711" s="1" t="n">
        <v>46313</v>
      </c>
      <c r="F711" t="inlineStr">
        <is>
          <t>ÖSTERGÖTLANDS LÄN</t>
        </is>
      </c>
      <c r="G711" t="inlineStr">
        <is>
          <t>NORRKÖPING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18686-2023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45043</v>
      </c>
      <c r="E712" s="1" t="n">
        <v>46313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40072-2026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46293</v>
      </c>
      <c r="E713" s="1" t="n">
        <v>46313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26583-2022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44739</v>
      </c>
      <c r="E714" s="1" t="n">
        <v>46313</v>
      </c>
      <c r="F714" t="inlineStr">
        <is>
          <t>ÖSTERGÖTLANDS LÄN</t>
        </is>
      </c>
      <c r="G714" t="inlineStr">
        <is>
          <t>NORRKÖPING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3263-2024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45317</v>
      </c>
      <c r="E715" s="1" t="n">
        <v>46313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19702-2024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45432</v>
      </c>
      <c r="E716" s="1" t="n">
        <v>46313</v>
      </c>
      <c r="F716" t="inlineStr">
        <is>
          <t>ÖSTERGÖTLANDS LÄN</t>
        </is>
      </c>
      <c r="G716" t="inlineStr">
        <is>
          <t>NORRKÖPING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9542-2025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46313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11519-2025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45726</v>
      </c>
      <c r="E718" s="1" t="n">
        <v>46313</v>
      </c>
      <c r="F718" t="inlineStr">
        <is>
          <t>ÖSTERGÖTLANDS LÄN</t>
        </is>
      </c>
      <c r="G718" t="inlineStr">
        <is>
          <t>NORRKÖPING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11144-2025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45723</v>
      </c>
      <c r="E719" s="1" t="n">
        <v>46313</v>
      </c>
      <c r="F719" t="inlineStr">
        <is>
          <t>ÖSTERGÖTLANDS LÄN</t>
        </is>
      </c>
      <c r="G719" t="inlineStr">
        <is>
          <t>NORRKÖPING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16696-2023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45030</v>
      </c>
      <c r="E720" s="1" t="n">
        <v>46313</v>
      </c>
      <c r="F720" t="inlineStr">
        <is>
          <t>ÖSTERGÖTLANDS LÄN</t>
        </is>
      </c>
      <c r="G720" t="inlineStr">
        <is>
          <t>NORRKÖPING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16698-2023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45030</v>
      </c>
      <c r="E721" s="1" t="n">
        <v>46313</v>
      </c>
      <c r="F721" t="inlineStr">
        <is>
          <t>ÖSTERGÖTLANDS LÄN</t>
        </is>
      </c>
      <c r="G721" t="inlineStr">
        <is>
          <t>NORRKÖPING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59520-2023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45254</v>
      </c>
      <c r="E722" s="1" t="n">
        <v>46313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BillerudKorsnäs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48091-2023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45205</v>
      </c>
      <c r="E723" s="1" t="n">
        <v>46313</v>
      </c>
      <c r="F723" t="inlineStr">
        <is>
          <t>ÖSTERGÖTLANDS LÄN</t>
        </is>
      </c>
      <c r="G723" t="inlineStr">
        <is>
          <t>NORRKÖPING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46738-2022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44851</v>
      </c>
      <c r="E724" s="1" t="n">
        <v>46313</v>
      </c>
      <c r="F724" t="inlineStr">
        <is>
          <t>ÖSTERGÖTLANDS LÄN</t>
        </is>
      </c>
      <c r="G724" t="inlineStr">
        <is>
          <t>NORRKÖPING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33446-2023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45129</v>
      </c>
      <c r="E725" s="1" t="n">
        <v>46313</v>
      </c>
      <c r="F725" t="inlineStr">
        <is>
          <t>ÖSTERGÖTLANDS LÄN</t>
        </is>
      </c>
      <c r="G725" t="inlineStr">
        <is>
          <t>NORRKÖPING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46313</v>
      </c>
      <c r="F726" t="inlineStr">
        <is>
          <t>ÖSTERGÖTLANDS LÄN</t>
        </is>
      </c>
      <c r="G726" t="inlineStr">
        <is>
          <t>NORRKÖPING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28663-2024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45478</v>
      </c>
      <c r="E727" s="1" t="n">
        <v>46313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4770-2023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44957</v>
      </c>
      <c r="E728" s="1" t="n">
        <v>46313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45763</v>
      </c>
      <c r="E729" s="1" t="n">
        <v>46313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9.300000000000001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15640-2024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45403</v>
      </c>
      <c r="E730" s="1" t="n">
        <v>46313</v>
      </c>
      <c r="F730" t="inlineStr">
        <is>
          <t>ÖSTERGÖTLANDS LÄN</t>
        </is>
      </c>
      <c r="G730" t="inlineStr">
        <is>
          <t>NORRKÖPING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40724-2026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46294</v>
      </c>
      <c r="E731" s="1" t="n">
        <v>46313</v>
      </c>
      <c r="F731" t="inlineStr">
        <is>
          <t>ÖSTERGÖTLANDS LÄN</t>
        </is>
      </c>
      <c r="G731" t="inlineStr">
        <is>
          <t>NORRKÖPING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9781-2026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46072</v>
      </c>
      <c r="E732" s="1" t="n">
        <v>46313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Kyrkan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16949-2023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45033</v>
      </c>
      <c r="E733" s="1" t="n">
        <v>46313</v>
      </c>
      <c r="F733" t="inlineStr">
        <is>
          <t>ÖSTERGÖTLANDS LÄN</t>
        </is>
      </c>
      <c r="G733" t="inlineStr">
        <is>
          <t>NORRKÖPING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34815-2026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46258</v>
      </c>
      <c r="E734" s="1" t="n">
        <v>46313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48758-2024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45593</v>
      </c>
      <c r="E735" s="1" t="n">
        <v>46313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17714-2023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45037</v>
      </c>
      <c r="E736" s="1" t="n">
        <v>46313</v>
      </c>
      <c r="F736" t="inlineStr">
        <is>
          <t>ÖSTERGÖTLANDS LÄN</t>
        </is>
      </c>
      <c r="G736" t="inlineStr">
        <is>
          <t>NORRKÖPING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34809-2026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46258</v>
      </c>
      <c r="E737" s="1" t="n">
        <v>46313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34800-2026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46258</v>
      </c>
      <c r="E738" s="1" t="n">
        <v>46313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16689-2023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45030</v>
      </c>
      <c r="E739" s="1" t="n">
        <v>46313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19114-2023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45048</v>
      </c>
      <c r="E740" s="1" t="n">
        <v>46313</v>
      </c>
      <c r="F740" t="inlineStr">
        <is>
          <t>ÖSTERGÖTLANDS LÄN</t>
        </is>
      </c>
      <c r="G740" t="inlineStr">
        <is>
          <t>NORRKÖPING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21093-2025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45777</v>
      </c>
      <c r="E741" s="1" t="n">
        <v>46313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38968-2026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46286</v>
      </c>
      <c r="E742" s="1" t="n">
        <v>46313</v>
      </c>
      <c r="F742" t="inlineStr">
        <is>
          <t>ÖSTERGÖTLANDS LÄN</t>
        </is>
      </c>
      <c r="G742" t="inlineStr">
        <is>
          <t>NORRKÖPING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45783</v>
      </c>
      <c r="E743" s="1" t="n">
        <v>46313</v>
      </c>
      <c r="F743" t="inlineStr">
        <is>
          <t>ÖSTERGÖTLANDS LÄN</t>
        </is>
      </c>
      <c r="G743" t="inlineStr">
        <is>
          <t>NORRKÖPING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21542-2025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45782</v>
      </c>
      <c r="E744" s="1" t="n">
        <v>46313</v>
      </c>
      <c r="F744" t="inlineStr">
        <is>
          <t>ÖSTERGÖTLANDS LÄN</t>
        </is>
      </c>
      <c r="G744" t="inlineStr">
        <is>
          <t>NORRKÖPING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46258</v>
      </c>
      <c r="E745" s="1" t="n">
        <v>46313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1884-2025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45671</v>
      </c>
      <c r="E746" s="1" t="n">
        <v>46313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21909-2025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45784</v>
      </c>
      <c r="E747" s="1" t="n">
        <v>46313</v>
      </c>
      <c r="F747" t="inlineStr">
        <is>
          <t>ÖSTERGÖTLANDS LÄN</t>
        </is>
      </c>
      <c r="G747" t="inlineStr">
        <is>
          <t>NORRKÖPING</t>
        </is>
      </c>
      <c r="I747" t="n">
        <v>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34712-2026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46258</v>
      </c>
      <c r="E748" s="1" t="n">
        <v>46313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21967-2025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45784</v>
      </c>
      <c r="E749" s="1" t="n">
        <v>46313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22439-2025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45786</v>
      </c>
      <c r="E750" s="1" t="n">
        <v>46313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Naturvårdsverket</t>
        </is>
      </c>
      <c r="I750" t="n">
        <v>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22307-2025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45786</v>
      </c>
      <c r="E751" s="1" t="n">
        <v>46313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11136-2025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45723</v>
      </c>
      <c r="E752" s="1" t="n">
        <v>46313</v>
      </c>
      <c r="F752" t="inlineStr">
        <is>
          <t>ÖSTERGÖTLANDS LÄN</t>
        </is>
      </c>
      <c r="G752" t="inlineStr">
        <is>
          <t>NORRKÖPING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35200-2026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46260</v>
      </c>
      <c r="E753" s="1" t="n">
        <v>46313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35202-2026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46260</v>
      </c>
      <c r="E754" s="1" t="n">
        <v>46313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44565</v>
      </c>
      <c r="E755" s="1" t="n">
        <v>46313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Allmännings- och besparingsskogar</t>
        </is>
      </c>
      <c r="I755" t="n">
        <v>9.300000000000001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26398-2023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45092</v>
      </c>
      <c r="E756" s="1" t="n">
        <v>46313</v>
      </c>
      <c r="F756" t="inlineStr">
        <is>
          <t>ÖSTERGÖTLANDS LÄN</t>
        </is>
      </c>
      <c r="G756" t="inlineStr">
        <is>
          <t>NORRKÖPING</t>
        </is>
      </c>
      <c r="I756" t="n">
        <v>6.8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23366-2024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45453</v>
      </c>
      <c r="E757" s="1" t="n">
        <v>46313</v>
      </c>
      <c r="F757" t="inlineStr">
        <is>
          <t>ÖSTERGÖTLANDS LÄN</t>
        </is>
      </c>
      <c r="G757" t="inlineStr">
        <is>
          <t>NORRKÖPING</t>
        </is>
      </c>
      <c r="I757" t="n">
        <v>5.4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23368-2024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45453</v>
      </c>
      <c r="E758" s="1" t="n">
        <v>46313</v>
      </c>
      <c r="F758" t="inlineStr">
        <is>
          <t>ÖSTERGÖTLANDS LÄN</t>
        </is>
      </c>
      <c r="G758" t="inlineStr">
        <is>
          <t>NORRKÖPING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45310</v>
      </c>
      <c r="E759" s="1" t="n">
        <v>46313</v>
      </c>
      <c r="F759" t="inlineStr">
        <is>
          <t>ÖSTERGÖTLANDS LÄN</t>
        </is>
      </c>
      <c r="G759" t="inlineStr">
        <is>
          <t>NORRKÖPING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19191-2025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45769</v>
      </c>
      <c r="E760" s="1" t="n">
        <v>46313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22881-2025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45790</v>
      </c>
      <c r="E761" s="1" t="n">
        <v>46313</v>
      </c>
      <c r="F761" t="inlineStr">
        <is>
          <t>ÖSTERGÖTLANDS LÄN</t>
        </is>
      </c>
      <c r="G761" t="inlineStr">
        <is>
          <t>NORRKÖPING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42268-2026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46307</v>
      </c>
      <c r="E762" s="1" t="n">
        <v>46313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60800-2023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45259</v>
      </c>
      <c r="E763" s="1" t="n">
        <v>46313</v>
      </c>
      <c r="F763" t="inlineStr">
        <is>
          <t>ÖSTERGÖTLANDS LÄN</t>
        </is>
      </c>
      <c r="G763" t="inlineStr">
        <is>
          <t>NORRKÖPING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23954-2025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45796</v>
      </c>
      <c r="E764" s="1" t="n">
        <v>46313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3018-2025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45678</v>
      </c>
      <c r="E765" s="1" t="n">
        <v>46313</v>
      </c>
      <c r="F765" t="inlineStr">
        <is>
          <t>ÖSTERGÖTLANDS LÄN</t>
        </is>
      </c>
      <c r="G765" t="inlineStr">
        <is>
          <t>NORRKÖPING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24049-2025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45796</v>
      </c>
      <c r="E766" s="1" t="n">
        <v>46313</v>
      </c>
      <c r="F766" t="inlineStr">
        <is>
          <t>ÖSTERGÖTLANDS LÄN</t>
        </is>
      </c>
      <c r="G766" t="inlineStr">
        <is>
          <t>NORRKÖPING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24555-2025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45798</v>
      </c>
      <c r="E767" s="1" t="n">
        <v>46313</v>
      </c>
      <c r="F767" t="inlineStr">
        <is>
          <t>ÖSTERGÖTLANDS LÄN</t>
        </is>
      </c>
      <c r="G767" t="inlineStr">
        <is>
          <t>NORRKÖPING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16582-2024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45408</v>
      </c>
      <c r="E768" s="1" t="n">
        <v>46313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42514-2024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45565</v>
      </c>
      <c r="E769" s="1" t="n">
        <v>46313</v>
      </c>
      <c r="F769" t="inlineStr">
        <is>
          <t>ÖSTERGÖTLANDS LÄN</t>
        </is>
      </c>
      <c r="G769" t="inlineStr">
        <is>
          <t>NORRKÖPING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24684-2025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45798</v>
      </c>
      <c r="E770" s="1" t="n">
        <v>46313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40068-2024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45554</v>
      </c>
      <c r="E771" s="1" t="n">
        <v>46313</v>
      </c>
      <c r="F771" t="inlineStr">
        <is>
          <t>ÖSTERGÖTLANDS LÄN</t>
        </is>
      </c>
      <c r="G771" t="inlineStr">
        <is>
          <t>NORRKÖPING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10770-2025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45722</v>
      </c>
      <c r="E772" s="1" t="n">
        <v>46313</v>
      </c>
      <c r="F772" t="inlineStr">
        <is>
          <t>ÖSTERGÖTLANDS LÄN</t>
        </is>
      </c>
      <c r="G772" t="inlineStr">
        <is>
          <t>NORRKÖPING</t>
        </is>
      </c>
      <c r="I772" t="n">
        <v>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25546-2025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45803</v>
      </c>
      <c r="E773" s="1" t="n">
        <v>46313</v>
      </c>
      <c r="F773" t="inlineStr">
        <is>
          <t>ÖSTERGÖTLANDS LÄN</t>
        </is>
      </c>
      <c r="G773" t="inlineStr">
        <is>
          <t>NORRKÖPING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45762</v>
      </c>
      <c r="E774" s="1" t="n">
        <v>46313</v>
      </c>
      <c r="F774" t="inlineStr">
        <is>
          <t>ÖSTERGÖTLANDS LÄN</t>
        </is>
      </c>
      <c r="G774" t="inlineStr">
        <is>
          <t>NORRKÖPING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25949-2025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45804</v>
      </c>
      <c r="E775" s="1" t="n">
        <v>46313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Kommuner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35795-2026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46265</v>
      </c>
      <c r="E776" s="1" t="n">
        <v>46313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35669-2026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46265</v>
      </c>
      <c r="E777" s="1" t="n">
        <v>46313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42581-2026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46308</v>
      </c>
      <c r="E778" s="1" t="n">
        <v>46313</v>
      </c>
      <c r="F778" t="inlineStr">
        <is>
          <t>ÖSTERGÖTLANDS LÄN</t>
        </is>
      </c>
      <c r="G778" t="inlineStr">
        <is>
          <t>NORRKÖPING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10834-2024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45369</v>
      </c>
      <c r="E779" s="1" t="n">
        <v>46313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36368-2026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46268</v>
      </c>
      <c r="E780" s="1" t="n">
        <v>46313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BillerudKorsnäs AB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28039-2025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45817</v>
      </c>
      <c r="E781" s="1" t="n">
        <v>46313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43071-2026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46311</v>
      </c>
      <c r="E782" s="1" t="n">
        <v>46313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32623-2026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46240</v>
      </c>
      <c r="E783" s="1" t="n">
        <v>46313</v>
      </c>
      <c r="F783" t="inlineStr">
        <is>
          <t>ÖSTERGÖTLANDS LÄN</t>
        </is>
      </c>
      <c r="G783" t="inlineStr">
        <is>
          <t>NORRKÖPING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28750-2025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45820</v>
      </c>
      <c r="E784" s="1" t="n">
        <v>46313</v>
      </c>
      <c r="F784" t="inlineStr">
        <is>
          <t>ÖSTERGÖTLANDS LÄN</t>
        </is>
      </c>
      <c r="G784" t="inlineStr">
        <is>
          <t>NORRKÖPING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28734-2025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45820</v>
      </c>
      <c r="E785" s="1" t="n">
        <v>46313</v>
      </c>
      <c r="F785" t="inlineStr">
        <is>
          <t>ÖSTERGÖTLANDS LÄN</t>
        </is>
      </c>
      <c r="G785" t="inlineStr">
        <is>
          <t>NORRKÖPING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29220-2025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45824</v>
      </c>
      <c r="E786" s="1" t="n">
        <v>46313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43144-2026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46311</v>
      </c>
      <c r="E787" s="1" t="n">
        <v>46313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31564-2025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45833</v>
      </c>
      <c r="E788" s="1" t="n">
        <v>46313</v>
      </c>
      <c r="F788" t="inlineStr">
        <is>
          <t>ÖSTERGÖTLANDS LÄN</t>
        </is>
      </c>
      <c r="G788" t="inlineStr">
        <is>
          <t>NORRKÖPING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33138-2025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45832</v>
      </c>
      <c r="E789" s="1" t="n">
        <v>46313</v>
      </c>
      <c r="F789" t="inlineStr">
        <is>
          <t>ÖSTERGÖTLANDS LÄN</t>
        </is>
      </c>
      <c r="G789" t="inlineStr">
        <is>
          <t>NORRKÖPING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33246-2025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45840</v>
      </c>
      <c r="E790" s="1" t="n">
        <v>46313</v>
      </c>
      <c r="F790" t="inlineStr">
        <is>
          <t>ÖSTERGÖTLANDS LÄN</t>
        </is>
      </c>
      <c r="G790" t="inlineStr">
        <is>
          <t>NORRKÖPING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34231-2025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46313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45678</v>
      </c>
      <c r="E792" s="1" t="n">
        <v>46313</v>
      </c>
      <c r="F792" t="inlineStr">
        <is>
          <t>ÖSTERGÖTLANDS LÄN</t>
        </is>
      </c>
      <c r="G792" t="inlineStr">
        <is>
          <t>NORRKÖPING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13419-2025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46313</v>
      </c>
      <c r="F793" t="inlineStr">
        <is>
          <t>ÖSTERGÖTLANDS LÄN</t>
        </is>
      </c>
      <c r="G793" t="inlineStr">
        <is>
          <t>NORRKÖPING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7762-2025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45706</v>
      </c>
      <c r="E794" s="1" t="n">
        <v>46313</v>
      </c>
      <c r="F794" t="inlineStr">
        <is>
          <t>ÖSTERGÖTLANDS LÄN</t>
        </is>
      </c>
      <c r="G794" t="inlineStr">
        <is>
          <t>NORRKÖPING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23946-2025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46313</v>
      </c>
      <c r="F795" t="inlineStr">
        <is>
          <t>ÖSTERGÖTLANDS LÄN</t>
        </is>
      </c>
      <c r="G795" t="inlineStr">
        <is>
          <t>NORRKÖPING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37876-2025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45881</v>
      </c>
      <c r="E796" s="1" t="n">
        <v>46313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38455-2025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45883</v>
      </c>
      <c r="E797" s="1" t="n">
        <v>46313</v>
      </c>
      <c r="F797" t="inlineStr">
        <is>
          <t>ÖSTERGÖTLANDS LÄN</t>
        </is>
      </c>
      <c r="G797" t="inlineStr">
        <is>
          <t>NORRKÖPING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45883</v>
      </c>
      <c r="E798" s="1" t="n">
        <v>46313</v>
      </c>
      <c r="F798" t="inlineStr">
        <is>
          <t>ÖSTERGÖTLANDS LÄN</t>
        </is>
      </c>
      <c r="G798" t="inlineStr">
        <is>
          <t>NORRKÖPING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38404-2025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45883</v>
      </c>
      <c r="E799" s="1" t="n">
        <v>46313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Allmännings- och besparingsskogar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2289-2020</t>
        </is>
      </c>
      <c r="B800" t="inlineStr">
        <is>
          <t>samrådsanmälan</t>
        </is>
      </c>
      <c r="C800" t="inlineStr">
        <is>
          <t>Åtgärd i nyckelbiotop</t>
        </is>
      </c>
      <c r="D800" s="1" t="n">
        <v>44130</v>
      </c>
      <c r="E800" s="1" t="n">
        <v>46313</v>
      </c>
      <c r="F800" t="inlineStr">
        <is>
          <t>ÖSTERGÖTLANDS LÄN</t>
        </is>
      </c>
      <c r="G800" t="inlineStr">
        <is>
          <t>NORRKÖPING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1519-2021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44313</v>
      </c>
      <c r="E801" s="1" t="n">
        <v>46313</v>
      </c>
      <c r="F801" t="inlineStr">
        <is>
          <t>ÖSTERGÖTLANDS LÄN</t>
        </is>
      </c>
      <c r="G801" t="inlineStr">
        <is>
          <t>NORRKÖPING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161-2021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44230</v>
      </c>
      <c r="E802" s="1" t="n">
        <v>46313</v>
      </c>
      <c r="F802" t="inlineStr">
        <is>
          <t>ÖSTERGÖTLANDS LÄN</t>
        </is>
      </c>
      <c r="G802" t="inlineStr">
        <is>
          <t>NORRKÖPING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211-2024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45316</v>
      </c>
      <c r="E803" s="1" t="n">
        <v>46313</v>
      </c>
      <c r="F803" t="inlineStr">
        <is>
          <t>ÖSTERGÖTLANDS LÄN</t>
        </is>
      </c>
      <c r="G803" t="inlineStr">
        <is>
          <t>NORRKÖPING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1484-2022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44638</v>
      </c>
      <c r="E804" s="1" t="n">
        <v>46313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1678-2022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44649</v>
      </c>
      <c r="E805" s="1" t="n">
        <v>46313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10364-2021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44551</v>
      </c>
      <c r="E806" s="1" t="n">
        <v>46313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4973-2024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45629</v>
      </c>
      <c r="E807" s="1" t="n">
        <v>46313</v>
      </c>
      <c r="F807" t="inlineStr">
        <is>
          <t>ÖSTERGÖTLANDS LÄN</t>
        </is>
      </c>
      <c r="G807" t="inlineStr">
        <is>
          <t>NORRKÖPING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46313</v>
      </c>
      <c r="F808" t="inlineStr">
        <is>
          <t>ÖSTERGÖTLANDS LÄN</t>
        </is>
      </c>
      <c r="G808" t="inlineStr">
        <is>
          <t>NORRKÖPING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1663-2024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45432</v>
      </c>
      <c r="E809" s="1" t="n">
        <v>46313</v>
      </c>
      <c r="F809" t="inlineStr">
        <is>
          <t>ÖSTERGÖTLANDS LÄN</t>
        </is>
      </c>
      <c r="G809" t="inlineStr">
        <is>
          <t>NORRKÖPING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2481-2022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44692</v>
      </c>
      <c r="E810" s="1" t="n">
        <v>46313</v>
      </c>
      <c r="F810" t="inlineStr">
        <is>
          <t>ÖSTERGÖTLANDS LÄN</t>
        </is>
      </c>
      <c r="G810" t="inlineStr">
        <is>
          <t>NORRKÖPING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4012-2024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45571</v>
      </c>
      <c r="E811" s="1" t="n">
        <v>46313</v>
      </c>
      <c r="F811" t="inlineStr">
        <is>
          <t>ÖSTERGÖTLANDS LÄN</t>
        </is>
      </c>
      <c r="G811" t="inlineStr">
        <is>
          <t>NORRKÖPING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1486-2025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45789</v>
      </c>
      <c r="E812" s="1" t="n">
        <v>46313</v>
      </c>
      <c r="F812" t="inlineStr">
        <is>
          <t>ÖSTERGÖTLANDS LÄN</t>
        </is>
      </c>
      <c r="G812" t="inlineStr">
        <is>
          <t>NORRKÖPING</t>
        </is>
      </c>
      <c r="I812" t="n">
        <v>6.2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1433-2025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45784</v>
      </c>
      <c r="E813" s="1" t="n">
        <v>46313</v>
      </c>
      <c r="F813" t="inlineStr">
        <is>
          <t>ÖSTERGÖTLANDS LÄN</t>
        </is>
      </c>
      <c r="G813" t="inlineStr">
        <is>
          <t>NORRKÖPING</t>
        </is>
      </c>
      <c r="I813" t="n">
        <v>7.9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2026-10-18T08:08:15Z</dcterms:created>
  <dcterms:modified xmlns:dcterms="http://purl.org/dc/terms/" xmlns:xsi="http://www.w3.org/2001/XMLSchema-instance" xsi:type="dcterms:W3CDTF">2026-10-18T08:08:16Z</dcterms:modified>
</cp:coreProperties>
</file>