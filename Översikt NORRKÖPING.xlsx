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46324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46324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46324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46324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38056-2026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46280</v>
      </c>
      <c r="E12" s="1" t="n">
        <v>46324</v>
      </c>
      <c r="F12" t="inlineStr">
        <is>
          <t>ÖSTERGÖTLANDS LÄN</t>
        </is>
      </c>
      <c r="G12" t="inlineStr">
        <is>
          <t>NORRKÖPING</t>
        </is>
      </c>
      <c r="I12" t="n">
        <v>20.8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28</v>
      </c>
      <c r="U12" t="n">
        <v>28</v>
      </c>
      <c r="V12" s="2" t="inlineStr">
        <is>
          <t>Knärot
Grönhjon
Motaggsvamp
Tallticka
Ullticka
Vedskivlav
Blåmossa
Bronshjon
Grovticka
Grönpyrola
Mindre märgborre
Spillkråka
Tofsmes</t>
        </is>
      </c>
      <c r="W12">
        <f>HYPERLINK("https://klasma.github.io/Logging_0581/artfynd/A 38056-2026 artfynd.xlsx", "A 38056-2026")</f>
        <v/>
      </c>
      <c r="X12">
        <f>HYPERLINK("https://klasma.github.io/Logging_0581/kartor/A 38056-2026 karta.png", "A 38056-2026")</f>
        <v/>
      </c>
      <c r="Y12">
        <f>HYPERLINK("https://klasma.github.io/Logging_0581/kartor_geotiff/A 38056-2026 georefererad karta.tif", "A 38056-2026")</f>
        <v/>
      </c>
      <c r="Z12">
        <f>HYPERLINK("https://klasma.github.io/Logging_0581/knärot/A 38056-2026 karta knärot.png", "A 38056-2026")</f>
        <v/>
      </c>
      <c r="AA12">
        <f>HYPERLINK("https://klasma.github.io/Logging_0581/klagomål/A 38056-2026 FSC-klagomål.docx", "A 38056-2026")</f>
        <v/>
      </c>
      <c r="AB12">
        <f>HYPERLINK("https://klasma.github.io/Logging_0581/klagomålsmail/A 38056-2026 FSC-klagomål mail.docx", "A 38056-2026")</f>
        <v/>
      </c>
      <c r="AC12">
        <f>HYPERLINK("https://klasma.github.io/Logging_0581/tillsyn/A 38056-2026 tillsynsbegäran.docx", "A 38056-2026")</f>
        <v/>
      </c>
      <c r="AD12">
        <f>HYPERLINK("https://klasma.github.io/Logging_0581/tillsynsmail/A 38056-2026 tillsynsbegäran mail.docx", "A 38056-2026")</f>
        <v/>
      </c>
      <c r="AE12">
        <f>HYPERLINK("https://klasma.github.io/Logging_0581/fåglar/A 38056-2026 prioriterade fågelarter.docx", "A 38056-2026")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46324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46324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46324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46324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46324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46324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46324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46324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46324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2.8</v>
      </c>
      <c r="J21" t="n">
        <v>2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9</v>
      </c>
      <c r="T21" t="n">
        <v>12</v>
      </c>
      <c r="U21" t="n">
        <v>12</v>
      </c>
      <c r="V21" s="2" t="inlineStr">
        <is>
          <t>Tallticka
Vedskivlav
Blåmossa
Bronshjon
Flagellkvastmossa
Granbarkgnagare
Mindre märgborre
Spillkråka
Tofsmes</t>
        </is>
      </c>
      <c r="W21">
        <f>HYPERLINK("https://klasma.github.io/Logging_0581/artfynd/A 17466-2026 artfynd.xlsx", "A 17466-2026")</f>
        <v/>
      </c>
      <c r="X21">
        <f>HYPERLINK("https://klasma.github.io/Logging_0581/kartor/A 17466-2026 karta.png", "A 17466-2026")</f>
        <v/>
      </c>
      <c r="Y21">
        <f>HYPERLINK("https://klasma.github.io/Logging_0581/kartor_geotiff/A 17466-2026 georefererad karta.tif", "A 17466-2026")</f>
        <v/>
      </c>
      <c r="AA21">
        <f>HYPERLINK("https://klasma.github.io/Logging_0581/klagomål/A 17466-2026 FSC-klagomål.docx", "A 17466-2026")</f>
        <v/>
      </c>
      <c r="AB21">
        <f>HYPERLINK("https://klasma.github.io/Logging_0581/klagomålsmail/A 17466-2026 FSC-klagomål mail.docx", "A 17466-2026")</f>
        <v/>
      </c>
      <c r="AC21">
        <f>HYPERLINK("https://klasma.github.io/Logging_0581/tillsyn/A 17466-2026 tillsynsbegäran.docx", "A 17466-2026")</f>
        <v/>
      </c>
      <c r="AD21">
        <f>HYPERLINK("https://klasma.github.io/Logging_0581/tillsynsmail/A 17466-2026 tillsynsbegäran mail.docx", "A 17466-2026")</f>
        <v/>
      </c>
      <c r="AE21">
        <f>HYPERLINK("https://klasma.github.io/Logging_0581/fåglar/A 17466-2026 prioriterade fågelarter.docx", "A 17466-2026")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46324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46324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46324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46324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46324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46324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46324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46324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46324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46324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3815-2026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46324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Kommuner</t>
        </is>
      </c>
      <c r="I35" t="n">
        <v>1.1</v>
      </c>
      <c r="J35" t="n">
        <v>5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3</v>
      </c>
      <c r="V35" s="2" t="inlineStr">
        <is>
          <t>Grönfink
Entita
Stjärtmes
Tofsmes
Kungsfågel</t>
        </is>
      </c>
      <c r="W35">
        <f>HYPERLINK("https://klasma.github.io/Logging_0581/artfynd/A 3815-2026 artfynd.xlsx", "A 3815-2026")</f>
        <v/>
      </c>
      <c r="X35">
        <f>HYPERLINK("https://klasma.github.io/Logging_0581/kartor/A 3815-2026 karta.png", "A 3815-2026")</f>
        <v/>
      </c>
      <c r="Y35">
        <f>HYPERLINK("https://klasma.github.io/Logging_0581/kartor_geotiff/A 3815-2026 georefererad karta.tif", "A 3815-2026")</f>
        <v/>
      </c>
      <c r="AA35">
        <f>HYPERLINK("https://klasma.github.io/Logging_0581/klagomål/A 3815-2026 FSC-klagomål.docx", "A 3815-2026")</f>
        <v/>
      </c>
      <c r="AB35">
        <f>HYPERLINK("https://klasma.github.io/Logging_0581/klagomålsmail/A 3815-2026 FSC-klagomål mail.docx", "A 3815-2026")</f>
        <v/>
      </c>
      <c r="AC35">
        <f>HYPERLINK("https://klasma.github.io/Logging_0581/tillsyn/A 3815-2026 tillsynsbegäran.docx", "A 3815-2026")</f>
        <v/>
      </c>
      <c r="AD35">
        <f>HYPERLINK("https://klasma.github.io/Logging_0581/tillsynsmail/A 3815-2026 tillsynsbegäran mail.docx", "A 3815-2026")</f>
        <v/>
      </c>
      <c r="AE35">
        <f>HYPERLINK("https://klasma.github.io/Logging_0581/fåglar/A 3815-2026 prioriterade fågelarter.docx", "A 3815-2026")</f>
        <v/>
      </c>
    </row>
    <row r="36" ht="15" customHeight="1">
      <c r="A36" t="inlineStr">
        <is>
          <t>A 4820-2026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46324</v>
      </c>
      <c r="F36" t="inlineStr">
        <is>
          <t>ÖSTERGÖTLANDS LÄN</t>
        </is>
      </c>
      <c r="G36" t="inlineStr">
        <is>
          <t>NORRKÖPING</t>
        </is>
      </c>
      <c r="I36" t="n">
        <v>5.9</v>
      </c>
      <c r="J36" t="n">
        <v>0</v>
      </c>
      <c r="K36" t="n">
        <v>1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Gammelekslav
Gul dropplav
Skuggorangelav
Tallticka
Brun nållav</t>
        </is>
      </c>
      <c r="W36">
        <f>HYPERLINK("https://klasma.github.io/Logging_0581/artfynd/A 4820-2026 artfynd.xlsx", "A 4820-2026")</f>
        <v/>
      </c>
      <c r="X36">
        <f>HYPERLINK("https://klasma.github.io/Logging_0581/kartor/A 4820-2026 karta.png", "A 4820-2026")</f>
        <v/>
      </c>
      <c r="Y36">
        <f>HYPERLINK("https://klasma.github.io/Logging_0581/kartor_geotiff/A 4820-2026 georefererad karta.tif", "A 4820-2026")</f>
        <v/>
      </c>
      <c r="AA36">
        <f>HYPERLINK("https://klasma.github.io/Logging_0581/klagomål/A 4820-2026 FSC-klagomål.docx", "A 4820-2026")</f>
        <v/>
      </c>
      <c r="AB36">
        <f>HYPERLINK("https://klasma.github.io/Logging_0581/klagomålsmail/A 4820-2026 FSC-klagomål mail.docx", "A 4820-2026")</f>
        <v/>
      </c>
      <c r="AC36">
        <f>HYPERLINK("https://klasma.github.io/Logging_0581/tillsyn/A 4820-2026 tillsynsbegäran.docx", "A 4820-2026")</f>
        <v/>
      </c>
      <c r="AD36">
        <f>HYPERLINK("https://klasma.github.io/Logging_0581/tillsynsmail/A 4820-2026 tillsynsbegäran mail.docx", "A 4820-2026")</f>
        <v/>
      </c>
    </row>
    <row r="37" ht="15" customHeight="1">
      <c r="A37" t="inlineStr">
        <is>
          <t>A 5941-2024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45336</v>
      </c>
      <c r="E37" s="1" t="n">
        <v>46324</v>
      </c>
      <c r="F37" t="inlineStr">
        <is>
          <t>ÖSTERGÖTLANDS LÄN</t>
        </is>
      </c>
      <c r="G37" t="inlineStr">
        <is>
          <t>NORRKÖPING</t>
        </is>
      </c>
      <c r="I37" t="n">
        <v>5.1</v>
      </c>
      <c r="J37" t="n">
        <v>4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Entita
Nordfladdermus
Slåtterfibbla
Dvärgpipistrell
Större brunfladdermus</t>
        </is>
      </c>
      <c r="W37">
        <f>HYPERLINK("https://klasma.github.io/Logging_0581/artfynd/A 5941-2024 artfynd.xlsx", "A 5941-2024")</f>
        <v/>
      </c>
      <c r="X37">
        <f>HYPERLINK("https://klasma.github.io/Logging_0581/kartor/A 5941-2024 karta.png", "A 5941-2024")</f>
        <v/>
      </c>
      <c r="Y37">
        <f>HYPERLINK("https://klasma.github.io/Logging_0581/kartor_geotiff/A 5941-2024 georefererad karta.tif", "A 5941-2024")</f>
        <v/>
      </c>
      <c r="AA37">
        <f>HYPERLINK("https://klasma.github.io/Logging_0581/klagomål/A 5941-2024 FSC-klagomål.docx", "A 5941-2024")</f>
        <v/>
      </c>
      <c r="AB37">
        <f>HYPERLINK("https://klasma.github.io/Logging_0581/klagomålsmail/A 5941-2024 FSC-klagomål mail.docx", "A 5941-2024")</f>
        <v/>
      </c>
      <c r="AC37">
        <f>HYPERLINK("https://klasma.github.io/Logging_0581/tillsyn/A 5941-2024 tillsynsbegäran.docx", "A 5941-2024")</f>
        <v/>
      </c>
      <c r="AD37">
        <f>HYPERLINK("https://klasma.github.io/Logging_0581/tillsynsmail/A 5941-2024 tillsynsbegäran mail.docx", "A 5941-2024")</f>
        <v/>
      </c>
      <c r="AE37">
        <f>HYPERLINK("https://klasma.github.io/Logging_0581/fåglar/A 5941-2024 prioriterade fågelarter.docx", "A 5941-2024")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46324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21536-2025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46324</v>
      </c>
      <c r="F39" t="inlineStr">
        <is>
          <t>ÖSTERGÖTLANDS LÄN</t>
        </is>
      </c>
      <c r="G39" t="inlineStr">
        <is>
          <t>NORRKÖPING</t>
        </is>
      </c>
      <c r="I39" t="n">
        <v>6.2</v>
      </c>
      <c r="J39" t="n">
        <v>1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Reliktbock
Tjockfotad fingersvamp
Grovticka
Grön sköldmossa
Stubbspretmossa</t>
        </is>
      </c>
      <c r="W39">
        <f>HYPERLINK("https://klasma.github.io/Logging_0581/artfynd/A 21536-2025 artfynd.xlsx", "A 21536-2025")</f>
        <v/>
      </c>
      <c r="X39">
        <f>HYPERLINK("https://klasma.github.io/Logging_0581/kartor/A 21536-2025 karta.png", "A 21536-2025")</f>
        <v/>
      </c>
      <c r="Y39">
        <f>HYPERLINK("https://klasma.github.io/Logging_0581/kartor_geotiff/A 21536-2025 georefererad karta.tif", "A 21536-2025")</f>
        <v/>
      </c>
      <c r="AA39">
        <f>HYPERLINK("https://klasma.github.io/Logging_0581/klagomål/A 21536-2025 FSC-klagomål.docx", "A 21536-2025")</f>
        <v/>
      </c>
      <c r="AB39">
        <f>HYPERLINK("https://klasma.github.io/Logging_0581/klagomålsmail/A 21536-2025 FSC-klagomål mail.docx", "A 21536-2025")</f>
        <v/>
      </c>
      <c r="AC39">
        <f>HYPERLINK("https://klasma.github.io/Logging_0581/tillsyn/A 21536-2025 tillsynsbegäran.docx", "A 21536-2025")</f>
        <v/>
      </c>
      <c r="AD39">
        <f>HYPERLINK("https://klasma.github.io/Logging_0581/tillsynsmail/A 21536-2025 tillsynsbegäran mail.docx", "A 21536-2025")</f>
        <v/>
      </c>
    </row>
    <row r="40" ht="15" customHeight="1">
      <c r="A40" t="inlineStr">
        <is>
          <t>A 2165-2022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46324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BillerudKorsnäs AB</t>
        </is>
      </c>
      <c r="I40" t="n">
        <v>2.1</v>
      </c>
      <c r="J40" t="n">
        <v>3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Röd skogslilja
Granbarkgnagare
Purpurknipprot
Stubbspretmossa
Blåsippa</t>
        </is>
      </c>
      <c r="W40">
        <f>HYPERLINK("https://klasma.github.io/Logging_0581/artfynd/A 2165-2022 artfynd.xlsx", "A 2165-2022")</f>
        <v/>
      </c>
      <c r="X40">
        <f>HYPERLINK("https://klasma.github.io/Logging_0581/kartor/A 2165-2022 karta.png", "A 2165-2022")</f>
        <v/>
      </c>
      <c r="Y40">
        <f>HYPERLINK("https://klasma.github.io/Logging_0581/kartor_geotiff/A 2165-2022 georefererad karta.tif", "A 2165-2022")</f>
        <v/>
      </c>
      <c r="AA40">
        <f>HYPERLINK("https://klasma.github.io/Logging_0581/klagomål/A 2165-2022 FSC-klagomål.docx", "A 2165-2022")</f>
        <v/>
      </c>
      <c r="AB40">
        <f>HYPERLINK("https://klasma.github.io/Logging_0581/klagomålsmail/A 2165-2022 FSC-klagomål mail.docx", "A 2165-2022")</f>
        <v/>
      </c>
      <c r="AC40">
        <f>HYPERLINK("https://klasma.github.io/Logging_0581/tillsyn/A 2165-2022 tillsynsbegäran.docx", "A 2165-2022")</f>
        <v/>
      </c>
      <c r="AD40">
        <f>HYPERLINK("https://klasma.github.io/Logging_0581/tillsynsmail/A 2165-2022 tillsynsbegäran mail.docx", "A 2165-2022")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46324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46324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46324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4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46324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42434-2025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45905</v>
      </c>
      <c r="E45" s="1" t="n">
        <v>46324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0</v>
      </c>
      <c r="K45" t="n">
        <v>3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Vedskivlav
Blåmossa
Grönpyrola
Guldlockmossa</t>
        </is>
      </c>
      <c r="W45">
        <f>HYPERLINK("https://klasma.github.io/Logging_0581/artfynd/A 42434-2025 artfynd.xlsx", "A 42434-2025")</f>
        <v/>
      </c>
      <c r="X45">
        <f>HYPERLINK("https://klasma.github.io/Logging_0581/kartor/A 42434-2025 karta.png", "A 42434-2025")</f>
        <v/>
      </c>
      <c r="Y45">
        <f>HYPERLINK("https://klasma.github.io/Logging_0581/kartor_geotiff/A 42434-2025 georefererad karta.tif", "A 42434-2025")</f>
        <v/>
      </c>
      <c r="AA45">
        <f>HYPERLINK("https://klasma.github.io/Logging_0581/klagomål/A 42434-2025 FSC-klagomål.docx", "A 42434-2025")</f>
        <v/>
      </c>
      <c r="AB45">
        <f>HYPERLINK("https://klasma.github.io/Logging_0581/klagomålsmail/A 42434-2025 FSC-klagomål mail.docx", "A 42434-2025")</f>
        <v/>
      </c>
      <c r="AC45">
        <f>HYPERLINK("https://klasma.github.io/Logging_0581/tillsyn/A 42434-2025 tillsynsbegäran.docx", "A 42434-2025")</f>
        <v/>
      </c>
      <c r="AD45">
        <f>HYPERLINK("https://klasma.github.io/Logging_0581/tillsynsmail/A 42434-2025 tillsynsbegäran mail.docx", "A 42434-2025")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46324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46324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46324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46324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17465-2026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46324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1.9</v>
      </c>
      <c r="J50" t="n">
        <v>2</v>
      </c>
      <c r="K50" t="n">
        <v>2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6</v>
      </c>
      <c r="U50" t="n">
        <v>2</v>
      </c>
      <c r="V50" s="2" t="inlineStr">
        <is>
          <t>Knärot
Blåmossa
Grönpyrola
Spillkråka</t>
        </is>
      </c>
      <c r="W50">
        <f>HYPERLINK("https://klasma.github.io/Logging_0581/artfynd/A 17465-2026 artfynd.xlsx", "A 17465-2026")</f>
        <v/>
      </c>
      <c r="X50">
        <f>HYPERLINK("https://klasma.github.io/Logging_0581/kartor/A 17465-2026 karta.png", "A 17465-2026")</f>
        <v/>
      </c>
      <c r="Y50">
        <f>HYPERLINK("https://klasma.github.io/Logging_0581/kartor_geotiff/A 17465-2026 georefererad karta.tif", "A 17465-2026")</f>
        <v/>
      </c>
      <c r="Z50">
        <f>HYPERLINK("https://klasma.github.io/Logging_0581/knärot/A 17465-2026 karta knärot.png", "A 17465-2026")</f>
        <v/>
      </c>
      <c r="AA50">
        <f>HYPERLINK("https://klasma.github.io/Logging_0581/klagomål/A 17465-2026 FSC-klagomål.docx", "A 17465-2026")</f>
        <v/>
      </c>
      <c r="AB50">
        <f>HYPERLINK("https://klasma.github.io/Logging_0581/klagomålsmail/A 17465-2026 FSC-klagomål mail.docx", "A 17465-2026")</f>
        <v/>
      </c>
      <c r="AC50">
        <f>HYPERLINK("https://klasma.github.io/Logging_0581/tillsyn/A 17465-2026 tillsynsbegäran.docx", "A 17465-2026")</f>
        <v/>
      </c>
      <c r="AD50">
        <f>HYPERLINK("https://klasma.github.io/Logging_0581/tillsynsmail/A 17465-2026 tillsynsbegäran mail.docx", "A 17465-2026")</f>
        <v/>
      </c>
      <c r="AE50">
        <f>HYPERLINK("https://klasma.github.io/Logging_0581/fåglar/A 17465-2026 prioriterade fågelarter.docx", "A 17465-2026")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46324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46324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28062-2022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46324</v>
      </c>
      <c r="F54" t="inlineStr">
        <is>
          <t>ÖSTERGÖTLANDS LÄN</t>
        </is>
      </c>
      <c r="G54" t="inlineStr">
        <is>
          <t>NORRKÖPING</t>
        </is>
      </c>
      <c r="I54" t="n">
        <v>3.6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0</v>
      </c>
      <c r="V54" s="2" t="inlineStr">
        <is>
          <t>Slåtterfibbla
Svinrot
Mattlummer</t>
        </is>
      </c>
      <c r="W54">
        <f>HYPERLINK("https://klasma.github.io/Logging_0581/artfynd/A 28062-2022 artfynd.xlsx", "A 28062-2022")</f>
        <v/>
      </c>
      <c r="X54">
        <f>HYPERLINK("https://klasma.github.io/Logging_0581/kartor/A 28062-2022 karta.png", "A 28062-2022")</f>
        <v/>
      </c>
      <c r="Y54">
        <f>HYPERLINK("https://klasma.github.io/Logging_0581/kartor_geotiff/A 28062-2022 georefererad karta.tif", "A 28062-2022")</f>
        <v/>
      </c>
      <c r="AA54">
        <f>HYPERLINK("https://klasma.github.io/Logging_0581/klagomål/A 28062-2022 FSC-klagomål.docx", "A 28062-2022")</f>
        <v/>
      </c>
      <c r="AB54">
        <f>HYPERLINK("https://klasma.github.io/Logging_0581/klagomålsmail/A 28062-2022 FSC-klagomål mail.docx", "A 28062-2022")</f>
        <v/>
      </c>
      <c r="AC54">
        <f>HYPERLINK("https://klasma.github.io/Logging_0581/tillsyn/A 28062-2022 tillsynsbegäran.docx", "A 28062-2022")</f>
        <v/>
      </c>
      <c r="AD54">
        <f>HYPERLINK("https://klasma.github.io/Logging_0581/tillsynsmail/A 28062-2022 tillsynsbegäran mail.docx", "A 28062-2022")</f>
        <v/>
      </c>
    </row>
    <row r="55" ht="15" customHeight="1">
      <c r="A55" t="inlineStr">
        <is>
          <t>A 23969-2025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46324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1</v>
      </c>
      <c r="V55" s="2" t="inlineStr">
        <is>
          <t>Crepis tectorum subsp. tectorum
Grönsångare
Tallticka</t>
        </is>
      </c>
      <c r="W55">
        <f>HYPERLINK("https://klasma.github.io/Logging_0581/artfynd/A 23969-2025 artfynd.xlsx", "A 23969-2025")</f>
        <v/>
      </c>
      <c r="X55">
        <f>HYPERLINK("https://klasma.github.io/Logging_0581/kartor/A 23969-2025 karta.png", "A 23969-2025")</f>
        <v/>
      </c>
      <c r="Y55">
        <f>HYPERLINK("https://klasma.github.io/Logging_0581/kartor_geotiff/A 23969-2025 georefererad karta.tif", "A 23969-2025")</f>
        <v/>
      </c>
      <c r="AA55">
        <f>HYPERLINK("https://klasma.github.io/Logging_0581/klagomål/A 23969-2025 FSC-klagomål.docx", "A 23969-2025")</f>
        <v/>
      </c>
      <c r="AB55">
        <f>HYPERLINK("https://klasma.github.io/Logging_0581/klagomålsmail/A 23969-2025 FSC-klagomål mail.docx", "A 23969-2025")</f>
        <v/>
      </c>
      <c r="AC55">
        <f>HYPERLINK("https://klasma.github.io/Logging_0581/tillsyn/A 23969-2025 tillsynsbegäran.docx", "A 23969-2025")</f>
        <v/>
      </c>
      <c r="AD55">
        <f>HYPERLINK("https://klasma.github.io/Logging_0581/tillsynsmail/A 23969-2025 tillsynsbegäran mail.docx", "A 23969-2025")</f>
        <v/>
      </c>
      <c r="AE55">
        <f>HYPERLINK("https://klasma.github.io/Logging_0581/fåglar/A 23969-2025 prioriterade fågelarter.docx", "A 23969-2025")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46324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14646-2023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45013</v>
      </c>
      <c r="E57" s="1" t="n">
        <v>46324</v>
      </c>
      <c r="F57" t="inlineStr">
        <is>
          <t>ÖSTERGÖTLANDS LÄN</t>
        </is>
      </c>
      <c r="G57" t="inlineStr">
        <is>
          <t>NORRKÖPING</t>
        </is>
      </c>
      <c r="I57" t="n">
        <v>5.4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Skogsalm
Vanlig backsmörblomma
Fläcknycklar</t>
        </is>
      </c>
      <c r="W57">
        <f>HYPERLINK("https://klasma.github.io/Logging_0581/artfynd/A 14646-2023 artfynd.xlsx", "A 14646-2023")</f>
        <v/>
      </c>
      <c r="X57">
        <f>HYPERLINK("https://klasma.github.io/Logging_0581/kartor/A 14646-2023 karta.png", "A 14646-2023")</f>
        <v/>
      </c>
      <c r="Y57">
        <f>HYPERLINK("https://klasma.github.io/Logging_0581/kartor_geotiff/A 14646-2023 georefererad karta.tif", "A 14646-2023")</f>
        <v/>
      </c>
      <c r="AA57">
        <f>HYPERLINK("https://klasma.github.io/Logging_0581/klagomål/A 14646-2023 FSC-klagomål.docx", "A 14646-2023")</f>
        <v/>
      </c>
      <c r="AB57">
        <f>HYPERLINK("https://klasma.github.io/Logging_0581/klagomålsmail/A 14646-2023 FSC-klagomål mail.docx", "A 14646-2023")</f>
        <v/>
      </c>
      <c r="AC57">
        <f>HYPERLINK("https://klasma.github.io/Logging_0581/tillsyn/A 14646-2023 tillsynsbegäran.docx", "A 14646-2023")</f>
        <v/>
      </c>
      <c r="AD57">
        <f>HYPERLINK("https://klasma.github.io/Logging_0581/tillsynsmail/A 14646-2023 tillsynsbegäran mail.docx", "A 14646-2023")</f>
        <v/>
      </c>
    </row>
    <row r="58" ht="15" customHeight="1">
      <c r="A58" t="inlineStr">
        <is>
          <t>A 44677-2025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46324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Motaggsvamp
Vedskivlav
Fällmossa</t>
        </is>
      </c>
      <c r="W58">
        <f>HYPERLINK("https://klasma.github.io/Logging_0581/artfynd/A 44677-2025 artfynd.xlsx", "A 44677-2025")</f>
        <v/>
      </c>
      <c r="X58">
        <f>HYPERLINK("https://klasma.github.io/Logging_0581/kartor/A 44677-2025 karta.png", "A 44677-2025")</f>
        <v/>
      </c>
      <c r="Y58">
        <f>HYPERLINK("https://klasma.github.io/Logging_0581/kartor_geotiff/A 44677-2025 georefererad karta.tif", "A 44677-2025")</f>
        <v/>
      </c>
      <c r="AA58">
        <f>HYPERLINK("https://klasma.github.io/Logging_0581/klagomål/A 44677-2025 FSC-klagomål.docx", "A 44677-2025")</f>
        <v/>
      </c>
      <c r="AB58">
        <f>HYPERLINK("https://klasma.github.io/Logging_0581/klagomålsmail/A 44677-2025 FSC-klagomål mail.docx", "A 44677-2025")</f>
        <v/>
      </c>
      <c r="AC58">
        <f>HYPERLINK("https://klasma.github.io/Logging_0581/tillsyn/A 44677-2025 tillsynsbegäran.docx", "A 44677-2025")</f>
        <v/>
      </c>
      <c r="AD58">
        <f>HYPERLINK("https://klasma.github.io/Logging_0581/tillsynsmail/A 44677-2025 tillsynsbegäran mail.docx", "A 44677-2025")</f>
        <v/>
      </c>
    </row>
    <row r="59" ht="15" customHeight="1">
      <c r="A59" t="inlineStr">
        <is>
          <t>A 35736-2025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45860</v>
      </c>
      <c r="E59" s="1" t="n">
        <v>46324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11.5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Vedskivlav
Tjäder</t>
        </is>
      </c>
      <c r="W59">
        <f>HYPERLINK("https://klasma.github.io/Logging_0581/artfynd/A 35736-2025 artfynd.xlsx", "A 35736-2025")</f>
        <v/>
      </c>
      <c r="X59">
        <f>HYPERLINK("https://klasma.github.io/Logging_0581/kartor/A 35736-2025 karta.png", "A 35736-2025")</f>
        <v/>
      </c>
      <c r="Y59">
        <f>HYPERLINK("https://klasma.github.io/Logging_0581/kartor_geotiff/A 35736-2025 georefererad karta.tif", "A 35736-2025")</f>
        <v/>
      </c>
      <c r="AA59">
        <f>HYPERLINK("https://klasma.github.io/Logging_0581/klagomål/A 35736-2025 FSC-klagomål.docx", "A 35736-2025")</f>
        <v/>
      </c>
      <c r="AB59">
        <f>HYPERLINK("https://klasma.github.io/Logging_0581/klagomålsmail/A 35736-2025 FSC-klagomål mail.docx", "A 35736-2025")</f>
        <v/>
      </c>
      <c r="AC59">
        <f>HYPERLINK("https://klasma.github.io/Logging_0581/tillsyn/A 35736-2025 tillsynsbegäran.docx", "A 35736-2025")</f>
        <v/>
      </c>
      <c r="AD59">
        <f>HYPERLINK("https://klasma.github.io/Logging_0581/tillsynsmail/A 35736-2025 tillsynsbegäran mail.docx", "A 35736-2025")</f>
        <v/>
      </c>
      <c r="AE59">
        <f>HYPERLINK("https://klasma.github.io/Logging_0581/fåglar/A 35736-2025 prioriterade fågelarter.docx", "A 35736-2025")</f>
        <v/>
      </c>
    </row>
    <row r="60" ht="15" customHeight="1">
      <c r="A60" t="inlineStr">
        <is>
          <t>A 8468-2023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46324</v>
      </c>
      <c r="F60" t="inlineStr">
        <is>
          <t>ÖSTERGÖTLANDS LÄN</t>
        </is>
      </c>
      <c r="G60" t="inlineStr">
        <is>
          <t>NORRKÖPING</t>
        </is>
      </c>
      <c r="I60" t="n">
        <v>6.7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0</v>
      </c>
      <c r="V60" s="2" t="inlineStr">
        <is>
          <t>Tallticka
Bronshjon
Blåsippa</t>
        </is>
      </c>
      <c r="W60">
        <f>HYPERLINK("https://klasma.github.io/Logging_0581/artfynd/A 8468-2023 artfynd.xlsx", "A 8468-2023")</f>
        <v/>
      </c>
      <c r="X60">
        <f>HYPERLINK("https://klasma.github.io/Logging_0581/kartor/A 8468-2023 karta.png", "A 8468-2023")</f>
        <v/>
      </c>
      <c r="Y60">
        <f>HYPERLINK("https://klasma.github.io/Logging_0581/kartor_geotiff/A 8468-2023 georefererad karta.tif", "A 8468-2023")</f>
        <v/>
      </c>
      <c r="AA60">
        <f>HYPERLINK("https://klasma.github.io/Logging_0581/klagomål/A 8468-2023 FSC-klagomål.docx", "A 8468-2023")</f>
        <v/>
      </c>
      <c r="AB60">
        <f>HYPERLINK("https://klasma.github.io/Logging_0581/klagomålsmail/A 8468-2023 FSC-klagomål mail.docx", "A 8468-2023")</f>
        <v/>
      </c>
      <c r="AC60">
        <f>HYPERLINK("https://klasma.github.io/Logging_0581/tillsyn/A 8468-2023 tillsynsbegäran.docx", "A 8468-2023")</f>
        <v/>
      </c>
      <c r="AD60">
        <f>HYPERLINK("https://klasma.github.io/Logging_0581/tillsynsmail/A 8468-2023 tillsynsbegäran mail.docx", "A 8468-2023")</f>
        <v/>
      </c>
    </row>
    <row r="61" ht="15" customHeight="1">
      <c r="A61" t="inlineStr">
        <is>
          <t>A 60171-2023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45258</v>
      </c>
      <c r="E61" s="1" t="n">
        <v>46324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1.7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Blomkålssvamp
Kransmossa</t>
        </is>
      </c>
      <c r="W61">
        <f>HYPERLINK("https://klasma.github.io/Logging_0581/artfynd/A 60171-2023 artfynd.xlsx", "A 60171-2023")</f>
        <v/>
      </c>
      <c r="X61">
        <f>HYPERLINK("https://klasma.github.io/Logging_0581/kartor/A 60171-2023 karta.png", "A 60171-2023")</f>
        <v/>
      </c>
      <c r="Y61">
        <f>HYPERLINK("https://klasma.github.io/Logging_0581/kartor_geotiff/A 60171-2023 georefererad karta.tif", "A 60171-2023")</f>
        <v/>
      </c>
      <c r="AA61">
        <f>HYPERLINK("https://klasma.github.io/Logging_0581/klagomål/A 60171-2023 FSC-klagomål.docx", "A 60171-2023")</f>
        <v/>
      </c>
      <c r="AB61">
        <f>HYPERLINK("https://klasma.github.io/Logging_0581/klagomålsmail/A 60171-2023 FSC-klagomål mail.docx", "A 60171-2023")</f>
        <v/>
      </c>
      <c r="AC61">
        <f>HYPERLINK("https://klasma.github.io/Logging_0581/tillsyn/A 60171-2023 tillsynsbegäran.docx", "A 60171-2023")</f>
        <v/>
      </c>
      <c r="AD61">
        <f>HYPERLINK("https://klasma.github.io/Logging_0581/tillsynsmail/A 60171-2023 tillsynsbegäran mail.docx", "A 60171-2023")</f>
        <v/>
      </c>
    </row>
    <row r="62" ht="15" customHeight="1">
      <c r="A62" t="inlineStr">
        <is>
          <t>A 11757-2025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46324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10.2</v>
      </c>
      <c r="J62" t="n">
        <v>0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5</v>
      </c>
      <c r="V62" s="2" t="inlineStr">
        <is>
          <t>Dropptaggsvamp
Blomkålssvamp
Kornknutmossa</t>
        </is>
      </c>
      <c r="W62">
        <f>HYPERLINK("https://klasma.github.io/Logging_0581/artfynd/A 11757-2025 artfynd.xlsx", "A 11757-2025")</f>
        <v/>
      </c>
      <c r="X62">
        <f>HYPERLINK("https://klasma.github.io/Logging_0581/kartor/A 11757-2025 karta.png", "A 11757-2025")</f>
        <v/>
      </c>
      <c r="Y62">
        <f>HYPERLINK("https://klasma.github.io/Logging_0581/kartor_geotiff/A 11757-2025 georefererad karta.tif", "A 11757-2025")</f>
        <v/>
      </c>
      <c r="AA62">
        <f>HYPERLINK("https://klasma.github.io/Logging_0581/klagomål/A 11757-2025 FSC-klagomål.docx", "A 11757-2025")</f>
        <v/>
      </c>
      <c r="AB62">
        <f>HYPERLINK("https://klasma.github.io/Logging_0581/klagomålsmail/A 11757-2025 FSC-klagomål mail.docx", "A 11757-2025")</f>
        <v/>
      </c>
      <c r="AC62">
        <f>HYPERLINK("https://klasma.github.io/Logging_0581/tillsyn/A 11757-2025 tillsynsbegäran.docx", "A 11757-2025")</f>
        <v/>
      </c>
      <c r="AD62">
        <f>HYPERLINK("https://klasma.github.io/Logging_0581/tillsynsmail/A 11757-2025 tillsynsbegäran mail.docx", "A 11757-2025")</f>
        <v/>
      </c>
    </row>
    <row r="63" ht="15" customHeight="1">
      <c r="A63" t="inlineStr">
        <is>
          <t>A 9512-2023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46324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2.1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Garnlav
Tallticka
Jättesvampmal</t>
        </is>
      </c>
      <c r="W63">
        <f>HYPERLINK("https://klasma.github.io/Logging_0581/artfynd/A 9512-2023 artfynd.xlsx", "A 9512-2023")</f>
        <v/>
      </c>
      <c r="X63">
        <f>HYPERLINK("https://klasma.github.io/Logging_0581/kartor/A 9512-2023 karta.png", "A 9512-2023")</f>
        <v/>
      </c>
      <c r="Y63">
        <f>HYPERLINK("https://klasma.github.io/Logging_0581/kartor_geotiff/A 9512-2023 georefererad karta.tif", "A 9512-2023")</f>
        <v/>
      </c>
      <c r="AA63">
        <f>HYPERLINK("https://klasma.github.io/Logging_0581/klagomål/A 9512-2023 FSC-klagomål.docx", "A 9512-2023")</f>
        <v/>
      </c>
      <c r="AB63">
        <f>HYPERLINK("https://klasma.github.io/Logging_0581/klagomålsmail/A 9512-2023 FSC-klagomål mail.docx", "A 9512-2023")</f>
        <v/>
      </c>
      <c r="AC63">
        <f>HYPERLINK("https://klasma.github.io/Logging_0581/tillsyn/A 9512-2023 tillsynsbegäran.docx", "A 9512-2023")</f>
        <v/>
      </c>
      <c r="AD63">
        <f>HYPERLINK("https://klasma.github.io/Logging_0581/tillsynsmail/A 9512-2023 tillsynsbegäran mail.docx", "A 9512-2023")</f>
        <v/>
      </c>
    </row>
    <row r="64" ht="15" customHeight="1">
      <c r="A64" t="inlineStr">
        <is>
          <t>A 34439-2023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46324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3.5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Grönpyrola
Plattlummer
Äkta lopplummer</t>
        </is>
      </c>
      <c r="W64">
        <f>HYPERLINK("https://klasma.github.io/Logging_0581/artfynd/A 34439-2023 artfynd.xlsx", "A 34439-2023")</f>
        <v/>
      </c>
      <c r="X64">
        <f>HYPERLINK("https://klasma.github.io/Logging_0581/kartor/A 34439-2023 karta.png", "A 34439-2023")</f>
        <v/>
      </c>
      <c r="Y64">
        <f>HYPERLINK("https://klasma.github.io/Logging_0581/kartor_geotiff/A 34439-2023 georefererad karta.tif", "A 34439-2023")</f>
        <v/>
      </c>
      <c r="Z64">
        <f>HYPERLINK("https://klasma.github.io/Logging_0581/knärot/A 34439-2023 karta knärot.png", "A 34439-2023")</f>
        <v/>
      </c>
      <c r="AA64">
        <f>HYPERLINK("https://klasma.github.io/Logging_0581/klagomål/A 34439-2023 FSC-klagomål.docx", "A 34439-2023")</f>
        <v/>
      </c>
      <c r="AB64">
        <f>HYPERLINK("https://klasma.github.io/Logging_0581/klagomålsmail/A 34439-2023 FSC-klagomål mail.docx", "A 34439-2023")</f>
        <v/>
      </c>
      <c r="AC64">
        <f>HYPERLINK("https://klasma.github.io/Logging_0581/tillsyn/A 34439-2023 tillsynsbegäran.docx", "A 34439-2023")</f>
        <v/>
      </c>
      <c r="AD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46037</v>
      </c>
      <c r="E65" s="1" t="n">
        <v>46324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0.6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4</v>
      </c>
      <c r="U65" t="n">
        <v>3</v>
      </c>
      <c r="V65" s="2" t="inlineStr">
        <is>
          <t>Dropptaggsvamp
Dvärgbägarlav
Bronshjon</t>
        </is>
      </c>
      <c r="W65">
        <f>HYPERLINK("https://klasma.github.io/Logging_0581/artfynd/A 2484-2026 artfynd.xlsx", "A 2484-2026")</f>
        <v/>
      </c>
      <c r="X65">
        <f>HYPERLINK("https://klasma.github.io/Logging_0581/kartor/A 2484-2026 karta.png", "A 2484-2026")</f>
        <v/>
      </c>
      <c r="Y65">
        <f>HYPERLINK("https://klasma.github.io/Logging_0581/kartor_geotiff/A 2484-2026 georefererad karta.tif", "A 2484-2026")</f>
        <v/>
      </c>
      <c r="AA65">
        <f>HYPERLINK("https://klasma.github.io/Logging_0581/klagomål/A 2484-2026 FSC-klagomål.docx", "A 2484-2026")</f>
        <v/>
      </c>
      <c r="AB65">
        <f>HYPERLINK("https://klasma.github.io/Logging_0581/klagomålsmail/A 2484-2026 FSC-klagomål mail.docx", "A 2484-2026")</f>
        <v/>
      </c>
      <c r="AC65">
        <f>HYPERLINK("https://klasma.github.io/Logging_0581/tillsyn/A 2484-2026 tillsynsbegäran.docx", "A 2484-2026")</f>
        <v/>
      </c>
      <c r="AD65">
        <f>HYPERLINK("https://klasma.github.io/Logging_0581/tillsynsmail/A 2484-2026 tillsynsbegäran mail.docx", "A 2484-2026")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46324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46324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46324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46324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19989-2026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46324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4.6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Ullticka
Hasselticka
Spillkråka</t>
        </is>
      </c>
      <c r="W70">
        <f>HYPERLINK("https://klasma.github.io/Logging_0581/artfynd/A 19989-2026 artfynd.xlsx", "A 19989-2026")</f>
        <v/>
      </c>
      <c r="X70">
        <f>HYPERLINK("https://klasma.github.io/Logging_0581/kartor/A 19989-2026 karta.png", "A 19989-2026")</f>
        <v/>
      </c>
      <c r="Y70">
        <f>HYPERLINK("https://klasma.github.io/Logging_0581/kartor_geotiff/A 19989-2026 georefererad karta.tif", "A 19989-2026")</f>
        <v/>
      </c>
      <c r="AA70">
        <f>HYPERLINK("https://klasma.github.io/Logging_0581/klagomål/A 19989-2026 FSC-klagomål.docx", "A 19989-2026")</f>
        <v/>
      </c>
      <c r="AB70">
        <f>HYPERLINK("https://klasma.github.io/Logging_0581/klagomålsmail/A 19989-2026 FSC-klagomål mail.docx", "A 19989-2026")</f>
        <v/>
      </c>
      <c r="AC70">
        <f>HYPERLINK("https://klasma.github.io/Logging_0581/tillsyn/A 19989-2026 tillsynsbegäran.docx", "A 19989-2026")</f>
        <v/>
      </c>
      <c r="AD70">
        <f>HYPERLINK("https://klasma.github.io/Logging_0581/tillsynsmail/A 19989-2026 tillsynsbegäran mail.docx", "A 19989-2026")</f>
        <v/>
      </c>
      <c r="AE70">
        <f>HYPERLINK("https://klasma.github.io/Logging_0581/fåglar/A 19989-2026 prioriterade fågelarter.docx", "A 19989-2026")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46324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861-2023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44931</v>
      </c>
      <c r="E72" s="1" t="n">
        <v>46324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Kommuner</t>
        </is>
      </c>
      <c r="I72" t="n">
        <v>4.4</v>
      </c>
      <c r="J72" t="n">
        <v>3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Nordfladdermus
Dvärgpipistrell
Vattenfladdermus</t>
        </is>
      </c>
      <c r="W72">
        <f>HYPERLINK("https://klasma.github.io/Logging_0581/artfynd/A 861-2023 artfynd.xlsx", "A 861-2023")</f>
        <v/>
      </c>
      <c r="X72">
        <f>HYPERLINK("https://klasma.github.io/Logging_0581/kartor/A 861-2023 karta.png", "A 861-2023")</f>
        <v/>
      </c>
      <c r="Y72">
        <f>HYPERLINK("https://klasma.github.io/Logging_0581/kartor_geotiff/A 861-2023 georefererad karta.tif", "A 861-2023")</f>
        <v/>
      </c>
      <c r="AA72">
        <f>HYPERLINK("https://klasma.github.io/Logging_0581/klagomål/A 861-2023 FSC-klagomål.docx", "A 861-2023")</f>
        <v/>
      </c>
      <c r="AB72">
        <f>HYPERLINK("https://klasma.github.io/Logging_0581/klagomålsmail/A 861-2023 FSC-klagomål mail.docx", "A 861-2023")</f>
        <v/>
      </c>
      <c r="AC72">
        <f>HYPERLINK("https://klasma.github.io/Logging_0581/tillsyn/A 861-2023 tillsynsbegäran.docx", "A 861-2023")</f>
        <v/>
      </c>
      <c r="AD72">
        <f>HYPERLINK("https://klasma.github.io/Logging_0581/tillsynsmail/A 861-2023 tillsynsbegäran mail.docx", "A 861-2023")</f>
        <v/>
      </c>
    </row>
    <row r="73" ht="15" customHeight="1">
      <c r="A73" t="inlineStr">
        <is>
          <t>A 12692-2025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46324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4</v>
      </c>
      <c r="U73" t="n">
        <v>2</v>
      </c>
      <c r="V73" s="2" t="inlineStr">
        <is>
          <t>Dvärgbägarlav
Vedskivlav
Mattlummer</t>
        </is>
      </c>
      <c r="W73">
        <f>HYPERLINK("https://klasma.github.io/Logging_0581/artfynd/A 12692-2025 artfynd.xlsx", "A 12692-2025")</f>
        <v/>
      </c>
      <c r="X73">
        <f>HYPERLINK("https://klasma.github.io/Logging_0581/kartor/A 12692-2025 karta.png", "A 12692-2025")</f>
        <v/>
      </c>
      <c r="Y73">
        <f>HYPERLINK("https://klasma.github.io/Logging_0581/kartor_geotiff/A 12692-2025 georefererad karta.tif", "A 12692-2025")</f>
        <v/>
      </c>
      <c r="AA73">
        <f>HYPERLINK("https://klasma.github.io/Logging_0581/klagomål/A 12692-2025 FSC-klagomål.docx", "A 12692-2025")</f>
        <v/>
      </c>
      <c r="AB73">
        <f>HYPERLINK("https://klasma.github.io/Logging_0581/klagomålsmail/A 12692-2025 FSC-klagomål mail.docx", "A 12692-2025")</f>
        <v/>
      </c>
      <c r="AC73">
        <f>HYPERLINK("https://klasma.github.io/Logging_0581/tillsyn/A 12692-2025 tillsynsbegäran.docx", "A 12692-2025")</f>
        <v/>
      </c>
      <c r="AD73">
        <f>HYPERLINK("https://klasma.github.io/Logging_0581/tillsynsmail/A 12692-2025 tillsynsbegäran mail.docx", "A 12692-2025")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46324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9746-2025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46324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1.6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Ask
Blåsippa</t>
        </is>
      </c>
      <c r="W75">
        <f>HYPERLINK("https://klasma.github.io/Logging_0581/artfynd/A 9746-2025 artfynd.xlsx", "A 9746-2025")</f>
        <v/>
      </c>
      <c r="X75">
        <f>HYPERLINK("https://klasma.github.io/Logging_0581/kartor/A 9746-2025 karta.png", "A 9746-2025")</f>
        <v/>
      </c>
      <c r="Y75">
        <f>HYPERLINK("https://klasma.github.io/Logging_0581/kartor_geotiff/A 9746-2025 georefererad karta.tif", "A 9746-2025")</f>
        <v/>
      </c>
      <c r="AA75">
        <f>HYPERLINK("https://klasma.github.io/Logging_0581/klagomål/A 9746-2025 FSC-klagomål.docx", "A 9746-2025")</f>
        <v/>
      </c>
      <c r="AB75">
        <f>HYPERLINK("https://klasma.github.io/Logging_0581/klagomålsmail/A 9746-2025 FSC-klagomål mail.docx", "A 9746-2025")</f>
        <v/>
      </c>
      <c r="AC75">
        <f>HYPERLINK("https://klasma.github.io/Logging_0581/tillsyn/A 9746-2025 tillsynsbegäran.docx", "A 9746-2025")</f>
        <v/>
      </c>
      <c r="AD75">
        <f>HYPERLINK("https://klasma.github.io/Logging_0581/tillsynsmail/A 9746-2025 tillsynsbegäran mail.docx", "A 9746-2025")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46324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4826-2023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46324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5.1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Bårdlav
Havsörn</t>
        </is>
      </c>
      <c r="W77">
        <f>HYPERLINK("https://klasma.github.io/Logging_0581/artfynd/A 4826-2023 artfynd.xlsx", "A 4826-2023")</f>
        <v/>
      </c>
      <c r="X77">
        <f>HYPERLINK("https://klasma.github.io/Logging_0581/kartor/A 4826-2023 karta.png", "A 4826-2023")</f>
        <v/>
      </c>
      <c r="Y77">
        <f>HYPERLINK("https://klasma.github.io/Logging_0581/kartor_geotiff/A 4826-2023 georefererad karta.tif", "A 4826-2023")</f>
        <v/>
      </c>
      <c r="AA77">
        <f>HYPERLINK("https://klasma.github.io/Logging_0581/klagomål/A 4826-2023 FSC-klagomål.docx", "A 4826-2023")</f>
        <v/>
      </c>
      <c r="AB77">
        <f>HYPERLINK("https://klasma.github.io/Logging_0581/klagomålsmail/A 4826-2023 FSC-klagomål mail.docx", "A 4826-2023")</f>
        <v/>
      </c>
      <c r="AC77">
        <f>HYPERLINK("https://klasma.github.io/Logging_0581/tillsyn/A 4826-2023 tillsynsbegäran.docx", "A 4826-2023")</f>
        <v/>
      </c>
      <c r="AD77">
        <f>HYPERLINK("https://klasma.github.io/Logging_0581/tillsynsmail/A 4826-2023 tillsynsbegäran mail.docx", "A 4826-2023")</f>
        <v/>
      </c>
      <c r="AE77">
        <f>HYPERLINK("https://klasma.github.io/Logging_0581/fåglar/A 4826-2023 prioriterade fågelarter.docx", "A 4826-2023")</f>
        <v/>
      </c>
    </row>
    <row r="78" ht="15" customHeight="1">
      <c r="A78" t="inlineStr">
        <is>
          <t>A 14459-2024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46324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0.7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Talltita</t>
        </is>
      </c>
      <c r="W78">
        <f>HYPERLINK("https://klasma.github.io/Logging_0581/artfynd/A 14459-2024 artfynd.xlsx", "A 14459-2024")</f>
        <v/>
      </c>
      <c r="X78">
        <f>HYPERLINK("https://klasma.github.io/Logging_0581/kartor/A 14459-2024 karta.png", "A 14459-2024")</f>
        <v/>
      </c>
      <c r="Y78">
        <f>HYPERLINK("https://klasma.github.io/Logging_0581/kartor_geotiff/A 14459-2024 georefererad karta.tif", "A 14459-2024")</f>
        <v/>
      </c>
      <c r="AA78">
        <f>HYPERLINK("https://klasma.github.io/Logging_0581/klagomål/A 14459-2024 FSC-klagomål.docx", "A 14459-2024")</f>
        <v/>
      </c>
      <c r="AB78">
        <f>HYPERLINK("https://klasma.github.io/Logging_0581/klagomålsmail/A 14459-2024 FSC-klagomål mail.docx", "A 14459-2024")</f>
        <v/>
      </c>
      <c r="AC78">
        <f>HYPERLINK("https://klasma.github.io/Logging_0581/tillsyn/A 14459-2024 tillsynsbegäran.docx", "A 14459-2024")</f>
        <v/>
      </c>
      <c r="AD78">
        <f>HYPERLINK("https://klasma.github.io/Logging_0581/tillsynsmail/A 14459-2024 tillsynsbegäran mail.docx", "A 14459-2024")</f>
        <v/>
      </c>
      <c r="AE78">
        <f>HYPERLINK("https://klasma.github.io/Logging_0581/fåglar/A 14459-2024 prioriterade fågelarter.docx", "A 14459-2024")</f>
        <v/>
      </c>
    </row>
    <row r="79" ht="15" customHeight="1">
      <c r="A79" t="inlineStr">
        <is>
          <t>A 5809-2025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45694</v>
      </c>
      <c r="E79" s="1" t="n">
        <v>46324</v>
      </c>
      <c r="F79" t="inlineStr">
        <is>
          <t>ÖSTERGÖTLANDS LÄN</t>
        </is>
      </c>
      <c r="G79" t="inlineStr">
        <is>
          <t>NORRKÖPING</t>
        </is>
      </c>
      <c r="I79" t="n">
        <v>3.7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Blåsippa
Vanlig padda</t>
        </is>
      </c>
      <c r="W79">
        <f>HYPERLINK("https://klasma.github.io/Logging_0581/artfynd/A 5809-2025 artfynd.xlsx", "A 5809-2025")</f>
        <v/>
      </c>
      <c r="X79">
        <f>HYPERLINK("https://klasma.github.io/Logging_0581/kartor/A 5809-2025 karta.png", "A 5809-2025")</f>
        <v/>
      </c>
      <c r="Y79">
        <f>HYPERLINK("https://klasma.github.io/Logging_0581/kartor_geotiff/A 5809-2025 georefererad karta.tif", "A 5809-2025")</f>
        <v/>
      </c>
      <c r="AA79">
        <f>HYPERLINK("https://klasma.github.io/Logging_0581/klagomål/A 5809-2025 FSC-klagomål.docx", "A 5809-2025")</f>
        <v/>
      </c>
      <c r="AB79">
        <f>HYPERLINK("https://klasma.github.io/Logging_0581/klagomålsmail/A 5809-2025 FSC-klagomål mail.docx", "A 5809-2025")</f>
        <v/>
      </c>
      <c r="AC79">
        <f>HYPERLINK("https://klasma.github.io/Logging_0581/tillsyn/A 5809-2025 tillsynsbegäran.docx", "A 5809-2025")</f>
        <v/>
      </c>
      <c r="AD79">
        <f>HYPERLINK("https://klasma.github.io/Logging_0581/tillsynsmail/A 5809-2025 tillsynsbegäran mail.docx", "A 5809-2025")</f>
        <v/>
      </c>
    </row>
    <row r="80" ht="15" customHeight="1">
      <c r="A80" t="inlineStr">
        <is>
          <t>A 53852-2022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44880</v>
      </c>
      <c r="E80" s="1" t="n">
        <v>46324</v>
      </c>
      <c r="F80" t="inlineStr">
        <is>
          <t>ÖSTERGÖTLANDS LÄN</t>
        </is>
      </c>
      <c r="G80" t="inlineStr">
        <is>
          <t>NORRKÖPING</t>
        </is>
      </c>
      <c r="I80" t="n">
        <v>1.8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Tibast
Blåsippa</t>
        </is>
      </c>
      <c r="W80">
        <f>HYPERLINK("https://klasma.github.io/Logging_0581/artfynd/A 53852-2022 artfynd.xlsx", "A 53852-2022")</f>
        <v/>
      </c>
      <c r="X80">
        <f>HYPERLINK("https://klasma.github.io/Logging_0581/kartor/A 53852-2022 karta.png", "A 53852-2022")</f>
        <v/>
      </c>
      <c r="Y80">
        <f>HYPERLINK("https://klasma.github.io/Logging_0581/kartor_geotiff/A 53852-2022 georefererad karta.tif", "A 53852-2022")</f>
        <v/>
      </c>
      <c r="AA80">
        <f>HYPERLINK("https://klasma.github.io/Logging_0581/klagomål/A 53852-2022 FSC-klagomål.docx", "A 53852-2022")</f>
        <v/>
      </c>
      <c r="AB80">
        <f>HYPERLINK("https://klasma.github.io/Logging_0581/klagomålsmail/A 53852-2022 FSC-klagomål mail.docx", "A 53852-2022")</f>
        <v/>
      </c>
      <c r="AC80">
        <f>HYPERLINK("https://klasma.github.io/Logging_0581/tillsyn/A 53852-2022 tillsynsbegäran.docx", "A 53852-2022")</f>
        <v/>
      </c>
      <c r="AD80">
        <f>HYPERLINK("https://klasma.github.io/Logging_0581/tillsynsmail/A 53852-2022 tillsynsbegäran mail.docx", "A 53852-2022")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46324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55022-2022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46324</v>
      </c>
      <c r="F82" t="inlineStr">
        <is>
          <t>ÖSTERGÖTLANDS LÄN</t>
        </is>
      </c>
      <c r="G82" t="inlineStr">
        <is>
          <t>NORRKÖPING</t>
        </is>
      </c>
      <c r="I82" t="n">
        <v>1.4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Tallfingersvamp
Purpurknipprot</t>
        </is>
      </c>
      <c r="W82">
        <f>HYPERLINK("https://klasma.github.io/Logging_0581/artfynd/A 55022-2022 artfynd.xlsx", "A 55022-2022")</f>
        <v/>
      </c>
      <c r="X82">
        <f>HYPERLINK("https://klasma.github.io/Logging_0581/kartor/A 55022-2022 karta.png", "A 55022-2022")</f>
        <v/>
      </c>
      <c r="Y82">
        <f>HYPERLINK("https://klasma.github.io/Logging_0581/kartor_geotiff/A 55022-2022 georefererad karta.tif", "A 55022-2022")</f>
        <v/>
      </c>
      <c r="AA82">
        <f>HYPERLINK("https://klasma.github.io/Logging_0581/klagomål/A 55022-2022 FSC-klagomål.docx", "A 55022-2022")</f>
        <v/>
      </c>
      <c r="AB82">
        <f>HYPERLINK("https://klasma.github.io/Logging_0581/klagomålsmail/A 55022-2022 FSC-klagomål mail.docx", "A 55022-2022")</f>
        <v/>
      </c>
      <c r="AC82">
        <f>HYPERLINK("https://klasma.github.io/Logging_0581/tillsyn/A 55022-2022 tillsynsbegäran.docx", "A 55022-2022")</f>
        <v/>
      </c>
      <c r="AD82">
        <f>HYPERLINK("https://klasma.github.io/Logging_0581/tillsynsmail/A 55022-2022 tillsynsbegäran mail.docx", "A 55022-2022")</f>
        <v/>
      </c>
    </row>
    <row r="83" ht="15" customHeight="1">
      <c r="A83" t="inlineStr">
        <is>
          <t>A 10769-2024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46324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2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10769-2024 artfynd.xlsx", "A 10769-2024")</f>
        <v/>
      </c>
      <c r="X83">
        <f>HYPERLINK("https://klasma.github.io/Logging_0581/kartor/A 10769-2024 karta.png", "A 10769-2024")</f>
        <v/>
      </c>
      <c r="Y83">
        <f>HYPERLINK("https://klasma.github.io/Logging_0581/kartor_geotiff/A 10769-2024 georefererad karta.tif", "A 10769-2024")</f>
        <v/>
      </c>
      <c r="AA83">
        <f>HYPERLINK("https://klasma.github.io/Logging_0581/klagomål/A 10769-2024 FSC-klagomål.docx", "A 10769-2024")</f>
        <v/>
      </c>
      <c r="AB83">
        <f>HYPERLINK("https://klasma.github.io/Logging_0581/klagomålsmail/A 10769-2024 FSC-klagomål mail.docx", "A 10769-2024")</f>
        <v/>
      </c>
      <c r="AC83">
        <f>HYPERLINK("https://klasma.github.io/Logging_0581/tillsyn/A 10769-2024 tillsynsbegäran.docx", "A 10769-2024")</f>
        <v/>
      </c>
      <c r="AD83">
        <f>HYPERLINK("https://klasma.github.io/Logging_0581/tillsynsmail/A 10769-2024 tillsynsbegäran mail.docx", "A 10769-2024")</f>
        <v/>
      </c>
      <c r="AE83">
        <f>HYPERLINK("https://klasma.github.io/Logging_0581/fåglar/A 10769-2024 prioriterade fågelarter.docx", "A 10769-2024")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46324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46324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Tibast</t>
        </is>
      </c>
      <c r="W85">
        <f>HYPERLINK("https://klasma.github.io/Logging_0581/artfynd/A 42365-2025 artfynd.xlsx", "A 42365-2025")</f>
        <v/>
      </c>
      <c r="X85">
        <f>HYPERLINK("https://klasma.github.io/Logging_0581/kartor/A 42365-2025 karta.png", "A 42365-2025")</f>
        <v/>
      </c>
      <c r="Y85">
        <f>HYPERLINK("https://klasma.github.io/Logging_0581/kartor_geotiff/A 42365-2025 georefererad karta.tif", "A 42365-2025")</f>
        <v/>
      </c>
      <c r="AA85">
        <f>HYPERLINK("https://klasma.github.io/Logging_0581/klagomål/A 42365-2025 FSC-klagomål.docx", "A 42365-2025")</f>
        <v/>
      </c>
      <c r="AB85">
        <f>HYPERLINK("https://klasma.github.io/Logging_0581/klagomålsmail/A 42365-2025 FSC-klagomål mail.docx", "A 42365-2025")</f>
        <v/>
      </c>
      <c r="AC85">
        <f>HYPERLINK("https://klasma.github.io/Logging_0581/tillsyn/A 42365-2025 tillsynsbegäran.docx", "A 42365-2025")</f>
        <v/>
      </c>
      <c r="AD85">
        <f>HYPERLINK("https://klasma.github.io/Logging_0581/tillsynsmail/A 42365-2025 tillsynsbegäran mail.docx", "A 42365-2025")</f>
        <v/>
      </c>
    </row>
    <row r="86" ht="15" customHeight="1">
      <c r="A86" t="inlineStr">
        <is>
          <t>A 20377-2023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45056</v>
      </c>
      <c r="E86" s="1" t="n">
        <v>46324</v>
      </c>
      <c r="F86" t="inlineStr">
        <is>
          <t>ÖSTERGÖTLANDS LÄN</t>
        </is>
      </c>
      <c r="G86" t="inlineStr">
        <is>
          <t>NORRKÖPING</t>
        </is>
      </c>
      <c r="I86" t="n">
        <v>0.5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4</v>
      </c>
      <c r="U86" t="n">
        <v>0</v>
      </c>
      <c r="V86" s="2" t="inlineStr">
        <is>
          <t>Tallticka
Kungsfågel</t>
        </is>
      </c>
      <c r="W86">
        <f>HYPERLINK("https://klasma.github.io/Logging_0581/artfynd/A 20377-2023 artfynd.xlsx", "A 20377-2023")</f>
        <v/>
      </c>
      <c r="X86">
        <f>HYPERLINK("https://klasma.github.io/Logging_0581/kartor/A 20377-2023 karta.png", "A 20377-2023")</f>
        <v/>
      </c>
      <c r="Y86">
        <f>HYPERLINK("https://klasma.github.io/Logging_0581/kartor_geotiff/A 20377-2023 georefererad karta.tif", "A 20377-2023")</f>
        <v/>
      </c>
      <c r="AA86">
        <f>HYPERLINK("https://klasma.github.io/Logging_0581/klagomål/A 20377-2023 FSC-klagomål.docx", "A 20377-2023")</f>
        <v/>
      </c>
      <c r="AB86">
        <f>HYPERLINK("https://klasma.github.io/Logging_0581/klagomålsmail/A 20377-2023 FSC-klagomål mail.docx", "A 20377-2023")</f>
        <v/>
      </c>
      <c r="AC86">
        <f>HYPERLINK("https://klasma.github.io/Logging_0581/tillsyn/A 20377-2023 tillsynsbegäran.docx", "A 20377-2023")</f>
        <v/>
      </c>
      <c r="AD86">
        <f>HYPERLINK("https://klasma.github.io/Logging_0581/tillsynsmail/A 20377-2023 tillsynsbegäran mail.docx", "A 20377-2023")</f>
        <v/>
      </c>
    </row>
    <row r="87" ht="15" customHeight="1">
      <c r="A87" t="inlineStr">
        <is>
          <t>A 27503-2022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46324</v>
      </c>
      <c r="F87" t="inlineStr">
        <is>
          <t>ÖSTERGÖTLANDS LÄN</t>
        </is>
      </c>
      <c r="G87" t="inlineStr">
        <is>
          <t>NORRKÖPING</t>
        </is>
      </c>
      <c r="I87" t="n">
        <v>2.9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Svinrot
Ängsskära</t>
        </is>
      </c>
      <c r="W87">
        <f>HYPERLINK("https://klasma.github.io/Logging_0581/artfynd/A 27503-2022 artfynd.xlsx", "A 27503-2022")</f>
        <v/>
      </c>
      <c r="X87">
        <f>HYPERLINK("https://klasma.github.io/Logging_0581/kartor/A 27503-2022 karta.png", "A 27503-2022")</f>
        <v/>
      </c>
      <c r="Y87">
        <f>HYPERLINK("https://klasma.github.io/Logging_0581/kartor_geotiff/A 27503-2022 georefererad karta.tif", "A 27503-2022")</f>
        <v/>
      </c>
      <c r="AA87">
        <f>HYPERLINK("https://klasma.github.io/Logging_0581/klagomål/A 27503-2022 FSC-klagomål.docx", "A 27503-2022")</f>
        <v/>
      </c>
      <c r="AB87">
        <f>HYPERLINK("https://klasma.github.io/Logging_0581/klagomålsmail/A 27503-2022 FSC-klagomål mail.docx", "A 27503-2022")</f>
        <v/>
      </c>
      <c r="AC87">
        <f>HYPERLINK("https://klasma.github.io/Logging_0581/tillsyn/A 27503-2022 tillsynsbegäran.docx", "A 27503-2022")</f>
        <v/>
      </c>
      <c r="AD87">
        <f>HYPERLINK("https://klasma.github.io/Logging_0581/tillsynsmail/A 27503-2022 tillsynsbegäran mail.docx", "A 27503-2022")</f>
        <v/>
      </c>
    </row>
    <row r="88" ht="15" customHeight="1">
      <c r="A88" t="inlineStr">
        <is>
          <t>A 46955-2023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46324</v>
      </c>
      <c r="F88" t="inlineStr">
        <is>
          <t>ÖSTERGÖTLANDS LÄN</t>
        </is>
      </c>
      <c r="G88" t="inlineStr">
        <is>
          <t>NORRKÖPING</t>
        </is>
      </c>
      <c r="I88" t="n">
        <v>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Dropptaggsvamp
Sparvuggla</t>
        </is>
      </c>
      <c r="W88">
        <f>HYPERLINK("https://klasma.github.io/Logging_0581/artfynd/A 46955-2023 artfynd.xlsx", "A 46955-2023")</f>
        <v/>
      </c>
      <c r="X88">
        <f>HYPERLINK("https://klasma.github.io/Logging_0581/kartor/A 46955-2023 karta.png", "A 46955-2023")</f>
        <v/>
      </c>
      <c r="Y88">
        <f>HYPERLINK("https://klasma.github.io/Logging_0581/kartor_geotiff/A 46955-2023 georefererad karta.tif", "A 46955-2023")</f>
        <v/>
      </c>
      <c r="AA88">
        <f>HYPERLINK("https://klasma.github.io/Logging_0581/klagomål/A 46955-2023 FSC-klagomål.docx", "A 46955-2023")</f>
        <v/>
      </c>
      <c r="AB88">
        <f>HYPERLINK("https://klasma.github.io/Logging_0581/klagomålsmail/A 46955-2023 FSC-klagomål mail.docx", "A 46955-2023")</f>
        <v/>
      </c>
      <c r="AC88">
        <f>HYPERLINK("https://klasma.github.io/Logging_0581/tillsyn/A 46955-2023 tillsynsbegäran.docx", "A 46955-2023")</f>
        <v/>
      </c>
      <c r="AD88">
        <f>HYPERLINK("https://klasma.github.io/Logging_0581/tillsynsmail/A 46955-2023 tillsynsbegäran mail.docx", "A 46955-2023")</f>
        <v/>
      </c>
      <c r="AE88">
        <f>HYPERLINK("https://klasma.github.io/Logging_0581/fåglar/A 46955-2023 prioriterade fågelarter.docx", "A 46955-2023")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46324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46324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9722-2025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46324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0</v>
      </c>
      <c r="V91" s="2" t="inlineStr">
        <is>
          <t>Ask
Blåsippa</t>
        </is>
      </c>
      <c r="W91">
        <f>HYPERLINK("https://klasma.github.io/Logging_0581/artfynd/A 9722-2025 artfynd.xlsx", "A 9722-2025")</f>
        <v/>
      </c>
      <c r="X91">
        <f>HYPERLINK("https://klasma.github.io/Logging_0581/kartor/A 9722-2025 karta.png", "A 9722-2025")</f>
        <v/>
      </c>
      <c r="Y91">
        <f>HYPERLINK("https://klasma.github.io/Logging_0581/kartor_geotiff/A 9722-2025 georefererad karta.tif", "A 9722-2025")</f>
        <v/>
      </c>
      <c r="AA91">
        <f>HYPERLINK("https://klasma.github.io/Logging_0581/klagomål/A 9722-2025 FSC-klagomål.docx", "A 9722-2025")</f>
        <v/>
      </c>
      <c r="AB91">
        <f>HYPERLINK("https://klasma.github.io/Logging_0581/klagomålsmail/A 9722-2025 FSC-klagomål mail.docx", "A 9722-2025")</f>
        <v/>
      </c>
      <c r="AC91">
        <f>HYPERLINK("https://klasma.github.io/Logging_0581/tillsyn/A 9722-2025 tillsynsbegäran.docx", "A 9722-2025")</f>
        <v/>
      </c>
      <c r="AD91">
        <f>HYPERLINK("https://klasma.github.io/Logging_0581/tillsynsmail/A 9722-2025 tillsynsbegäran mail.docx", "A 9722-2025")</f>
        <v/>
      </c>
    </row>
    <row r="92" ht="15" customHeight="1">
      <c r="A92" t="inlineStr">
        <is>
          <t>A 17248-2024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45414</v>
      </c>
      <c r="E92" s="1" t="n">
        <v>46324</v>
      </c>
      <c r="F92" t="inlineStr">
        <is>
          <t>ÖSTERGÖTLANDS LÄN</t>
        </is>
      </c>
      <c r="G92" t="inlineStr">
        <is>
          <t>NORRKÖPING</t>
        </is>
      </c>
      <c r="I92" t="n">
        <v>2.6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Tallticka
Vedticka</t>
        </is>
      </c>
      <c r="W92">
        <f>HYPERLINK("https://klasma.github.io/Logging_0581/artfynd/A 17248-2024 artfynd.xlsx", "A 17248-2024")</f>
        <v/>
      </c>
      <c r="X92">
        <f>HYPERLINK("https://klasma.github.io/Logging_0581/kartor/A 17248-2024 karta.png", "A 17248-2024")</f>
        <v/>
      </c>
      <c r="Y92">
        <f>HYPERLINK("https://klasma.github.io/Logging_0581/kartor_geotiff/A 17248-2024 georefererad karta.tif", "A 17248-2024")</f>
        <v/>
      </c>
      <c r="AA92">
        <f>HYPERLINK("https://klasma.github.io/Logging_0581/klagomål/A 17248-2024 FSC-klagomål.docx", "A 17248-2024")</f>
        <v/>
      </c>
      <c r="AB92">
        <f>HYPERLINK("https://klasma.github.io/Logging_0581/klagomålsmail/A 17248-2024 FSC-klagomål mail.docx", "A 17248-2024")</f>
        <v/>
      </c>
      <c r="AC92">
        <f>HYPERLINK("https://klasma.github.io/Logging_0581/tillsyn/A 17248-2024 tillsynsbegäran.docx", "A 17248-2024")</f>
        <v/>
      </c>
      <c r="AD92">
        <f>HYPERLINK("https://klasma.github.io/Logging_0581/tillsynsmail/A 17248-2024 tillsynsbegäran mail.docx", "A 17248-2024")</f>
        <v/>
      </c>
    </row>
    <row r="93" ht="15" customHeight="1">
      <c r="A93" t="inlineStr">
        <is>
          <t>A 17793-2025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46324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6.7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Blåmossa
Huggorm</t>
        </is>
      </c>
      <c r="W93">
        <f>HYPERLINK("https://klasma.github.io/Logging_0581/artfynd/A 17793-2025 artfynd.xlsx", "A 17793-2025")</f>
        <v/>
      </c>
      <c r="X93">
        <f>HYPERLINK("https://klasma.github.io/Logging_0581/kartor/A 17793-2025 karta.png", "A 17793-2025")</f>
        <v/>
      </c>
      <c r="Y93">
        <f>HYPERLINK("https://klasma.github.io/Logging_0581/kartor_geotiff/A 17793-2025 georefererad karta.tif", "A 17793-2025")</f>
        <v/>
      </c>
      <c r="AA93">
        <f>HYPERLINK("https://klasma.github.io/Logging_0581/klagomål/A 17793-2025 FSC-klagomål.docx", "A 17793-2025")</f>
        <v/>
      </c>
      <c r="AB93">
        <f>HYPERLINK("https://klasma.github.io/Logging_0581/klagomålsmail/A 17793-2025 FSC-klagomål mail.docx", "A 17793-2025")</f>
        <v/>
      </c>
      <c r="AC93">
        <f>HYPERLINK("https://klasma.github.io/Logging_0581/tillsyn/A 17793-2025 tillsynsbegäran.docx", "A 17793-2025")</f>
        <v/>
      </c>
      <c r="AD93">
        <f>HYPERLINK("https://klasma.github.io/Logging_0581/tillsynsmail/A 17793-2025 tillsynsbegäran mail.docx", "A 17793-2025")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46324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28893-2026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46324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28893-2026 artfynd.xlsx", "A 28893-2026")</f>
        <v/>
      </c>
      <c r="X95">
        <f>HYPERLINK("https://klasma.github.io/Logging_0581/kartor/A 28893-2026 karta.png", "A 28893-2026")</f>
        <v/>
      </c>
      <c r="Y95">
        <f>HYPERLINK("https://klasma.github.io/Logging_0581/kartor_geotiff/A 28893-2026 georefererad karta.tif", "A 28893-2026")</f>
        <v/>
      </c>
      <c r="AA95">
        <f>HYPERLINK("https://klasma.github.io/Logging_0581/klagomål/A 28893-2026 FSC-klagomål.docx", "A 28893-2026")</f>
        <v/>
      </c>
      <c r="AB95">
        <f>HYPERLINK("https://klasma.github.io/Logging_0581/klagomålsmail/A 28893-2026 FSC-klagomål mail.docx", "A 28893-2026")</f>
        <v/>
      </c>
      <c r="AC95">
        <f>HYPERLINK("https://klasma.github.io/Logging_0581/tillsyn/A 28893-2026 tillsynsbegäran.docx", "A 28893-2026")</f>
        <v/>
      </c>
      <c r="AD95">
        <f>HYPERLINK("https://klasma.github.io/Logging_0581/tillsynsmail/A 28893-2026 tillsynsbegäran mail.docx", "A 28893-2026")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46324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12188-2026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46324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Blomkålssvamp
Korallrot</t>
        </is>
      </c>
      <c r="W97">
        <f>HYPERLINK("https://klasma.github.io/Logging_0581/artfynd/A 12188-2026 artfynd.xlsx", "A 12188-2026")</f>
        <v/>
      </c>
      <c r="X97">
        <f>HYPERLINK("https://klasma.github.io/Logging_0581/kartor/A 12188-2026 karta.png", "A 12188-2026")</f>
        <v/>
      </c>
      <c r="Y97">
        <f>HYPERLINK("https://klasma.github.io/Logging_0581/kartor_geotiff/A 12188-2026 georefererad karta.tif", "A 12188-2026")</f>
        <v/>
      </c>
      <c r="AA97">
        <f>HYPERLINK("https://klasma.github.io/Logging_0581/klagomål/A 12188-2026 FSC-klagomål.docx", "A 12188-2026")</f>
        <v/>
      </c>
      <c r="AB97">
        <f>HYPERLINK("https://klasma.github.io/Logging_0581/klagomålsmail/A 12188-2026 FSC-klagomål mail.docx", "A 12188-2026")</f>
        <v/>
      </c>
      <c r="AC97">
        <f>HYPERLINK("https://klasma.github.io/Logging_0581/tillsyn/A 12188-2026 tillsynsbegäran.docx", "A 12188-2026")</f>
        <v/>
      </c>
      <c r="AD97">
        <f>HYPERLINK("https://klasma.github.io/Logging_0581/tillsynsmail/A 12188-2026 tillsynsbegäran mail.docx", "A 12188-2026")</f>
        <v/>
      </c>
    </row>
    <row r="98" ht="15" customHeight="1">
      <c r="A98" t="inlineStr">
        <is>
          <t>A 24233-2025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46324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5.4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Tallticka
Granbarkgnagare</t>
        </is>
      </c>
      <c r="W98">
        <f>HYPERLINK("https://klasma.github.io/Logging_0581/artfynd/A 24233-2025 artfynd.xlsx", "A 24233-2025")</f>
        <v/>
      </c>
      <c r="X98">
        <f>HYPERLINK("https://klasma.github.io/Logging_0581/kartor/A 24233-2025 karta.png", "A 24233-2025")</f>
        <v/>
      </c>
      <c r="Y98">
        <f>HYPERLINK("https://klasma.github.io/Logging_0581/kartor_geotiff/A 24233-2025 georefererad karta.tif", "A 24233-2025")</f>
        <v/>
      </c>
      <c r="AA98">
        <f>HYPERLINK("https://klasma.github.io/Logging_0581/klagomål/A 24233-2025 FSC-klagomål.docx", "A 24233-2025")</f>
        <v/>
      </c>
      <c r="AB98">
        <f>HYPERLINK("https://klasma.github.io/Logging_0581/klagomålsmail/A 24233-2025 FSC-klagomål mail.docx", "A 24233-2025")</f>
        <v/>
      </c>
      <c r="AC98">
        <f>HYPERLINK("https://klasma.github.io/Logging_0581/tillsyn/A 24233-2025 tillsynsbegäran.docx", "A 24233-2025")</f>
        <v/>
      </c>
      <c r="AD98">
        <f>HYPERLINK("https://klasma.github.io/Logging_0581/tillsynsmail/A 24233-2025 tillsynsbegäran mail.docx", "A 24233-2025")</f>
        <v/>
      </c>
    </row>
    <row r="99" ht="15" customHeight="1">
      <c r="A99" t="inlineStr">
        <is>
          <t>A 18682-2025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46324</v>
      </c>
      <c r="F99" t="inlineStr">
        <is>
          <t>ÖSTERGÖTLANDS LÄN</t>
        </is>
      </c>
      <c r="G99" t="inlineStr">
        <is>
          <t>NORRKÖPING</t>
        </is>
      </c>
      <c r="I99" t="n">
        <v>8.1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Jungfrulin
Blåmossa</t>
        </is>
      </c>
      <c r="W99">
        <f>HYPERLINK("https://klasma.github.io/Logging_0581/artfynd/A 18682-2025 artfynd.xlsx", "A 18682-2025")</f>
        <v/>
      </c>
      <c r="X99">
        <f>HYPERLINK("https://klasma.github.io/Logging_0581/kartor/A 18682-2025 karta.png", "A 18682-2025")</f>
        <v/>
      </c>
      <c r="Y99">
        <f>HYPERLINK("https://klasma.github.io/Logging_0581/kartor_geotiff/A 18682-2025 georefererad karta.tif", "A 18682-2025")</f>
        <v/>
      </c>
      <c r="AA99">
        <f>HYPERLINK("https://klasma.github.io/Logging_0581/klagomål/A 18682-2025 FSC-klagomål.docx", "A 18682-2025")</f>
        <v/>
      </c>
      <c r="AB99">
        <f>HYPERLINK("https://klasma.github.io/Logging_0581/klagomålsmail/A 18682-2025 FSC-klagomål mail.docx", "A 18682-2025")</f>
        <v/>
      </c>
      <c r="AC99">
        <f>HYPERLINK("https://klasma.github.io/Logging_0581/tillsyn/A 18682-2025 tillsynsbegäran.docx", "A 18682-2025")</f>
        <v/>
      </c>
      <c r="AD99">
        <f>HYPERLINK("https://klasma.github.io/Logging_0581/tillsynsmail/A 18682-2025 tillsynsbegäran mail.docx", "A 18682-2025")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46324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31264-2026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46218</v>
      </c>
      <c r="E101" s="1" t="n">
        <v>46324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Fläcknycklar</t>
        </is>
      </c>
      <c r="W101">
        <f>HYPERLINK("https://klasma.github.io/Logging_0581/artfynd/A 31264-2026 artfynd.xlsx", "A 31264-2026")</f>
        <v/>
      </c>
      <c r="X101">
        <f>HYPERLINK("https://klasma.github.io/Logging_0581/kartor/A 31264-2026 karta.png", "A 31264-2026")</f>
        <v/>
      </c>
      <c r="Y101">
        <f>HYPERLINK("https://klasma.github.io/Logging_0581/kartor_geotiff/A 31264-2026 georefererad karta.tif", "A 31264-2026")</f>
        <v/>
      </c>
      <c r="AA101">
        <f>HYPERLINK("https://klasma.github.io/Logging_0581/klagomål/A 31264-2026 FSC-klagomål.docx", "A 31264-2026")</f>
        <v/>
      </c>
      <c r="AB101">
        <f>HYPERLINK("https://klasma.github.io/Logging_0581/klagomålsmail/A 31264-2026 FSC-klagomål mail.docx", "A 31264-2026")</f>
        <v/>
      </c>
      <c r="AC101">
        <f>HYPERLINK("https://klasma.github.io/Logging_0581/tillsyn/A 31264-2026 tillsynsbegäran.docx", "A 31264-2026")</f>
        <v/>
      </c>
      <c r="AD101">
        <f>HYPERLINK("https://klasma.github.io/Logging_0581/tillsynsmail/A 31264-2026 tillsynsbegäran mail.docx", "A 31264-2026")</f>
        <v/>
      </c>
    </row>
    <row r="102" ht="15" customHeight="1">
      <c r="A102" t="inlineStr">
        <is>
          <t>A 31335-2026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46324</v>
      </c>
      <c r="F102" t="inlineStr">
        <is>
          <t>ÖSTERGÖTLANDS LÄN</t>
        </is>
      </c>
      <c r="G102" t="inlineStr">
        <is>
          <t>NORRKÖPING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Bredbrämad bastardsvärmare
Älg</t>
        </is>
      </c>
      <c r="W102">
        <f>HYPERLINK("https://klasma.github.io/Logging_0581/artfynd/A 31335-2026 artfynd.xlsx", "A 31335-2026")</f>
        <v/>
      </c>
      <c r="X102">
        <f>HYPERLINK("https://klasma.github.io/Logging_0581/kartor/A 31335-2026 karta.png", "A 31335-2026")</f>
        <v/>
      </c>
      <c r="Y102">
        <f>HYPERLINK("https://klasma.github.io/Logging_0581/kartor_geotiff/A 31335-2026 georefererad karta.tif", "A 31335-2026")</f>
        <v/>
      </c>
      <c r="AA102">
        <f>HYPERLINK("https://klasma.github.io/Logging_0581/klagomål/A 31335-2026 FSC-klagomål.docx", "A 31335-2026")</f>
        <v/>
      </c>
      <c r="AB102">
        <f>HYPERLINK("https://klasma.github.io/Logging_0581/klagomålsmail/A 31335-2026 FSC-klagomål mail.docx", "A 31335-2026")</f>
        <v/>
      </c>
      <c r="AC102">
        <f>HYPERLINK("https://klasma.github.io/Logging_0581/tillsyn/A 31335-2026 tillsynsbegäran.docx", "A 31335-2026")</f>
        <v/>
      </c>
      <c r="AD102">
        <f>HYPERLINK("https://klasma.github.io/Logging_0581/tillsynsmail/A 31335-2026 tillsynsbegäran mail.docx", "A 31335-2026")</f>
        <v/>
      </c>
    </row>
    <row r="103" ht="15" customHeight="1">
      <c r="A103" t="inlineStr">
        <is>
          <t>A 21799-2025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46324</v>
      </c>
      <c r="F103" t="inlineStr">
        <is>
          <t>ÖSTERGÖTLANDS LÄN</t>
        </is>
      </c>
      <c r="G103" t="inlineStr">
        <is>
          <t>NORRKÖPING</t>
        </is>
      </c>
      <c r="I103" t="n">
        <v>3.5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Revlummer</t>
        </is>
      </c>
      <c r="W103">
        <f>HYPERLINK("https://klasma.github.io/Logging_0581/artfynd/A 21799-2025 artfynd.xlsx", "A 21799-2025")</f>
        <v/>
      </c>
      <c r="X103">
        <f>HYPERLINK("https://klasma.github.io/Logging_0581/kartor/A 21799-2025 karta.png", "A 21799-2025")</f>
        <v/>
      </c>
      <c r="Y103">
        <f>HYPERLINK("https://klasma.github.io/Logging_0581/kartor_geotiff/A 21799-2025 georefererad karta.tif", "A 21799-2025")</f>
        <v/>
      </c>
      <c r="AA103">
        <f>HYPERLINK("https://klasma.github.io/Logging_0581/klagomål/A 21799-2025 FSC-klagomål.docx", "A 21799-2025")</f>
        <v/>
      </c>
      <c r="AB103">
        <f>HYPERLINK("https://klasma.github.io/Logging_0581/klagomålsmail/A 21799-2025 FSC-klagomål mail.docx", "A 21799-2025")</f>
        <v/>
      </c>
      <c r="AC103">
        <f>HYPERLINK("https://klasma.github.io/Logging_0581/tillsyn/A 21799-2025 tillsynsbegäran.docx", "A 21799-2025")</f>
        <v/>
      </c>
      <c r="AD103">
        <f>HYPERLINK("https://klasma.github.io/Logging_0581/tillsynsmail/A 21799-2025 tillsynsbegäran mail.docx", "A 21799-2025")</f>
        <v/>
      </c>
    </row>
    <row r="104" ht="15" customHeight="1">
      <c r="A104" t="inlineStr">
        <is>
          <t>A 14636-2025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45742</v>
      </c>
      <c r="E104" s="1" t="n">
        <v>46324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17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Talltita
Tjäder</t>
        </is>
      </c>
      <c r="W104">
        <f>HYPERLINK("https://klasma.github.io/Logging_0581/artfynd/A 14636-2025 artfynd.xlsx", "A 14636-2025")</f>
        <v/>
      </c>
      <c r="X104">
        <f>HYPERLINK("https://klasma.github.io/Logging_0581/kartor/A 14636-2025 karta.png", "A 14636-2025")</f>
        <v/>
      </c>
      <c r="Y104">
        <f>HYPERLINK("https://klasma.github.io/Logging_0581/kartor_geotiff/A 14636-2025 georefererad karta.tif", "A 14636-2025")</f>
        <v/>
      </c>
      <c r="AA104">
        <f>HYPERLINK("https://klasma.github.io/Logging_0581/klagomål/A 14636-2025 FSC-klagomål.docx", "A 14636-2025")</f>
        <v/>
      </c>
      <c r="AB104">
        <f>HYPERLINK("https://klasma.github.io/Logging_0581/klagomålsmail/A 14636-2025 FSC-klagomål mail.docx", "A 14636-2025")</f>
        <v/>
      </c>
      <c r="AC104">
        <f>HYPERLINK("https://klasma.github.io/Logging_0581/tillsyn/A 14636-2025 tillsynsbegäran.docx", "A 14636-2025")</f>
        <v/>
      </c>
      <c r="AD104">
        <f>HYPERLINK("https://klasma.github.io/Logging_0581/tillsynsmail/A 14636-2025 tillsynsbegäran mail.docx", "A 14636-2025")</f>
        <v/>
      </c>
      <c r="AE104">
        <f>HYPERLINK("https://klasma.github.io/Logging_0581/fåglar/A 14636-2025 prioriterade fågelarter.docx", "A 14636-2025")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46324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46324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38475-2026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46282</v>
      </c>
      <c r="E107" s="1" t="n">
        <v>46324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8</v>
      </c>
      <c r="J107" t="n">
        <v>1</v>
      </c>
      <c r="K107" t="n">
        <v>0</v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t="n">
        <v>0</v>
      </c>
      <c r="V107" s="2" t="inlineStr">
        <is>
          <t>Ljungögontröst
Talltita</t>
        </is>
      </c>
      <c r="W107">
        <f>HYPERLINK("https://klasma.github.io/Logging_0581/artfynd/A 38475-2026 artfynd.xlsx", "A 38475-2026")</f>
        <v/>
      </c>
      <c r="X107">
        <f>HYPERLINK("https://klasma.github.io/Logging_0581/kartor/A 38475-2026 karta.png", "A 38475-2026")</f>
        <v/>
      </c>
      <c r="Y107">
        <f>HYPERLINK("https://klasma.github.io/Logging_0581/kartor_geotiff/A 38475-2026 georefererad karta.tif", "A 38475-2026")</f>
        <v/>
      </c>
      <c r="AA107">
        <f>HYPERLINK("https://klasma.github.io/Logging_0581/klagomål/A 38475-2026 FSC-klagomål.docx", "A 38475-2026")</f>
        <v/>
      </c>
      <c r="AB107">
        <f>HYPERLINK("https://klasma.github.io/Logging_0581/klagomålsmail/A 38475-2026 FSC-klagomål mail.docx", "A 38475-2026")</f>
        <v/>
      </c>
      <c r="AC107">
        <f>HYPERLINK("https://klasma.github.io/Logging_0581/tillsyn/A 38475-2026 tillsynsbegäran.docx", "A 38475-2026")</f>
        <v/>
      </c>
      <c r="AD107">
        <f>HYPERLINK("https://klasma.github.io/Logging_0581/tillsynsmail/A 38475-2026 tillsynsbegäran mail.docx", "A 38475-2026")</f>
        <v/>
      </c>
      <c r="AE107">
        <f>HYPERLINK("https://klasma.github.io/Logging_0581/fåglar/A 38475-2026 prioriterade fågelarter.docx", "A 38475-2026")</f>
        <v/>
      </c>
    </row>
    <row r="108" ht="15" customHeight="1">
      <c r="A108" t="inlineStr">
        <is>
          <t>A 46692-2024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45583</v>
      </c>
      <c r="E108" s="1" t="n">
        <v>46324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1.4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Dvärgbägarlav
Flagellkvastmossa</t>
        </is>
      </c>
      <c r="W108">
        <f>HYPERLINK("https://klasma.github.io/Logging_0581/artfynd/A 46692-2024 artfynd.xlsx", "A 46692-2024")</f>
        <v/>
      </c>
      <c r="X108">
        <f>HYPERLINK("https://klasma.github.io/Logging_0581/kartor/A 46692-2024 karta.png", "A 46692-2024")</f>
        <v/>
      </c>
      <c r="Y108">
        <f>HYPERLINK("https://klasma.github.io/Logging_0581/kartor_geotiff/A 46692-2024 georefererad karta.tif", "A 46692-2024")</f>
        <v/>
      </c>
      <c r="AA108">
        <f>HYPERLINK("https://klasma.github.io/Logging_0581/klagomål/A 46692-2024 FSC-klagomål.docx", "A 46692-2024")</f>
        <v/>
      </c>
      <c r="AB108">
        <f>HYPERLINK("https://klasma.github.io/Logging_0581/klagomålsmail/A 46692-2024 FSC-klagomål mail.docx", "A 46692-2024")</f>
        <v/>
      </c>
      <c r="AC108">
        <f>HYPERLINK("https://klasma.github.io/Logging_0581/tillsyn/A 46692-2024 tillsynsbegäran.docx", "A 46692-2024")</f>
        <v/>
      </c>
      <c r="AD108">
        <f>HYPERLINK("https://klasma.github.io/Logging_0581/tillsynsmail/A 46692-2024 tillsynsbegäran mail.docx", "A 46692-2024")</f>
        <v/>
      </c>
    </row>
    <row r="109" ht="15" customHeight="1">
      <c r="A109" t="inlineStr">
        <is>
          <t>A 11490-2023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44993</v>
      </c>
      <c r="E109" s="1" t="n">
        <v>46324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1.9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Mattlummer
Trädlärka</t>
        </is>
      </c>
      <c r="W109">
        <f>HYPERLINK("https://klasma.github.io/Logging_0581/artfynd/A 11490-2023 artfynd.xlsx", "A 11490-2023")</f>
        <v/>
      </c>
      <c r="X109">
        <f>HYPERLINK("https://klasma.github.io/Logging_0581/kartor/A 11490-2023 karta.png", "A 11490-2023")</f>
        <v/>
      </c>
      <c r="Y109">
        <f>HYPERLINK("https://klasma.github.io/Logging_0581/kartor_geotiff/A 11490-2023 georefererad karta.tif", "A 11490-2023")</f>
        <v/>
      </c>
      <c r="AA109">
        <f>HYPERLINK("https://klasma.github.io/Logging_0581/klagomål/A 11490-2023 FSC-klagomål.docx", "A 11490-2023")</f>
        <v/>
      </c>
      <c r="AB109">
        <f>HYPERLINK("https://klasma.github.io/Logging_0581/klagomålsmail/A 11490-2023 FSC-klagomål mail.docx", "A 11490-2023")</f>
        <v/>
      </c>
      <c r="AC109">
        <f>HYPERLINK("https://klasma.github.io/Logging_0581/tillsyn/A 11490-2023 tillsynsbegäran.docx", "A 11490-2023")</f>
        <v/>
      </c>
      <c r="AD109">
        <f>HYPERLINK("https://klasma.github.io/Logging_0581/tillsynsmail/A 11490-2023 tillsynsbegäran mail.docx", "A 11490-2023")</f>
        <v/>
      </c>
      <c r="AE109">
        <f>HYPERLINK("https://klasma.github.io/Logging_0581/fåglar/A 11490-2023 prioriterade fågelarter.docx", "A 11490-2023")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46324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33659-2022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46324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Kommuner</t>
        </is>
      </c>
      <c r="I111" t="n">
        <v>3.4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Ask
Sotlav</t>
        </is>
      </c>
      <c r="W111">
        <f>HYPERLINK("https://klasma.github.io/Logging_0581/artfynd/A 33659-2022 artfynd.xlsx", "A 33659-2022")</f>
        <v/>
      </c>
      <c r="X111">
        <f>HYPERLINK("https://klasma.github.io/Logging_0581/kartor/A 33659-2022 karta.png", "A 33659-2022")</f>
        <v/>
      </c>
      <c r="Y111">
        <f>HYPERLINK("https://klasma.github.io/Logging_0581/kartor_geotiff/A 33659-2022 georefererad karta.tif", "A 33659-2022")</f>
        <v/>
      </c>
      <c r="AA111">
        <f>HYPERLINK("https://klasma.github.io/Logging_0581/klagomål/A 33659-2022 FSC-klagomål.docx", "A 33659-2022")</f>
        <v/>
      </c>
      <c r="AB111">
        <f>HYPERLINK("https://klasma.github.io/Logging_0581/klagomålsmail/A 33659-2022 FSC-klagomål mail.docx", "A 33659-2022")</f>
        <v/>
      </c>
      <c r="AC111">
        <f>HYPERLINK("https://klasma.github.io/Logging_0581/tillsyn/A 33659-2022 tillsynsbegäran.docx", "A 33659-2022")</f>
        <v/>
      </c>
      <c r="AD111">
        <f>HYPERLINK("https://klasma.github.io/Logging_0581/tillsynsmail/A 33659-2022 tillsynsbegäran mail.docx", "A 33659-2022")</f>
        <v/>
      </c>
    </row>
    <row r="112" ht="15" customHeight="1">
      <c r="A112" t="inlineStr">
        <is>
          <t>A 25291-2023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45086</v>
      </c>
      <c r="E112" s="1" t="n">
        <v>46324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Allmännings- och besparingsskogar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Slåtterfibbla
Svartvit flugsnappare</t>
        </is>
      </c>
      <c r="W112">
        <f>HYPERLINK("https://klasma.github.io/Logging_0581/artfynd/A 25291-2023 artfynd.xlsx", "A 25291-2023")</f>
        <v/>
      </c>
      <c r="X112">
        <f>HYPERLINK("https://klasma.github.io/Logging_0581/kartor/A 25291-2023 karta.png", "A 25291-2023")</f>
        <v/>
      </c>
      <c r="Y112">
        <f>HYPERLINK("https://klasma.github.io/Logging_0581/kartor_geotiff/A 25291-2023 georefererad karta.tif", "A 25291-2023")</f>
        <v/>
      </c>
      <c r="AA112">
        <f>HYPERLINK("https://klasma.github.io/Logging_0581/klagomål/A 25291-2023 FSC-klagomål.docx", "A 25291-2023")</f>
        <v/>
      </c>
      <c r="AB112">
        <f>HYPERLINK("https://klasma.github.io/Logging_0581/klagomålsmail/A 25291-2023 FSC-klagomål mail.docx", "A 25291-2023")</f>
        <v/>
      </c>
      <c r="AC112">
        <f>HYPERLINK("https://klasma.github.io/Logging_0581/tillsyn/A 25291-2023 tillsynsbegäran.docx", "A 25291-2023")</f>
        <v/>
      </c>
      <c r="AD112">
        <f>HYPERLINK("https://klasma.github.io/Logging_0581/tillsynsmail/A 25291-2023 tillsynsbegäran mail.docx", "A 25291-2023")</f>
        <v/>
      </c>
    </row>
    <row r="113" ht="15" customHeight="1">
      <c r="A113" t="inlineStr">
        <is>
          <t>A 5572-2024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46324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Kommuner</t>
        </is>
      </c>
      <c r="I113" t="n">
        <v>0.6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Grov baronmossa
Platt fjädermossa</t>
        </is>
      </c>
      <c r="W113">
        <f>HYPERLINK("https://klasma.github.io/Logging_0581/artfynd/A 5572-2024 artfynd.xlsx", "A 5572-2024")</f>
        <v/>
      </c>
      <c r="X113">
        <f>HYPERLINK("https://klasma.github.io/Logging_0581/kartor/A 5572-2024 karta.png", "A 5572-2024")</f>
        <v/>
      </c>
      <c r="Y113">
        <f>HYPERLINK("https://klasma.github.io/Logging_0581/kartor_geotiff/A 5572-2024 georefererad karta.tif", "A 5572-2024")</f>
        <v/>
      </c>
      <c r="AA113">
        <f>HYPERLINK("https://klasma.github.io/Logging_0581/klagomål/A 5572-2024 FSC-klagomål.docx", "A 5572-2024")</f>
        <v/>
      </c>
      <c r="AB113">
        <f>HYPERLINK("https://klasma.github.io/Logging_0581/klagomålsmail/A 5572-2024 FSC-klagomål mail.docx", "A 5572-2024")</f>
        <v/>
      </c>
      <c r="AC113">
        <f>HYPERLINK("https://klasma.github.io/Logging_0581/tillsyn/A 5572-2024 tillsynsbegäran.docx", "A 5572-2024")</f>
        <v/>
      </c>
      <c r="AD113">
        <f>HYPERLINK("https://klasma.github.io/Logging_0581/tillsynsmail/A 5572-2024 tillsynsbegäran mail.docx", "A 5572-2024")</f>
        <v/>
      </c>
    </row>
    <row r="114" ht="15" customHeight="1">
      <c r="A114" t="inlineStr">
        <is>
          <t>A 43645-2026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46316</v>
      </c>
      <c r="E114" s="1" t="n">
        <v>46324</v>
      </c>
      <c r="F114" t="inlineStr">
        <is>
          <t>ÖSTERGÖTLANDS LÄN</t>
        </is>
      </c>
      <c r="G114" t="inlineStr">
        <is>
          <t>NORRKÖPING</t>
        </is>
      </c>
      <c r="I114" t="n">
        <v>9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Läderbagge
Jungfrulin</t>
        </is>
      </c>
      <c r="W114">
        <f>HYPERLINK("https://klasma.github.io/Logging_0581/artfynd/A 43645-2026 artfynd.xlsx", "A 43645-2026")</f>
        <v/>
      </c>
      <c r="X114">
        <f>HYPERLINK("https://klasma.github.io/Logging_0581/kartor/A 43645-2026 karta.png", "A 43645-2026")</f>
        <v/>
      </c>
      <c r="Y114">
        <f>HYPERLINK("https://klasma.github.io/Logging_0581/kartor_geotiff/A 43645-2026 georefererad karta.tif", "A 43645-2026")</f>
        <v/>
      </c>
      <c r="AA114">
        <f>HYPERLINK("https://klasma.github.io/Logging_0581/klagomål/A 43645-2026 FSC-klagomål.docx", "A 43645-2026")</f>
        <v/>
      </c>
      <c r="AB114">
        <f>HYPERLINK("https://klasma.github.io/Logging_0581/klagomålsmail/A 43645-2026 FSC-klagomål mail.docx", "A 43645-2026")</f>
        <v/>
      </c>
      <c r="AC114">
        <f>HYPERLINK("https://klasma.github.io/Logging_0581/tillsyn/A 43645-2026 tillsynsbegäran.docx", "A 43645-2026")</f>
        <v/>
      </c>
      <c r="AD114">
        <f>HYPERLINK("https://klasma.github.io/Logging_0581/tillsynsmail/A 43645-2026 tillsynsbegäran mail.docx", "A 43645-2026")</f>
        <v/>
      </c>
    </row>
    <row r="115" ht="15" customHeight="1">
      <c r="A115" t="inlineStr">
        <is>
          <t>A 10553-2025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46324</v>
      </c>
      <c r="F115" t="inlineStr">
        <is>
          <t>ÖSTERGÖTLANDS LÄN</t>
        </is>
      </c>
      <c r="G115" t="inlineStr">
        <is>
          <t>NORRKÖPING</t>
        </is>
      </c>
      <c r="I115" t="n">
        <v>2.2</v>
      </c>
      <c r="J115" t="n">
        <v>2</v>
      </c>
      <c r="K115" t="n">
        <v>0</v>
      </c>
      <c r="L115" t="n">
        <v>1</v>
      </c>
      <c r="M115" t="n">
        <v>0</v>
      </c>
      <c r="N115" t="n">
        <v>1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Ejder
Rosenfink</t>
        </is>
      </c>
      <c r="W115">
        <f>HYPERLINK("https://klasma.github.io/Logging_0581/artfynd/A 10553-2025 artfynd.xlsx", "A 10553-2025")</f>
        <v/>
      </c>
      <c r="X115">
        <f>HYPERLINK("https://klasma.github.io/Logging_0581/kartor/A 10553-2025 karta.png", "A 10553-2025")</f>
        <v/>
      </c>
      <c r="Y115">
        <f>HYPERLINK("https://klasma.github.io/Logging_0581/kartor_geotiff/A 10553-2025 georefererad karta.tif", "A 10553-2025")</f>
        <v/>
      </c>
      <c r="AA115">
        <f>HYPERLINK("https://klasma.github.io/Logging_0581/klagomål/A 10553-2025 FSC-klagomål.docx", "A 10553-2025")</f>
        <v/>
      </c>
      <c r="AB115">
        <f>HYPERLINK("https://klasma.github.io/Logging_0581/klagomålsmail/A 10553-2025 FSC-klagomål mail.docx", "A 10553-2025")</f>
        <v/>
      </c>
      <c r="AC115">
        <f>HYPERLINK("https://klasma.github.io/Logging_0581/tillsyn/A 10553-2025 tillsynsbegäran.docx", "A 10553-2025")</f>
        <v/>
      </c>
      <c r="AD115">
        <f>HYPERLINK("https://klasma.github.io/Logging_0581/tillsynsmail/A 10553-2025 tillsynsbegäran mail.docx", "A 10553-2025")</f>
        <v/>
      </c>
      <c r="AE115">
        <f>HYPERLINK("https://klasma.github.io/Logging_0581/fåglar/A 10553-2025 prioriterade fågelarter.docx", "A 10553-2025")</f>
        <v/>
      </c>
    </row>
    <row r="116" ht="15" customHeight="1">
      <c r="A116" t="inlineStr">
        <is>
          <t>A 19182-2025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46324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1.9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Knärot
Ullticka</t>
        </is>
      </c>
      <c r="W116">
        <f>HYPERLINK("https://klasma.github.io/Logging_0581/artfynd/A 19182-2025 artfynd.xlsx", "A 19182-2025")</f>
        <v/>
      </c>
      <c r="X116">
        <f>HYPERLINK("https://klasma.github.io/Logging_0581/kartor/A 19182-2025 karta.png", "A 19182-2025")</f>
        <v/>
      </c>
      <c r="Y116">
        <f>HYPERLINK("https://klasma.github.io/Logging_0581/kartor_geotiff/A 19182-2025 georefererad karta.tif", "A 19182-2025")</f>
        <v/>
      </c>
      <c r="Z116">
        <f>HYPERLINK("https://klasma.github.io/Logging_0581/knärot/A 19182-2025 karta knärot.png", "A 19182-2025")</f>
        <v/>
      </c>
      <c r="AA116">
        <f>HYPERLINK("https://klasma.github.io/Logging_0581/klagomål/A 19182-2025 FSC-klagomål.docx", "A 19182-2025")</f>
        <v/>
      </c>
      <c r="AB116">
        <f>HYPERLINK("https://klasma.github.io/Logging_0581/klagomålsmail/A 19182-2025 FSC-klagomål mail.docx", "A 19182-2025")</f>
        <v/>
      </c>
      <c r="AC116">
        <f>HYPERLINK("https://klasma.github.io/Logging_0581/tillsyn/A 19182-2025 tillsynsbegäran.docx", "A 19182-2025")</f>
        <v/>
      </c>
      <c r="AD116">
        <f>HYPERLINK("https://klasma.github.io/Logging_0581/tillsynsmail/A 19182-2025 tillsynsbegäran mail.docx", "A 19182-2025")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46324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46324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46324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46324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46324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8245-2023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44974</v>
      </c>
      <c r="E122" s="1" t="n">
        <v>46324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Svedjenäva</t>
        </is>
      </c>
      <c r="W122">
        <f>HYPERLINK("https://klasma.github.io/Logging_0581/artfynd/A 8245-2023 artfynd.xlsx", "A 8245-2023")</f>
        <v/>
      </c>
      <c r="X122">
        <f>HYPERLINK("https://klasma.github.io/Logging_0581/kartor/A 8245-2023 karta.png", "A 8245-2023")</f>
        <v/>
      </c>
      <c r="Y122">
        <f>HYPERLINK("https://klasma.github.io/Logging_0581/kartor_geotiff/A 8245-2023 georefererad karta.tif", "A 8245-2023")</f>
        <v/>
      </c>
      <c r="AA122">
        <f>HYPERLINK("https://klasma.github.io/Logging_0581/klagomål/A 8245-2023 FSC-klagomål.docx", "A 8245-2023")</f>
        <v/>
      </c>
      <c r="AB122">
        <f>HYPERLINK("https://klasma.github.io/Logging_0581/klagomålsmail/A 8245-2023 FSC-klagomål mail.docx", "A 8245-2023")</f>
        <v/>
      </c>
      <c r="AC122">
        <f>HYPERLINK("https://klasma.github.io/Logging_0581/tillsyn/A 8245-2023 tillsynsbegäran.docx", "A 8245-2023")</f>
        <v/>
      </c>
      <c r="AD122">
        <f>HYPERLINK("https://klasma.github.io/Logging_0581/tillsynsmail/A 8245-2023 tillsynsbegäran mail.docx", "A 8245-2023")</f>
        <v/>
      </c>
    </row>
    <row r="123" ht="15" customHeight="1">
      <c r="A123" t="inlineStr">
        <is>
          <t>A 57772-2022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44897</v>
      </c>
      <c r="E123" s="1" t="n">
        <v>46324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Fällmossa</t>
        </is>
      </c>
      <c r="W123">
        <f>HYPERLINK("https://klasma.github.io/Logging_0581/artfynd/A 57772-2022 artfynd.xlsx", "A 57772-2022")</f>
        <v/>
      </c>
      <c r="X123">
        <f>HYPERLINK("https://klasma.github.io/Logging_0581/kartor/A 57772-2022 karta.png", "A 57772-2022")</f>
        <v/>
      </c>
      <c r="Y123">
        <f>HYPERLINK("https://klasma.github.io/Logging_0581/kartor_geotiff/A 57772-2022 georefererad karta.tif", "A 57772-2022")</f>
        <v/>
      </c>
      <c r="AA123">
        <f>HYPERLINK("https://klasma.github.io/Logging_0581/klagomål/A 57772-2022 FSC-klagomål.docx", "A 57772-2022")</f>
        <v/>
      </c>
      <c r="AB123">
        <f>HYPERLINK("https://klasma.github.io/Logging_0581/klagomålsmail/A 57772-2022 FSC-klagomål mail.docx", "A 57772-2022")</f>
        <v/>
      </c>
      <c r="AC123">
        <f>HYPERLINK("https://klasma.github.io/Logging_0581/tillsyn/A 57772-2022 tillsynsbegäran.docx", "A 57772-2022")</f>
        <v/>
      </c>
      <c r="AD123">
        <f>HYPERLINK("https://klasma.github.io/Logging_0581/tillsynsmail/A 57772-2022 tillsynsbegäran mail.docx", "A 57772-2022")</f>
        <v/>
      </c>
    </row>
    <row r="124" ht="15" customHeight="1">
      <c r="A124" t="inlineStr">
        <is>
          <t>A 45953-2024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45580</v>
      </c>
      <c r="E124" s="1" t="n">
        <v>46324</v>
      </c>
      <c r="F124" t="inlineStr">
        <is>
          <t>ÖSTERGÖTLANDS LÄN</t>
        </is>
      </c>
      <c r="G124" t="inlineStr">
        <is>
          <t>NORRKÖPING</t>
        </is>
      </c>
      <c r="I124" t="n">
        <v>1.9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Ekoxe</t>
        </is>
      </c>
      <c r="W124">
        <f>HYPERLINK("https://klasma.github.io/Logging_0581/artfynd/A 45953-2024 artfynd.xlsx", "A 45953-2024")</f>
        <v/>
      </c>
      <c r="X124">
        <f>HYPERLINK("https://klasma.github.io/Logging_0581/kartor/A 45953-2024 karta.png", "A 45953-2024")</f>
        <v/>
      </c>
      <c r="Y124">
        <f>HYPERLINK("https://klasma.github.io/Logging_0581/kartor_geotiff/A 45953-2024 georefererad karta.tif", "A 45953-2024")</f>
        <v/>
      </c>
      <c r="AA124">
        <f>HYPERLINK("https://klasma.github.io/Logging_0581/klagomål/A 45953-2024 FSC-klagomål.docx", "A 45953-2024")</f>
        <v/>
      </c>
      <c r="AB124">
        <f>HYPERLINK("https://klasma.github.io/Logging_0581/klagomålsmail/A 45953-2024 FSC-klagomål mail.docx", "A 45953-2024")</f>
        <v/>
      </c>
      <c r="AC124">
        <f>HYPERLINK("https://klasma.github.io/Logging_0581/tillsyn/A 45953-2024 tillsynsbegäran.docx", "A 45953-2024")</f>
        <v/>
      </c>
      <c r="AD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14044-2023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46324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14044-2023 artfynd.xlsx", "A 14044-2023")</f>
        <v/>
      </c>
      <c r="X125">
        <f>HYPERLINK("https://klasma.github.io/Logging_0581/kartor/A 14044-2023 karta.png", "A 14044-2023")</f>
        <v/>
      </c>
      <c r="Y125">
        <f>HYPERLINK("https://klasma.github.io/Logging_0581/kartor_geotiff/A 14044-2023 georefererad karta.tif", "A 14044-2023")</f>
        <v/>
      </c>
      <c r="AA125">
        <f>HYPERLINK("https://klasma.github.io/Logging_0581/klagomål/A 14044-2023 FSC-klagomål.docx", "A 14044-2023")</f>
        <v/>
      </c>
      <c r="AB125">
        <f>HYPERLINK("https://klasma.github.io/Logging_0581/klagomålsmail/A 14044-2023 FSC-klagomål mail.docx", "A 14044-2023")</f>
        <v/>
      </c>
      <c r="AC125">
        <f>HYPERLINK("https://klasma.github.io/Logging_0581/tillsyn/A 14044-2023 tillsynsbegäran.docx", "A 14044-2023")</f>
        <v/>
      </c>
      <c r="AD125">
        <f>HYPERLINK("https://klasma.github.io/Logging_0581/tillsynsmail/A 14044-2023 tillsynsbegäran mail.docx", "A 14044-2023")</f>
        <v/>
      </c>
      <c r="AE125">
        <f>HYPERLINK("https://klasma.github.io/Logging_0581/fåglar/A 14044-2023 prioriterade fågelarter.docx", "A 14044-2023")</f>
        <v/>
      </c>
    </row>
    <row r="126" ht="15" customHeight="1">
      <c r="A126" t="inlineStr">
        <is>
          <t>A 31659-2023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46324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Tjäder</t>
        </is>
      </c>
      <c r="W126">
        <f>HYPERLINK("https://klasma.github.io/Logging_0581/artfynd/A 31659-2023 artfynd.xlsx", "A 31659-2023")</f>
        <v/>
      </c>
      <c r="X126">
        <f>HYPERLINK("https://klasma.github.io/Logging_0581/kartor/A 31659-2023 karta.png", "A 31659-2023")</f>
        <v/>
      </c>
      <c r="Y126">
        <f>HYPERLINK("https://klasma.github.io/Logging_0581/kartor_geotiff/A 31659-2023 georefererad karta.tif", "A 31659-2023")</f>
        <v/>
      </c>
      <c r="AA126">
        <f>HYPERLINK("https://klasma.github.io/Logging_0581/klagomål/A 31659-2023 FSC-klagomål.docx", "A 31659-2023")</f>
        <v/>
      </c>
      <c r="AB126">
        <f>HYPERLINK("https://klasma.github.io/Logging_0581/klagomålsmail/A 31659-2023 FSC-klagomål mail.docx", "A 31659-2023")</f>
        <v/>
      </c>
      <c r="AC126">
        <f>HYPERLINK("https://klasma.github.io/Logging_0581/tillsyn/A 31659-2023 tillsynsbegäran.docx", "A 31659-2023")</f>
        <v/>
      </c>
      <c r="AD126">
        <f>HYPERLINK("https://klasma.github.io/Logging_0581/tillsynsmail/A 31659-2023 tillsynsbegäran mail.docx", "A 31659-2023")</f>
        <v/>
      </c>
      <c r="AE126">
        <f>HYPERLINK("https://klasma.github.io/Logging_0581/fåglar/A 31659-2023 prioriterade fågelarter.docx", "A 31659-2023")</f>
        <v/>
      </c>
    </row>
    <row r="127" ht="15" customHeight="1">
      <c r="A127" t="inlineStr">
        <is>
          <t>A 46671-2024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46324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Kattfotslav</t>
        </is>
      </c>
      <c r="W127">
        <f>HYPERLINK("https://klasma.github.io/Logging_0581/artfynd/A 46671-2024 artfynd.xlsx", "A 46671-2024")</f>
        <v/>
      </c>
      <c r="X127">
        <f>HYPERLINK("https://klasma.github.io/Logging_0581/kartor/A 46671-2024 karta.png", "A 46671-2024")</f>
        <v/>
      </c>
      <c r="Y127">
        <f>HYPERLINK("https://klasma.github.io/Logging_0581/kartor_geotiff/A 46671-2024 georefererad karta.tif", "A 46671-2024")</f>
        <v/>
      </c>
      <c r="AA127">
        <f>HYPERLINK("https://klasma.github.io/Logging_0581/klagomål/A 46671-2024 FSC-klagomål.docx", "A 46671-2024")</f>
        <v/>
      </c>
      <c r="AB127">
        <f>HYPERLINK("https://klasma.github.io/Logging_0581/klagomålsmail/A 46671-2024 FSC-klagomål mail.docx", "A 46671-2024")</f>
        <v/>
      </c>
      <c r="AC127">
        <f>HYPERLINK("https://klasma.github.io/Logging_0581/tillsyn/A 46671-2024 tillsynsbegäran.docx", "A 46671-2024")</f>
        <v/>
      </c>
      <c r="AD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14329-2022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46324</v>
      </c>
      <c r="F128" t="inlineStr">
        <is>
          <t>ÖSTERGÖTLANDS LÄN</t>
        </is>
      </c>
      <c r="G128" t="inlineStr">
        <is>
          <t>NORRKÖPING</t>
        </is>
      </c>
      <c r="I128" t="n">
        <v>2.7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Röd skogslilja</t>
        </is>
      </c>
      <c r="W128">
        <f>HYPERLINK("https://klasma.github.io/Logging_0581/artfynd/A 14329-2022 artfynd.xlsx", "A 14329-2022")</f>
        <v/>
      </c>
      <c r="X128">
        <f>HYPERLINK("https://klasma.github.io/Logging_0581/kartor/A 14329-2022 karta.png", "A 14329-2022")</f>
        <v/>
      </c>
      <c r="Y128">
        <f>HYPERLINK("https://klasma.github.io/Logging_0581/kartor_geotiff/A 14329-2022 georefererad karta.tif", "A 14329-2022")</f>
        <v/>
      </c>
      <c r="AA128">
        <f>HYPERLINK("https://klasma.github.io/Logging_0581/klagomål/A 14329-2022 FSC-klagomål.docx", "A 14329-2022")</f>
        <v/>
      </c>
      <c r="AB128">
        <f>HYPERLINK("https://klasma.github.io/Logging_0581/klagomålsmail/A 14329-2022 FSC-klagomål mail.docx", "A 14329-2022")</f>
        <v/>
      </c>
      <c r="AC128">
        <f>HYPERLINK("https://klasma.github.io/Logging_0581/tillsyn/A 14329-2022 tillsynsbegäran.docx", "A 14329-2022")</f>
        <v/>
      </c>
      <c r="AD128">
        <f>HYPERLINK("https://klasma.github.io/Logging_0581/tillsynsmail/A 14329-2022 tillsynsbegäran mail.docx", "A 14329-2022")</f>
        <v/>
      </c>
    </row>
    <row r="129" ht="15" customHeight="1">
      <c r="A129" t="inlineStr">
        <is>
          <t>A 40053-2025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45894</v>
      </c>
      <c r="E129" s="1" t="n">
        <v>46324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HYPERLINK("https://klasma.github.io/Logging_0581/artfynd/A 40053-2025 artfynd.xlsx", "A 40053-2025")</f>
        <v/>
      </c>
      <c r="X129">
        <f>HYPERLINK("https://klasma.github.io/Logging_0581/kartor/A 40053-2025 karta.png", "A 40053-2025")</f>
        <v/>
      </c>
      <c r="Y129">
        <f>HYPERLINK("https://klasma.github.io/Logging_0581/kartor_geotiff/A 40053-2025 georefererad karta.tif", "A 40053-2025")</f>
        <v/>
      </c>
      <c r="AA129">
        <f>HYPERLINK("https://klasma.github.io/Logging_0581/klagomål/A 40053-2025 FSC-klagomål.docx", "A 40053-2025")</f>
        <v/>
      </c>
      <c r="AB129">
        <f>HYPERLINK("https://klasma.github.io/Logging_0581/klagomålsmail/A 40053-2025 FSC-klagomål mail.docx", "A 40053-2025")</f>
        <v/>
      </c>
      <c r="AC129">
        <f>HYPERLINK("https://klasma.github.io/Logging_0581/tillsyn/A 40053-2025 tillsynsbegäran.docx", "A 40053-2025")</f>
        <v/>
      </c>
      <c r="AD129">
        <f>HYPERLINK("https://klasma.github.io/Logging_0581/tillsynsmail/A 40053-2025 tillsynsbegäran mail.docx", "A 40053-2025")</f>
        <v/>
      </c>
    </row>
    <row r="130" ht="15" customHeight="1">
      <c r="A130" t="inlineStr">
        <is>
          <t>A 46957-2023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46324</v>
      </c>
      <c r="F130" t="inlineStr">
        <is>
          <t>ÖSTERGÖTLANDS LÄN</t>
        </is>
      </c>
      <c r="G130" t="inlineStr">
        <is>
          <t>NORRKÖPING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Vedskivlav</t>
        </is>
      </c>
      <c r="W130">
        <f>HYPERLINK("https://klasma.github.io/Logging_0581/artfynd/A 46957-2023 artfynd.xlsx", "A 46957-2023")</f>
        <v/>
      </c>
      <c r="X130">
        <f>HYPERLINK("https://klasma.github.io/Logging_0581/kartor/A 46957-2023 karta.png", "A 46957-2023")</f>
        <v/>
      </c>
      <c r="Y130">
        <f>HYPERLINK("https://klasma.github.io/Logging_0581/kartor_geotiff/A 46957-2023 georefererad karta.tif", "A 46957-2023")</f>
        <v/>
      </c>
      <c r="AA130">
        <f>HYPERLINK("https://klasma.github.io/Logging_0581/klagomål/A 46957-2023 FSC-klagomål.docx", "A 46957-2023")</f>
        <v/>
      </c>
      <c r="AB130">
        <f>HYPERLINK("https://klasma.github.io/Logging_0581/klagomålsmail/A 46957-2023 FSC-klagomål mail.docx", "A 46957-2023")</f>
        <v/>
      </c>
      <c r="AC130">
        <f>HYPERLINK("https://klasma.github.io/Logging_0581/tillsyn/A 46957-2023 tillsynsbegäran.docx", "A 46957-2023")</f>
        <v/>
      </c>
      <c r="AD130">
        <f>HYPERLINK("https://klasma.github.io/Logging_0581/tillsynsmail/A 46957-2023 tillsynsbegäran mail.docx", "A 46957-2023")</f>
        <v/>
      </c>
    </row>
    <row r="131" ht="15" customHeight="1">
      <c r="A131" t="inlineStr">
        <is>
          <t>A 31320-2025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46324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Blåmossa</t>
        </is>
      </c>
      <c r="W131">
        <f>HYPERLINK("https://klasma.github.io/Logging_0581/artfynd/A 31320-2025 artfynd.xlsx", "A 31320-2025")</f>
        <v/>
      </c>
      <c r="X131">
        <f>HYPERLINK("https://klasma.github.io/Logging_0581/kartor/A 31320-2025 karta.png", "A 31320-2025")</f>
        <v/>
      </c>
      <c r="Y131">
        <f>HYPERLINK("https://klasma.github.io/Logging_0581/kartor_geotiff/A 31320-2025 georefererad karta.tif", "A 31320-2025")</f>
        <v/>
      </c>
      <c r="AA131">
        <f>HYPERLINK("https://klasma.github.io/Logging_0581/klagomål/A 31320-2025 FSC-klagomål.docx", "A 31320-2025")</f>
        <v/>
      </c>
      <c r="AB131">
        <f>HYPERLINK("https://klasma.github.io/Logging_0581/klagomålsmail/A 31320-2025 FSC-klagomål mail.docx", "A 31320-2025")</f>
        <v/>
      </c>
      <c r="AC131">
        <f>HYPERLINK("https://klasma.github.io/Logging_0581/tillsyn/A 31320-2025 tillsynsbegäran.docx", "A 31320-2025")</f>
        <v/>
      </c>
      <c r="AD131">
        <f>HYPERLINK("https://klasma.github.io/Logging_0581/tillsynsmail/A 31320-2025 tillsynsbegäran mail.docx", "A 31320-2025")</f>
        <v/>
      </c>
    </row>
    <row r="132" ht="15" customHeight="1">
      <c r="A132" t="inlineStr">
        <is>
          <t>A 42548-2025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46324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Kattfotslav</t>
        </is>
      </c>
      <c r="W132">
        <f>HYPERLINK("https://klasma.github.io/Logging_0581/artfynd/A 42548-2025 artfynd.xlsx", "A 42548-2025")</f>
        <v/>
      </c>
      <c r="X132">
        <f>HYPERLINK("https://klasma.github.io/Logging_0581/kartor/A 42548-2025 karta.png", "A 42548-2025")</f>
        <v/>
      </c>
      <c r="Y132">
        <f>HYPERLINK("https://klasma.github.io/Logging_0581/kartor_geotiff/A 42548-2025 georefererad karta.tif", "A 42548-2025")</f>
        <v/>
      </c>
      <c r="AA132">
        <f>HYPERLINK("https://klasma.github.io/Logging_0581/klagomål/A 42548-2025 FSC-klagomål.docx", "A 42548-2025")</f>
        <v/>
      </c>
      <c r="AB132">
        <f>HYPERLINK("https://klasma.github.io/Logging_0581/klagomålsmail/A 42548-2025 FSC-klagomål mail.docx", "A 42548-2025")</f>
        <v/>
      </c>
      <c r="AC132">
        <f>HYPERLINK("https://klasma.github.io/Logging_0581/tillsyn/A 42548-2025 tillsynsbegäran.docx", "A 42548-2025")</f>
        <v/>
      </c>
      <c r="AD132">
        <f>HYPERLINK("https://klasma.github.io/Logging_0581/tillsynsmail/A 42548-2025 tillsynsbegäran mail.docx", "A 42548-2025")</f>
        <v/>
      </c>
    </row>
    <row r="133" ht="15" customHeight="1">
      <c r="A133" t="inlineStr">
        <is>
          <t>A 42233-2025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46324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HYPERLINK("https://klasma.github.io/Logging_0581/artfynd/A 42233-2025 artfynd.xlsx", "A 42233-2025")</f>
        <v/>
      </c>
      <c r="X133">
        <f>HYPERLINK("https://klasma.github.io/Logging_0581/kartor/A 42233-2025 karta.png", "A 42233-2025")</f>
        <v/>
      </c>
      <c r="Y133">
        <f>HYPERLINK("https://klasma.github.io/Logging_0581/kartor_geotiff/A 42233-2025 georefererad karta.tif", "A 42233-2025")</f>
        <v/>
      </c>
      <c r="AA133">
        <f>HYPERLINK("https://klasma.github.io/Logging_0581/klagomål/A 42233-2025 FSC-klagomål.docx", "A 42233-2025")</f>
        <v/>
      </c>
      <c r="AB133">
        <f>HYPERLINK("https://klasma.github.io/Logging_0581/klagomålsmail/A 42233-2025 FSC-klagomål mail.docx", "A 42233-2025")</f>
        <v/>
      </c>
      <c r="AC133">
        <f>HYPERLINK("https://klasma.github.io/Logging_0581/tillsyn/A 42233-2025 tillsynsbegäran.docx", "A 42233-2025")</f>
        <v/>
      </c>
      <c r="AD133">
        <f>HYPERLINK("https://klasma.github.io/Logging_0581/tillsynsmail/A 42233-2025 tillsynsbegäran mail.docx", "A 42233-2025")</f>
        <v/>
      </c>
    </row>
    <row r="134" ht="15" customHeight="1">
      <c r="A134" t="inlineStr">
        <is>
          <t>A 62973-2021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44504</v>
      </c>
      <c r="E134" s="1" t="n">
        <v>46324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Krusfrö</t>
        </is>
      </c>
      <c r="W134">
        <f>HYPERLINK("https://klasma.github.io/Logging_0581/artfynd/A 62973-2021 artfynd.xlsx", "A 62973-2021")</f>
        <v/>
      </c>
      <c r="X134">
        <f>HYPERLINK("https://klasma.github.io/Logging_0581/kartor/A 62973-2021 karta.png", "A 62973-2021")</f>
        <v/>
      </c>
      <c r="Y134">
        <f>HYPERLINK("https://klasma.github.io/Logging_0581/kartor_geotiff/A 62973-2021 georefererad karta.tif", "A 62973-2021")</f>
        <v/>
      </c>
      <c r="AA134">
        <f>HYPERLINK("https://klasma.github.io/Logging_0581/klagomål/A 62973-2021 FSC-klagomål.docx", "A 62973-2021")</f>
        <v/>
      </c>
      <c r="AB134">
        <f>HYPERLINK("https://klasma.github.io/Logging_0581/klagomålsmail/A 62973-2021 FSC-klagomål mail.docx", "A 62973-2021")</f>
        <v/>
      </c>
      <c r="AC134">
        <f>HYPERLINK("https://klasma.github.io/Logging_0581/tillsyn/A 62973-2021 tillsynsbegäran.docx", "A 62973-2021")</f>
        <v/>
      </c>
      <c r="AD134">
        <f>HYPERLINK("https://klasma.github.io/Logging_0581/tillsynsmail/A 62973-2021 tillsynsbegäran mail.docx", "A 62973-2021")</f>
        <v/>
      </c>
    </row>
    <row r="135" ht="15" customHeight="1">
      <c r="A135" t="inlineStr">
        <is>
          <t>A 19995-2025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46324</v>
      </c>
      <c r="F135" t="inlineStr">
        <is>
          <t>ÖSTERGÖTLANDS LÄN</t>
        </is>
      </c>
      <c r="G135" t="inlineStr">
        <is>
          <t>NORRKÖPING</t>
        </is>
      </c>
      <c r="I135" t="n">
        <v>1.1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Blomkålssvamp</t>
        </is>
      </c>
      <c r="W135">
        <f>HYPERLINK("https://klasma.github.io/Logging_0581/artfynd/A 19995-2025 artfynd.xlsx", "A 19995-2025")</f>
        <v/>
      </c>
      <c r="X135">
        <f>HYPERLINK("https://klasma.github.io/Logging_0581/kartor/A 19995-2025 karta.png", "A 19995-2025")</f>
        <v/>
      </c>
      <c r="Y135">
        <f>HYPERLINK("https://klasma.github.io/Logging_0581/kartor_geotiff/A 19995-2025 georefererad karta.tif", "A 19995-2025")</f>
        <v/>
      </c>
      <c r="AA135">
        <f>HYPERLINK("https://klasma.github.io/Logging_0581/klagomål/A 19995-2025 FSC-klagomål.docx", "A 19995-2025")</f>
        <v/>
      </c>
      <c r="AB135">
        <f>HYPERLINK("https://klasma.github.io/Logging_0581/klagomålsmail/A 19995-2025 FSC-klagomål mail.docx", "A 19995-2025")</f>
        <v/>
      </c>
      <c r="AC135">
        <f>HYPERLINK("https://klasma.github.io/Logging_0581/tillsyn/A 19995-2025 tillsynsbegäran.docx", "A 19995-2025")</f>
        <v/>
      </c>
      <c r="AD135">
        <f>HYPERLINK("https://klasma.github.io/Logging_0581/tillsynsmail/A 19995-2025 tillsynsbegäran mail.docx", "A 19995-2025")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46324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Järpe</t>
        </is>
      </c>
      <c r="W136">
        <f>HYPERLINK("https://klasma.github.io/Logging_0581/artfynd/A 34078-2025 artfynd.xlsx", "A 34078-2025")</f>
        <v/>
      </c>
      <c r="X136">
        <f>HYPERLINK("https://klasma.github.io/Logging_0581/kartor/A 34078-2025 karta.png", "A 34078-2025")</f>
        <v/>
      </c>
      <c r="Y136">
        <f>HYPERLINK("https://klasma.github.io/Logging_0581/kartor_geotiff/A 34078-2025 georefererad karta.tif", "A 34078-2025")</f>
        <v/>
      </c>
      <c r="AA136">
        <f>HYPERLINK("https://klasma.github.io/Logging_0581/klagomål/A 34078-2025 FSC-klagomål.docx", "A 34078-2025")</f>
        <v/>
      </c>
      <c r="AB136">
        <f>HYPERLINK("https://klasma.github.io/Logging_0581/klagomålsmail/A 34078-2025 FSC-klagomål mail.docx", "A 34078-2025")</f>
        <v/>
      </c>
      <c r="AC136">
        <f>HYPERLINK("https://klasma.github.io/Logging_0581/tillsyn/A 34078-2025 tillsynsbegäran.docx", "A 34078-2025")</f>
        <v/>
      </c>
      <c r="AD136">
        <f>HYPERLINK("https://klasma.github.io/Logging_0581/tillsynsmail/A 34078-2025 tillsynsbegäran mail.docx", "A 34078-2025")</f>
        <v/>
      </c>
      <c r="AE136">
        <f>HYPERLINK("https://klasma.github.io/Logging_0581/fåglar/A 34078-2025 prioriterade fågelarter.docx", "A 34078-2025")</f>
        <v/>
      </c>
    </row>
    <row r="137" ht="15" customHeight="1">
      <c r="A137" t="inlineStr">
        <is>
          <t>A 27107-2023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46324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Svartvit flugsnappare</t>
        </is>
      </c>
      <c r="W137">
        <f>HYPERLINK("https://klasma.github.io/Logging_0581/artfynd/A 27107-2023 artfynd.xlsx", "A 27107-2023")</f>
        <v/>
      </c>
      <c r="X137">
        <f>HYPERLINK("https://klasma.github.io/Logging_0581/kartor/A 27107-2023 karta.png", "A 27107-2023")</f>
        <v/>
      </c>
      <c r="Y137">
        <f>HYPERLINK("https://klasma.github.io/Logging_0581/kartor_geotiff/A 27107-2023 georefererad karta.tif", "A 27107-2023")</f>
        <v/>
      </c>
      <c r="AA137">
        <f>HYPERLINK("https://klasma.github.io/Logging_0581/klagomål/A 27107-2023 FSC-klagomål.docx", "A 27107-2023")</f>
        <v/>
      </c>
      <c r="AB137">
        <f>HYPERLINK("https://klasma.github.io/Logging_0581/klagomålsmail/A 27107-2023 FSC-klagomål mail.docx", "A 27107-2023")</f>
        <v/>
      </c>
      <c r="AC137">
        <f>HYPERLINK("https://klasma.github.io/Logging_0581/tillsyn/A 27107-2023 tillsynsbegäran.docx", "A 27107-2023")</f>
        <v/>
      </c>
      <c r="AD137">
        <f>HYPERLINK("https://klasma.github.io/Logging_0581/tillsynsmail/A 27107-2023 tillsynsbegäran mail.docx", "A 27107-2023")</f>
        <v/>
      </c>
    </row>
    <row r="138" ht="15" customHeight="1">
      <c r="A138" t="inlineStr">
        <is>
          <t>A 24629-2025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46324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Kråka</t>
        </is>
      </c>
      <c r="W138">
        <f>HYPERLINK("https://klasma.github.io/Logging_0581/artfynd/A 24629-2025 artfynd.xlsx", "A 24629-2025")</f>
        <v/>
      </c>
      <c r="X138">
        <f>HYPERLINK("https://klasma.github.io/Logging_0581/kartor/A 24629-2025 karta.png", "A 24629-2025")</f>
        <v/>
      </c>
      <c r="Y138">
        <f>HYPERLINK("https://klasma.github.io/Logging_0581/kartor_geotiff/A 24629-2025 georefererad karta.tif", "A 24629-2025")</f>
        <v/>
      </c>
      <c r="AA138">
        <f>HYPERLINK("https://klasma.github.io/Logging_0581/klagomål/A 24629-2025 FSC-klagomål.docx", "A 24629-2025")</f>
        <v/>
      </c>
      <c r="AB138">
        <f>HYPERLINK("https://klasma.github.io/Logging_0581/klagomålsmail/A 24629-2025 FSC-klagomål mail.docx", "A 24629-2025")</f>
        <v/>
      </c>
      <c r="AC138">
        <f>HYPERLINK("https://klasma.github.io/Logging_0581/tillsyn/A 24629-2025 tillsynsbegäran.docx", "A 24629-2025")</f>
        <v/>
      </c>
      <c r="AD138">
        <f>HYPERLINK("https://klasma.github.io/Logging_0581/tillsynsmail/A 24629-2025 tillsynsbegäran mail.docx", "A 24629-2025")</f>
        <v/>
      </c>
    </row>
    <row r="139" ht="15" customHeight="1">
      <c r="A139" t="inlineStr">
        <is>
          <t>A 31582-2023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46324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HYPERLINK("https://klasma.github.io/Logging_0581/artfynd/A 31582-2023 artfynd.xlsx", "A 31582-2023")</f>
        <v/>
      </c>
      <c r="X139">
        <f>HYPERLINK("https://klasma.github.io/Logging_0581/kartor/A 31582-2023 karta.png", "A 31582-2023")</f>
        <v/>
      </c>
      <c r="Y139">
        <f>HYPERLINK("https://klasma.github.io/Logging_0581/kartor_geotiff/A 31582-2023 georefererad karta.tif", "A 31582-2023")</f>
        <v/>
      </c>
      <c r="AA139">
        <f>HYPERLINK("https://klasma.github.io/Logging_0581/klagomål/A 31582-2023 FSC-klagomål.docx", "A 31582-2023")</f>
        <v/>
      </c>
      <c r="AB139">
        <f>HYPERLINK("https://klasma.github.io/Logging_0581/klagomålsmail/A 31582-2023 FSC-klagomål mail.docx", "A 31582-2023")</f>
        <v/>
      </c>
      <c r="AC139">
        <f>HYPERLINK("https://klasma.github.io/Logging_0581/tillsyn/A 31582-2023 tillsynsbegäran.docx", "A 31582-2023")</f>
        <v/>
      </c>
      <c r="AD139">
        <f>HYPERLINK("https://klasma.github.io/Logging_0581/tillsynsmail/A 31582-2023 tillsynsbegäran mail.docx", "A 31582-2023")</f>
        <v/>
      </c>
      <c r="AE139">
        <f>HYPERLINK("https://klasma.github.io/Logging_0581/fåglar/A 31582-2023 prioriterade fågelarter.docx", "A 31582-2023")</f>
        <v/>
      </c>
    </row>
    <row r="140" ht="15" customHeight="1">
      <c r="A140" t="inlineStr">
        <is>
          <t>A 9790-2024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45362</v>
      </c>
      <c r="E140" s="1" t="n">
        <v>46324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Mattlummer</t>
        </is>
      </c>
      <c r="W140">
        <f>HYPERLINK("https://klasma.github.io/Logging_0581/artfynd/A 9790-2024 artfynd.xlsx", "A 9790-2024")</f>
        <v/>
      </c>
      <c r="X140">
        <f>HYPERLINK("https://klasma.github.io/Logging_0581/kartor/A 9790-2024 karta.png", "A 9790-2024")</f>
        <v/>
      </c>
      <c r="Y140">
        <f>HYPERLINK("https://klasma.github.io/Logging_0581/kartor_geotiff/A 9790-2024 georefererad karta.tif", "A 9790-2024")</f>
        <v/>
      </c>
      <c r="AA140">
        <f>HYPERLINK("https://klasma.github.io/Logging_0581/klagomål/A 9790-2024 FSC-klagomål.docx", "A 9790-2024")</f>
        <v/>
      </c>
      <c r="AB140">
        <f>HYPERLINK("https://klasma.github.io/Logging_0581/klagomålsmail/A 9790-2024 FSC-klagomål mail.docx", "A 9790-2024")</f>
        <v/>
      </c>
      <c r="AC140">
        <f>HYPERLINK("https://klasma.github.io/Logging_0581/tillsyn/A 9790-2024 tillsynsbegäran.docx", "A 9790-2024")</f>
        <v/>
      </c>
      <c r="AD140">
        <f>HYPERLINK("https://klasma.github.io/Logging_0581/tillsynsmail/A 9790-2024 tillsynsbegäran mail.docx", "A 9790-2024")</f>
        <v/>
      </c>
    </row>
    <row r="141" ht="15" customHeight="1">
      <c r="A141" t="inlineStr">
        <is>
          <t>A 31897-2022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44777</v>
      </c>
      <c r="E141" s="1" t="n">
        <v>46324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Kommuner</t>
        </is>
      </c>
      <c r="I141" t="n">
        <v>1.8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Grönpyrola</t>
        </is>
      </c>
      <c r="W141">
        <f>HYPERLINK("https://klasma.github.io/Logging_0581/artfynd/A 31897-2022 artfynd.xlsx", "A 31897-2022")</f>
        <v/>
      </c>
      <c r="X141">
        <f>HYPERLINK("https://klasma.github.io/Logging_0581/kartor/A 31897-2022 karta.png", "A 31897-2022")</f>
        <v/>
      </c>
      <c r="Y141">
        <f>HYPERLINK("https://klasma.github.io/Logging_0581/kartor_geotiff/A 31897-2022 georefererad karta.tif", "A 31897-2022")</f>
        <v/>
      </c>
      <c r="AA141">
        <f>HYPERLINK("https://klasma.github.io/Logging_0581/klagomål/A 31897-2022 FSC-klagomål.docx", "A 31897-2022")</f>
        <v/>
      </c>
      <c r="AB141">
        <f>HYPERLINK("https://klasma.github.io/Logging_0581/klagomålsmail/A 31897-2022 FSC-klagomål mail.docx", "A 31897-2022")</f>
        <v/>
      </c>
      <c r="AC141">
        <f>HYPERLINK("https://klasma.github.io/Logging_0581/tillsyn/A 31897-2022 tillsynsbegäran.docx", "A 31897-2022")</f>
        <v/>
      </c>
      <c r="AD141">
        <f>HYPERLINK("https://klasma.github.io/Logging_0581/tillsynsmail/A 31897-2022 tillsynsbegäran mail.docx", "A 31897-2022")</f>
        <v/>
      </c>
    </row>
    <row r="142" ht="15" customHeight="1">
      <c r="A142" t="inlineStr">
        <is>
          <t>A 23627-2026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46324</v>
      </c>
      <c r="F142" t="inlineStr">
        <is>
          <t>ÖSTERGÖTLANDS LÄN</t>
        </is>
      </c>
      <c r="G142" t="inlineStr">
        <is>
          <t>NORRKÖPING</t>
        </is>
      </c>
      <c r="I142" t="n">
        <v>4.1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Ekoxe</t>
        </is>
      </c>
      <c r="W142">
        <f>HYPERLINK("https://klasma.github.io/Logging_0581/artfynd/A 23627-2026 artfynd.xlsx", "A 23627-2026")</f>
        <v/>
      </c>
      <c r="X142">
        <f>HYPERLINK("https://klasma.github.io/Logging_0581/kartor/A 23627-2026 karta.png", "A 23627-2026")</f>
        <v/>
      </c>
      <c r="Y142">
        <f>HYPERLINK("https://klasma.github.io/Logging_0581/kartor_geotiff/A 23627-2026 georefererad karta.tif", "A 23627-2026")</f>
        <v/>
      </c>
      <c r="AA142">
        <f>HYPERLINK("https://klasma.github.io/Logging_0581/klagomål/A 23627-2026 FSC-klagomål.docx", "A 23627-2026")</f>
        <v/>
      </c>
      <c r="AB142">
        <f>HYPERLINK("https://klasma.github.io/Logging_0581/klagomålsmail/A 23627-2026 FSC-klagomål mail.docx", "A 23627-2026")</f>
        <v/>
      </c>
      <c r="AC142">
        <f>HYPERLINK("https://klasma.github.io/Logging_0581/tillsyn/A 23627-2026 tillsynsbegäran.docx", "A 23627-2026")</f>
        <v/>
      </c>
      <c r="AD142">
        <f>HYPERLINK("https://klasma.github.io/Logging_0581/tillsynsmail/A 23627-2026 tillsynsbegäran mail.docx", "A 23627-2026")</f>
        <v/>
      </c>
    </row>
    <row r="143" ht="15" customHeight="1">
      <c r="A143" t="inlineStr">
        <is>
          <t>A 16610-2024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45408</v>
      </c>
      <c r="E143" s="1" t="n">
        <v>46324</v>
      </c>
      <c r="F143" t="inlineStr">
        <is>
          <t>ÖSTERGÖTLANDS LÄN</t>
        </is>
      </c>
      <c r="G143" t="inlineStr">
        <is>
          <t>NORRKÖPING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3</v>
      </c>
      <c r="U143" t="n">
        <v>3</v>
      </c>
      <c r="V143" s="2" t="inlineStr">
        <is>
          <t>Knärot</t>
        </is>
      </c>
      <c r="W143">
        <f>HYPERLINK("https://klasma.github.io/Logging_0581/artfynd/A 16610-2024 artfynd.xlsx", "A 16610-2024")</f>
        <v/>
      </c>
      <c r="X143">
        <f>HYPERLINK("https://klasma.github.io/Logging_0581/kartor/A 16610-2024 karta.png", "A 16610-2024")</f>
        <v/>
      </c>
      <c r="Y143">
        <f>HYPERLINK("https://klasma.github.io/Logging_0581/kartor_geotiff/A 16610-2024 georefererad karta.tif", "A 16610-2024")</f>
        <v/>
      </c>
      <c r="Z143">
        <f>HYPERLINK("https://klasma.github.io/Logging_0581/knärot/A 16610-2024 karta knärot.png", "A 16610-2024")</f>
        <v/>
      </c>
      <c r="AA143">
        <f>HYPERLINK("https://klasma.github.io/Logging_0581/klagomål/A 16610-2024 FSC-klagomål.docx", "A 16610-2024")</f>
        <v/>
      </c>
      <c r="AB143">
        <f>HYPERLINK("https://klasma.github.io/Logging_0581/klagomålsmail/A 16610-2024 FSC-klagomål mail.docx", "A 16610-2024")</f>
        <v/>
      </c>
      <c r="AC143">
        <f>HYPERLINK("https://klasma.github.io/Logging_0581/tillsyn/A 16610-2024 tillsynsbegäran.docx", "A 16610-2024")</f>
        <v/>
      </c>
      <c r="AD143">
        <f>HYPERLINK("https://klasma.github.io/Logging_0581/tillsynsmail/A 16610-2024 tillsynsbegäran mail.docx", "A 16610-2024")</f>
        <v/>
      </c>
    </row>
    <row r="144" ht="15" customHeight="1">
      <c r="A144" t="inlineStr">
        <is>
          <t>A 18636-2023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46324</v>
      </c>
      <c r="F144" t="inlineStr">
        <is>
          <t>ÖSTERGÖTLANDS LÄN</t>
        </is>
      </c>
      <c r="G144" t="inlineStr">
        <is>
          <t>NORRKÖPING</t>
        </is>
      </c>
      <c r="I144" t="n">
        <v>5.7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Spillkråka</t>
        </is>
      </c>
      <c r="W144">
        <f>HYPERLINK("https://klasma.github.io/Logging_0581/artfynd/A 18636-2023 artfynd.xlsx", "A 18636-2023")</f>
        <v/>
      </c>
      <c r="X144">
        <f>HYPERLINK("https://klasma.github.io/Logging_0581/kartor/A 18636-2023 karta.png", "A 18636-2023")</f>
        <v/>
      </c>
      <c r="Y144">
        <f>HYPERLINK("https://klasma.github.io/Logging_0581/kartor_geotiff/A 18636-2023 georefererad karta.tif", "A 18636-2023")</f>
        <v/>
      </c>
      <c r="AA144">
        <f>HYPERLINK("https://klasma.github.io/Logging_0581/klagomål/A 18636-2023 FSC-klagomål.docx", "A 18636-2023")</f>
        <v/>
      </c>
      <c r="AB144">
        <f>HYPERLINK("https://klasma.github.io/Logging_0581/klagomålsmail/A 18636-2023 FSC-klagomål mail.docx", "A 18636-2023")</f>
        <v/>
      </c>
      <c r="AC144">
        <f>HYPERLINK("https://klasma.github.io/Logging_0581/tillsyn/A 18636-2023 tillsynsbegäran.docx", "A 18636-2023")</f>
        <v/>
      </c>
      <c r="AD144">
        <f>HYPERLINK("https://klasma.github.io/Logging_0581/tillsynsmail/A 18636-2023 tillsynsbegäran mail.docx", "A 18636-2023")</f>
        <v/>
      </c>
      <c r="AE144">
        <f>HYPERLINK("https://klasma.github.io/Logging_0581/fåglar/A 18636-2023 prioriterade fågelarter.docx", "A 18636-2023")</f>
        <v/>
      </c>
    </row>
    <row r="145" ht="15" customHeight="1">
      <c r="A145" t="inlineStr">
        <is>
          <t>A 46806-2024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46324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Vedskivlav</t>
        </is>
      </c>
      <c r="W145">
        <f>HYPERLINK("https://klasma.github.io/Logging_0581/artfynd/A 46806-2024 artfynd.xlsx", "A 46806-2024")</f>
        <v/>
      </c>
      <c r="X145">
        <f>HYPERLINK("https://klasma.github.io/Logging_0581/kartor/A 46806-2024 karta.png", "A 46806-2024")</f>
        <v/>
      </c>
      <c r="Y145">
        <f>HYPERLINK("https://klasma.github.io/Logging_0581/kartor_geotiff/A 46806-2024 georefererad karta.tif", "A 46806-2024")</f>
        <v/>
      </c>
      <c r="AA145">
        <f>HYPERLINK("https://klasma.github.io/Logging_0581/klagomål/A 46806-2024 FSC-klagomål.docx", "A 46806-2024")</f>
        <v/>
      </c>
      <c r="AB145">
        <f>HYPERLINK("https://klasma.github.io/Logging_0581/klagomålsmail/A 46806-2024 FSC-klagomål mail.docx", "A 46806-2024")</f>
        <v/>
      </c>
      <c r="AC145">
        <f>HYPERLINK("https://klasma.github.io/Logging_0581/tillsyn/A 46806-2024 tillsynsbegäran.docx", "A 46806-2024")</f>
        <v/>
      </c>
      <c r="AD145">
        <f>HYPERLINK("https://klasma.github.io/Logging_0581/tillsynsmail/A 46806-2024 tillsynsbegäran mail.docx", "A 46806-2024")</f>
        <v/>
      </c>
    </row>
    <row r="146" ht="15" customHeight="1">
      <c r="A146" t="inlineStr">
        <is>
          <t>A 25707-2026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46324</v>
      </c>
      <c r="F146" t="inlineStr">
        <is>
          <t>ÖSTERGÖTLANDS LÄN</t>
        </is>
      </c>
      <c r="G146" t="inlineStr">
        <is>
          <t>NORRKÖPING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Tallticka</t>
        </is>
      </c>
      <c r="W146">
        <f>HYPERLINK("https://klasma.github.io/Logging_0581/artfynd/A 25707-2026 artfynd.xlsx", "A 25707-2026")</f>
        <v/>
      </c>
      <c r="X146">
        <f>HYPERLINK("https://klasma.github.io/Logging_0581/kartor/A 25707-2026 karta.png", "A 25707-2026")</f>
        <v/>
      </c>
      <c r="Y146">
        <f>HYPERLINK("https://klasma.github.io/Logging_0581/kartor_geotiff/A 25707-2026 georefererad karta.tif", "A 25707-2026")</f>
        <v/>
      </c>
      <c r="AA146">
        <f>HYPERLINK("https://klasma.github.io/Logging_0581/klagomål/A 25707-2026 FSC-klagomål.docx", "A 25707-2026")</f>
        <v/>
      </c>
      <c r="AB146">
        <f>HYPERLINK("https://klasma.github.io/Logging_0581/klagomålsmail/A 25707-2026 FSC-klagomål mail.docx", "A 25707-2026")</f>
        <v/>
      </c>
      <c r="AC146">
        <f>HYPERLINK("https://klasma.github.io/Logging_0581/tillsyn/A 25707-2026 tillsynsbegäran.docx", "A 25707-2026")</f>
        <v/>
      </c>
      <c r="AD146">
        <f>HYPERLINK("https://klasma.github.io/Logging_0581/tillsynsmail/A 25707-2026 tillsynsbegäran mail.docx", "A 25707-2026")</f>
        <v/>
      </c>
    </row>
    <row r="147" ht="15" customHeight="1">
      <c r="A147" t="inlineStr">
        <is>
          <t>A 12145-2024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45376</v>
      </c>
      <c r="E147" s="1" t="n">
        <v>46324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10.4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Gullgröppa</t>
        </is>
      </c>
      <c r="W147">
        <f>HYPERLINK("https://klasma.github.io/Logging_0581/artfynd/A 12145-2024 artfynd.xlsx", "A 12145-2024")</f>
        <v/>
      </c>
      <c r="X147">
        <f>HYPERLINK("https://klasma.github.io/Logging_0581/kartor/A 12145-2024 karta.png", "A 12145-2024")</f>
        <v/>
      </c>
      <c r="Y147">
        <f>HYPERLINK("https://klasma.github.io/Logging_0581/kartor_geotiff/A 12145-2024 georefererad karta.tif", "A 12145-2024")</f>
        <v/>
      </c>
      <c r="AA147">
        <f>HYPERLINK("https://klasma.github.io/Logging_0581/klagomål/A 12145-2024 FSC-klagomål.docx", "A 12145-2024")</f>
        <v/>
      </c>
      <c r="AB147">
        <f>HYPERLINK("https://klasma.github.io/Logging_0581/klagomålsmail/A 12145-2024 FSC-klagomål mail.docx", "A 12145-2024")</f>
        <v/>
      </c>
      <c r="AC147">
        <f>HYPERLINK("https://klasma.github.io/Logging_0581/tillsyn/A 12145-2024 tillsynsbegäran.docx", "A 12145-2024")</f>
        <v/>
      </c>
      <c r="AD147">
        <f>HYPERLINK("https://klasma.github.io/Logging_0581/tillsynsmail/A 12145-2024 tillsynsbegäran mail.docx", "A 12145-2024")</f>
        <v/>
      </c>
    </row>
    <row r="148" ht="15" customHeight="1">
      <c r="A148" t="inlineStr">
        <is>
          <t>A 2832-2026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46324</v>
      </c>
      <c r="F148" t="inlineStr">
        <is>
          <t>ÖSTERGÖTLANDS LÄN</t>
        </is>
      </c>
      <c r="G148" t="inlineStr">
        <is>
          <t>NORRKÖPING</t>
        </is>
      </c>
      <c r="I148" t="n">
        <v>5.5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2832-2026 artfynd.xlsx", "A 2832-2026")</f>
        <v/>
      </c>
      <c r="X148">
        <f>HYPERLINK("https://klasma.github.io/Logging_0581/kartor/A 2832-2026 karta.png", "A 2832-2026")</f>
        <v/>
      </c>
      <c r="Y148">
        <f>HYPERLINK("https://klasma.github.io/Logging_0581/kartor_geotiff/A 2832-2026 georefererad karta.tif", "A 2832-2026")</f>
        <v/>
      </c>
      <c r="AA148">
        <f>HYPERLINK("https://klasma.github.io/Logging_0581/klagomål/A 2832-2026 FSC-klagomål.docx", "A 2832-2026")</f>
        <v/>
      </c>
      <c r="AB148">
        <f>HYPERLINK("https://klasma.github.io/Logging_0581/klagomålsmail/A 2832-2026 FSC-klagomål mail.docx", "A 2832-2026")</f>
        <v/>
      </c>
      <c r="AC148">
        <f>HYPERLINK("https://klasma.github.io/Logging_0581/tillsyn/A 2832-2026 tillsynsbegäran.docx", "A 2832-2026")</f>
        <v/>
      </c>
      <c r="AD148">
        <f>HYPERLINK("https://klasma.github.io/Logging_0581/tillsynsmail/A 2832-2026 tillsynsbegäran mail.docx", "A 2832-2026")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46324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15870-2024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46324</v>
      </c>
      <c r="F150" t="inlineStr">
        <is>
          <t>ÖSTERGÖTLANDS LÄN</t>
        </is>
      </c>
      <c r="G150" t="inlineStr">
        <is>
          <t>NORRKÖPING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Mörk dunört</t>
        </is>
      </c>
      <c r="W150">
        <f>HYPERLINK("https://klasma.github.io/Logging_0581/artfynd/A 15870-2024 artfynd.xlsx", "A 15870-2024")</f>
        <v/>
      </c>
      <c r="X150">
        <f>HYPERLINK("https://klasma.github.io/Logging_0581/kartor/A 15870-2024 karta.png", "A 15870-2024")</f>
        <v/>
      </c>
      <c r="Y150">
        <f>HYPERLINK("https://klasma.github.io/Logging_0581/kartor_geotiff/A 15870-2024 georefererad karta.tif", "A 15870-2024")</f>
        <v/>
      </c>
      <c r="AA150">
        <f>HYPERLINK("https://klasma.github.io/Logging_0581/klagomål/A 15870-2024 FSC-klagomål.docx", "A 15870-2024")</f>
        <v/>
      </c>
      <c r="AB150">
        <f>HYPERLINK("https://klasma.github.io/Logging_0581/klagomålsmail/A 15870-2024 FSC-klagomål mail.docx", "A 15870-2024")</f>
        <v/>
      </c>
      <c r="AC150">
        <f>HYPERLINK("https://klasma.github.io/Logging_0581/tillsyn/A 15870-2024 tillsynsbegäran.docx", "A 15870-2024")</f>
        <v/>
      </c>
      <c r="AD150">
        <f>HYPERLINK("https://klasma.github.io/Logging_0581/tillsynsmail/A 15870-2024 tillsynsbegäran mail.docx", "A 15870-2024")</f>
        <v/>
      </c>
    </row>
    <row r="151" ht="15" customHeight="1">
      <c r="A151" t="inlineStr">
        <is>
          <t>A 7317-2025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46324</v>
      </c>
      <c r="F151" t="inlineStr">
        <is>
          <t>ÖSTERGÖTLANDS LÄN</t>
        </is>
      </c>
      <c r="G151" t="inlineStr">
        <is>
          <t>NORRKÖPING</t>
        </is>
      </c>
      <c r="I151" t="n">
        <v>1.4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Backklöver</t>
        </is>
      </c>
      <c r="W151">
        <f>HYPERLINK("https://klasma.github.io/Logging_0581/artfynd/A 7317-2025 artfynd.xlsx", "A 7317-2025")</f>
        <v/>
      </c>
      <c r="X151">
        <f>HYPERLINK("https://klasma.github.io/Logging_0581/kartor/A 7317-2025 karta.png", "A 7317-2025")</f>
        <v/>
      </c>
      <c r="Y151">
        <f>HYPERLINK("https://klasma.github.io/Logging_0581/kartor_geotiff/A 7317-2025 georefererad karta.tif", "A 7317-2025")</f>
        <v/>
      </c>
      <c r="AA151">
        <f>HYPERLINK("https://klasma.github.io/Logging_0581/klagomål/A 7317-2025 FSC-klagomål.docx", "A 7317-2025")</f>
        <v/>
      </c>
      <c r="AB151">
        <f>HYPERLINK("https://klasma.github.io/Logging_0581/klagomålsmail/A 7317-2025 FSC-klagomål mail.docx", "A 7317-2025")</f>
        <v/>
      </c>
      <c r="AC151">
        <f>HYPERLINK("https://klasma.github.io/Logging_0581/tillsyn/A 7317-2025 tillsynsbegäran.docx", "A 7317-2025")</f>
        <v/>
      </c>
      <c r="AD151">
        <f>HYPERLINK("https://klasma.github.io/Logging_0581/tillsynsmail/A 7317-2025 tillsynsbegäran mail.docx", "A 7317-2025")</f>
        <v/>
      </c>
    </row>
    <row r="152" ht="15" customHeight="1">
      <c r="A152" t="inlineStr">
        <is>
          <t>A 11714-2026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46324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2.9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Gulsparv</t>
        </is>
      </c>
      <c r="W152">
        <f>HYPERLINK("https://klasma.github.io/Logging_0581/artfynd/A 11714-2026 artfynd.xlsx", "A 11714-2026")</f>
        <v/>
      </c>
      <c r="X152">
        <f>HYPERLINK("https://klasma.github.io/Logging_0581/kartor/A 11714-2026 karta.png", "A 11714-2026")</f>
        <v/>
      </c>
      <c r="Y152">
        <f>HYPERLINK("https://klasma.github.io/Logging_0581/kartor_geotiff/A 11714-2026 georefererad karta.tif", "A 11714-2026")</f>
        <v/>
      </c>
      <c r="AA152">
        <f>HYPERLINK("https://klasma.github.io/Logging_0581/klagomål/A 11714-2026 FSC-klagomål.docx", "A 11714-2026")</f>
        <v/>
      </c>
      <c r="AB152">
        <f>HYPERLINK("https://klasma.github.io/Logging_0581/klagomålsmail/A 11714-2026 FSC-klagomål mail.docx", "A 11714-2026")</f>
        <v/>
      </c>
      <c r="AC152">
        <f>HYPERLINK("https://klasma.github.io/Logging_0581/tillsyn/A 11714-2026 tillsynsbegäran.docx", "A 11714-2026")</f>
        <v/>
      </c>
      <c r="AD152">
        <f>HYPERLINK("https://klasma.github.io/Logging_0581/tillsynsmail/A 11714-2026 tillsynsbegäran mail.docx", "A 11714-2026")</f>
        <v/>
      </c>
      <c r="AE152">
        <f>HYPERLINK("https://klasma.github.io/Logging_0581/fåglar/A 11714-2026 prioriterade fågelarter.docx", "A 11714-2026")</f>
        <v/>
      </c>
    </row>
    <row r="153" ht="15" customHeight="1">
      <c r="A153" t="inlineStr">
        <is>
          <t>A 29202-2026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46324</v>
      </c>
      <c r="F153" t="inlineStr">
        <is>
          <t>ÖSTERGÖTLANDS LÄN</t>
        </is>
      </c>
      <c r="G153" t="inlineStr">
        <is>
          <t>NORRKÖPING</t>
        </is>
      </c>
      <c r="I153" t="n">
        <v>2.5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Tibast</t>
        </is>
      </c>
      <c r="W153">
        <f>HYPERLINK("https://klasma.github.io/Logging_0581/artfynd/A 29202-2026 artfynd.xlsx", "A 29202-2026")</f>
        <v/>
      </c>
      <c r="X153">
        <f>HYPERLINK("https://klasma.github.io/Logging_0581/kartor/A 29202-2026 karta.png", "A 29202-2026")</f>
        <v/>
      </c>
      <c r="Y153">
        <f>HYPERLINK("https://klasma.github.io/Logging_0581/kartor_geotiff/A 29202-2026 georefererad karta.tif", "A 29202-2026")</f>
        <v/>
      </c>
      <c r="AA153">
        <f>HYPERLINK("https://klasma.github.io/Logging_0581/klagomål/A 29202-2026 FSC-klagomål.docx", "A 29202-2026")</f>
        <v/>
      </c>
      <c r="AB153">
        <f>HYPERLINK("https://klasma.github.io/Logging_0581/klagomålsmail/A 29202-2026 FSC-klagomål mail.docx", "A 29202-2026")</f>
        <v/>
      </c>
      <c r="AC153">
        <f>HYPERLINK("https://klasma.github.io/Logging_0581/tillsyn/A 29202-2026 tillsynsbegäran.docx", "A 29202-2026")</f>
        <v/>
      </c>
      <c r="AD153">
        <f>HYPERLINK("https://klasma.github.io/Logging_0581/tillsynsmail/A 29202-2026 tillsynsbegäran mail.docx", "A 29202-2026")</f>
        <v/>
      </c>
    </row>
    <row r="154" ht="15" customHeight="1">
      <c r="A154" t="inlineStr">
        <is>
          <t>A 58711-2023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46324</v>
      </c>
      <c r="F154" t="inlineStr">
        <is>
          <t>ÖSTERGÖTLANDS LÄN</t>
        </is>
      </c>
      <c r="G154" t="inlineStr">
        <is>
          <t>NORRKÖPING</t>
        </is>
      </c>
      <c r="I154" t="n">
        <v>4.3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Ängsskära</t>
        </is>
      </c>
      <c r="W154">
        <f>HYPERLINK("https://klasma.github.io/Logging_0581/artfynd/A 58711-2023 artfynd.xlsx", "A 58711-2023")</f>
        <v/>
      </c>
      <c r="X154">
        <f>HYPERLINK("https://klasma.github.io/Logging_0581/kartor/A 58711-2023 karta.png", "A 58711-2023")</f>
        <v/>
      </c>
      <c r="Y154">
        <f>HYPERLINK("https://klasma.github.io/Logging_0581/kartor_geotiff/A 58711-2023 georefererad karta.tif", "A 58711-2023")</f>
        <v/>
      </c>
      <c r="AA154">
        <f>HYPERLINK("https://klasma.github.io/Logging_0581/klagomål/A 58711-2023 FSC-klagomål.docx", "A 58711-2023")</f>
        <v/>
      </c>
      <c r="AB154">
        <f>HYPERLINK("https://klasma.github.io/Logging_0581/klagomålsmail/A 58711-2023 FSC-klagomål mail.docx", "A 58711-2023")</f>
        <v/>
      </c>
      <c r="AC154">
        <f>HYPERLINK("https://klasma.github.io/Logging_0581/tillsyn/A 58711-2023 tillsynsbegäran.docx", "A 58711-2023")</f>
        <v/>
      </c>
      <c r="AD154">
        <f>HYPERLINK("https://klasma.github.io/Logging_0581/tillsynsmail/A 58711-2023 tillsynsbegäran mail.docx", "A 58711-2023")</f>
        <v/>
      </c>
    </row>
    <row r="155" ht="15" customHeight="1">
      <c r="A155" t="inlineStr">
        <is>
          <t>A 41369-2023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46324</v>
      </c>
      <c r="F155" t="inlineStr">
        <is>
          <t>ÖSTERGÖTLANDS LÄN</t>
        </is>
      </c>
      <c r="G155" t="inlineStr">
        <is>
          <t>NORRKÖPING</t>
        </is>
      </c>
      <c r="I155" t="n">
        <v>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Tallticka</t>
        </is>
      </c>
      <c r="W155">
        <f>HYPERLINK("https://klasma.github.io/Logging_0581/artfynd/A 41369-2023 artfynd.xlsx", "A 41369-2023")</f>
        <v/>
      </c>
      <c r="X155">
        <f>HYPERLINK("https://klasma.github.io/Logging_0581/kartor/A 41369-2023 karta.png", "A 41369-2023")</f>
        <v/>
      </c>
      <c r="Y155">
        <f>HYPERLINK("https://klasma.github.io/Logging_0581/kartor_geotiff/A 41369-2023 georefererad karta.tif", "A 41369-2023")</f>
        <v/>
      </c>
      <c r="AA155">
        <f>HYPERLINK("https://klasma.github.io/Logging_0581/klagomål/A 41369-2023 FSC-klagomål.docx", "A 41369-2023")</f>
        <v/>
      </c>
      <c r="AB155">
        <f>HYPERLINK("https://klasma.github.io/Logging_0581/klagomålsmail/A 41369-2023 FSC-klagomål mail.docx", "A 41369-2023")</f>
        <v/>
      </c>
      <c r="AC155">
        <f>HYPERLINK("https://klasma.github.io/Logging_0581/tillsyn/A 41369-2023 tillsynsbegäran.docx", "A 41369-2023")</f>
        <v/>
      </c>
      <c r="AD155">
        <f>HYPERLINK("https://klasma.github.io/Logging_0581/tillsynsmail/A 41369-2023 tillsynsbegäran mail.docx", "A 41369-2023")</f>
        <v/>
      </c>
    </row>
    <row r="156" ht="15" customHeight="1">
      <c r="A156" t="inlineStr">
        <is>
          <t>A 11520-2025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46324</v>
      </c>
      <c r="F156" t="inlineStr">
        <is>
          <t>ÖSTERGÖTLANDS LÄN</t>
        </is>
      </c>
      <c r="G156" t="inlineStr">
        <is>
          <t>NORRKÖPING</t>
        </is>
      </c>
      <c r="I156" t="n">
        <v>1.7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Myskbock</t>
        </is>
      </c>
      <c r="W156">
        <f>HYPERLINK("https://klasma.github.io/Logging_0581/artfynd/A 11520-2025 artfynd.xlsx", "A 11520-2025")</f>
        <v/>
      </c>
      <c r="X156">
        <f>HYPERLINK("https://klasma.github.io/Logging_0581/kartor/A 11520-2025 karta.png", "A 11520-2025")</f>
        <v/>
      </c>
      <c r="Y156">
        <f>HYPERLINK("https://klasma.github.io/Logging_0581/kartor_geotiff/A 11520-2025 georefererad karta.tif", "A 11520-2025")</f>
        <v/>
      </c>
      <c r="AA156">
        <f>HYPERLINK("https://klasma.github.io/Logging_0581/klagomål/A 11520-2025 FSC-klagomål.docx", "A 11520-2025")</f>
        <v/>
      </c>
      <c r="AB156">
        <f>HYPERLINK("https://klasma.github.io/Logging_0581/klagomålsmail/A 11520-2025 FSC-klagomål mail.docx", "A 11520-2025")</f>
        <v/>
      </c>
      <c r="AC156">
        <f>HYPERLINK("https://klasma.github.io/Logging_0581/tillsyn/A 11520-2025 tillsynsbegäran.docx", "A 11520-2025")</f>
        <v/>
      </c>
      <c r="AD156">
        <f>HYPERLINK("https://klasma.github.io/Logging_0581/tillsynsmail/A 11520-2025 tillsynsbegäran mail.docx", "A 11520-2025")</f>
        <v/>
      </c>
    </row>
    <row r="157" ht="15" customHeight="1">
      <c r="A157" t="inlineStr">
        <is>
          <t>A 31231-2026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46324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4.2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HYPERLINK("https://klasma.github.io/Logging_0581/artfynd/A 31231-2026 artfynd.xlsx", "A 31231-2026")</f>
        <v/>
      </c>
      <c r="X157">
        <f>HYPERLINK("https://klasma.github.io/Logging_0581/kartor/A 31231-2026 karta.png", "A 31231-2026")</f>
        <v/>
      </c>
      <c r="Y157">
        <f>HYPERLINK("https://klasma.github.io/Logging_0581/kartor_geotiff/A 31231-2026 georefererad karta.tif", "A 31231-2026")</f>
        <v/>
      </c>
      <c r="AA157">
        <f>HYPERLINK("https://klasma.github.io/Logging_0581/klagomål/A 31231-2026 FSC-klagomål.docx", "A 31231-2026")</f>
        <v/>
      </c>
      <c r="AB157">
        <f>HYPERLINK("https://klasma.github.io/Logging_0581/klagomålsmail/A 31231-2026 FSC-klagomål mail.docx", "A 31231-2026")</f>
        <v/>
      </c>
      <c r="AC157">
        <f>HYPERLINK("https://klasma.github.io/Logging_0581/tillsyn/A 31231-2026 tillsynsbegäran.docx", "A 31231-2026")</f>
        <v/>
      </c>
      <c r="AD157">
        <f>HYPERLINK("https://klasma.github.io/Logging_0581/tillsynsmail/A 31231-2026 tillsynsbegäran mail.docx", "A 31231-2026")</f>
        <v/>
      </c>
    </row>
    <row r="158" ht="15" customHeight="1">
      <c r="A158" t="inlineStr">
        <is>
          <t>A 31254-2026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46218</v>
      </c>
      <c r="E158" s="1" t="n">
        <v>46324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Raggbock</t>
        </is>
      </c>
      <c r="W158">
        <f>HYPERLINK("https://klasma.github.io/Logging_0581/artfynd/A 31254-2026 artfynd.xlsx", "A 31254-2026")</f>
        <v/>
      </c>
      <c r="X158">
        <f>HYPERLINK("https://klasma.github.io/Logging_0581/kartor/A 31254-2026 karta.png", "A 31254-2026")</f>
        <v/>
      </c>
      <c r="Y158">
        <f>HYPERLINK("https://klasma.github.io/Logging_0581/kartor_geotiff/A 31254-2026 georefererad karta.tif", "A 31254-2026")</f>
        <v/>
      </c>
      <c r="AA158">
        <f>HYPERLINK("https://klasma.github.io/Logging_0581/klagomål/A 31254-2026 FSC-klagomål.docx", "A 31254-2026")</f>
        <v/>
      </c>
      <c r="AB158">
        <f>HYPERLINK("https://klasma.github.io/Logging_0581/klagomålsmail/A 31254-2026 FSC-klagomål mail.docx", "A 31254-2026")</f>
        <v/>
      </c>
      <c r="AC158">
        <f>HYPERLINK("https://klasma.github.io/Logging_0581/tillsyn/A 31254-2026 tillsynsbegäran.docx", "A 31254-2026")</f>
        <v/>
      </c>
      <c r="AD158">
        <f>HYPERLINK("https://klasma.github.io/Logging_0581/tillsynsmail/A 31254-2026 tillsynsbegäran mail.docx", "A 31254-2026")</f>
        <v/>
      </c>
    </row>
    <row r="159" ht="15" customHeight="1">
      <c r="A159" t="inlineStr">
        <is>
          <t>A 9941-2024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45363</v>
      </c>
      <c r="E159" s="1" t="n">
        <v>46324</v>
      </c>
      <c r="F159" t="inlineStr">
        <is>
          <t>ÖSTERGÖTLANDS LÄN</t>
        </is>
      </c>
      <c r="G159" t="inlineStr">
        <is>
          <t>NORRKÖPING</t>
        </is>
      </c>
      <c r="I159" t="n">
        <v>3.1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Purpurknipprot</t>
        </is>
      </c>
      <c r="W159">
        <f>HYPERLINK("https://klasma.github.io/Logging_0581/artfynd/A 9941-2024 artfynd.xlsx", "A 9941-2024")</f>
        <v/>
      </c>
      <c r="X159">
        <f>HYPERLINK("https://klasma.github.io/Logging_0581/kartor/A 9941-2024 karta.png", "A 9941-2024")</f>
        <v/>
      </c>
      <c r="Y159">
        <f>HYPERLINK("https://klasma.github.io/Logging_0581/kartor_geotiff/A 9941-2024 georefererad karta.tif", "A 9941-2024")</f>
        <v/>
      </c>
      <c r="AA159">
        <f>HYPERLINK("https://klasma.github.io/Logging_0581/klagomål/A 9941-2024 FSC-klagomål.docx", "A 9941-2024")</f>
        <v/>
      </c>
      <c r="AB159">
        <f>HYPERLINK("https://klasma.github.io/Logging_0581/klagomålsmail/A 9941-2024 FSC-klagomål mail.docx", "A 9941-2024")</f>
        <v/>
      </c>
      <c r="AC159">
        <f>HYPERLINK("https://klasma.github.io/Logging_0581/tillsyn/A 9941-2024 tillsynsbegäran.docx", "A 9941-2024")</f>
        <v/>
      </c>
      <c r="AD159">
        <f>HYPERLINK("https://klasma.github.io/Logging_0581/tillsynsmail/A 9941-2024 tillsynsbegäran mail.docx", "A 9941-2024")</f>
        <v/>
      </c>
    </row>
    <row r="160" ht="15" customHeight="1">
      <c r="A160" t="inlineStr">
        <is>
          <t>A 1077-2023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46324</v>
      </c>
      <c r="F160" t="inlineStr">
        <is>
          <t>ÖSTERGÖTLANDS LÄN</t>
        </is>
      </c>
      <c r="G160" t="inlineStr">
        <is>
          <t>NORRKÖPING</t>
        </is>
      </c>
      <c r="I160" t="n">
        <v>3.4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Äkta lopplummer</t>
        </is>
      </c>
      <c r="W160">
        <f>HYPERLINK("https://klasma.github.io/Logging_0581/artfynd/A 1077-2023 artfynd.xlsx", "A 1077-2023")</f>
        <v/>
      </c>
      <c r="X160">
        <f>HYPERLINK("https://klasma.github.io/Logging_0581/kartor/A 1077-2023 karta.png", "A 1077-2023")</f>
        <v/>
      </c>
      <c r="Y160">
        <f>HYPERLINK("https://klasma.github.io/Logging_0581/kartor_geotiff/A 1077-2023 georefererad karta.tif", "A 1077-2023")</f>
        <v/>
      </c>
      <c r="AA160">
        <f>HYPERLINK("https://klasma.github.io/Logging_0581/klagomål/A 1077-2023 FSC-klagomål.docx", "A 1077-2023")</f>
        <v/>
      </c>
      <c r="AB160">
        <f>HYPERLINK("https://klasma.github.io/Logging_0581/klagomålsmail/A 1077-2023 FSC-klagomål mail.docx", "A 1077-2023")</f>
        <v/>
      </c>
      <c r="AC160">
        <f>HYPERLINK("https://klasma.github.io/Logging_0581/tillsyn/A 1077-2023 tillsynsbegäran.docx", "A 1077-2023")</f>
        <v/>
      </c>
      <c r="AD160">
        <f>HYPERLINK("https://klasma.github.io/Logging_0581/tillsynsmail/A 1077-2023 tillsynsbegäran mail.docx", "A 1077-2023")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46324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46324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46324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32075-2026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46233</v>
      </c>
      <c r="E164" s="1" t="n">
        <v>46324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1.3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2</v>
      </c>
      <c r="U164" t="n">
        <v>2</v>
      </c>
      <c r="V164" s="2" t="inlineStr">
        <is>
          <t>Grönpyrola</t>
        </is>
      </c>
      <c r="W164">
        <f>HYPERLINK("https://klasma.github.io/Logging_0581/artfynd/A 32075-2026 artfynd.xlsx", "A 32075-2026")</f>
        <v/>
      </c>
      <c r="X164">
        <f>HYPERLINK("https://klasma.github.io/Logging_0581/kartor/A 32075-2026 karta.png", "A 32075-2026")</f>
        <v/>
      </c>
      <c r="Y164">
        <f>HYPERLINK("https://klasma.github.io/Logging_0581/kartor_geotiff/A 32075-2026 georefererad karta.tif", "A 32075-2026")</f>
        <v/>
      </c>
      <c r="AA164">
        <f>HYPERLINK("https://klasma.github.io/Logging_0581/klagomål/A 32075-2026 FSC-klagomål.docx", "A 32075-2026")</f>
        <v/>
      </c>
      <c r="AB164">
        <f>HYPERLINK("https://klasma.github.io/Logging_0581/klagomålsmail/A 32075-2026 FSC-klagomål mail.docx", "A 32075-2026")</f>
        <v/>
      </c>
      <c r="AC164">
        <f>HYPERLINK("https://klasma.github.io/Logging_0581/tillsyn/A 32075-2026 tillsynsbegäran.docx", "A 32075-2026")</f>
        <v/>
      </c>
      <c r="AD164">
        <f>HYPERLINK("https://klasma.github.io/Logging_0581/tillsynsmail/A 32075-2026 tillsynsbegäran mail.docx", "A 32075-2026")</f>
        <v/>
      </c>
    </row>
    <row r="165" ht="15" customHeight="1">
      <c r="A165" t="inlineStr">
        <is>
          <t>A 32070-2026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46233</v>
      </c>
      <c r="E165" s="1" t="n">
        <v>46324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Grönpyrola</t>
        </is>
      </c>
      <c r="W165">
        <f>HYPERLINK("https://klasma.github.io/Logging_0581/artfynd/A 32070-2026 artfynd.xlsx", "A 32070-2026")</f>
        <v/>
      </c>
      <c r="X165">
        <f>HYPERLINK("https://klasma.github.io/Logging_0581/kartor/A 32070-2026 karta.png", "A 32070-2026")</f>
        <v/>
      </c>
      <c r="Y165">
        <f>HYPERLINK("https://klasma.github.io/Logging_0581/kartor_geotiff/A 32070-2026 georefererad karta.tif", "A 32070-2026")</f>
        <v/>
      </c>
      <c r="AA165">
        <f>HYPERLINK("https://klasma.github.io/Logging_0581/klagomål/A 32070-2026 FSC-klagomål.docx", "A 32070-2026")</f>
        <v/>
      </c>
      <c r="AB165">
        <f>HYPERLINK("https://klasma.github.io/Logging_0581/klagomålsmail/A 32070-2026 FSC-klagomål mail.docx", "A 32070-2026")</f>
        <v/>
      </c>
      <c r="AC165">
        <f>HYPERLINK("https://klasma.github.io/Logging_0581/tillsyn/A 32070-2026 tillsynsbegäran.docx", "A 32070-2026")</f>
        <v/>
      </c>
      <c r="AD165">
        <f>HYPERLINK("https://klasma.github.io/Logging_0581/tillsynsmail/A 32070-2026 tillsynsbegäran mail.docx", "A 32070-2026")</f>
        <v/>
      </c>
    </row>
    <row r="166" ht="15" customHeight="1">
      <c r="A166" t="inlineStr">
        <is>
          <t>A 32815-2026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46324</v>
      </c>
      <c r="F166" t="inlineStr">
        <is>
          <t>ÖSTERGÖTLANDS LÄN</t>
        </is>
      </c>
      <c r="G166" t="inlineStr">
        <is>
          <t>NORRKÖPING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Ärtsångare</t>
        </is>
      </c>
      <c r="W166">
        <f>HYPERLINK("https://klasma.github.io/Logging_0581/artfynd/A 32815-2026 artfynd.xlsx", "A 32815-2026")</f>
        <v/>
      </c>
      <c r="X166">
        <f>HYPERLINK("https://klasma.github.io/Logging_0581/kartor/A 32815-2026 karta.png", "A 32815-2026")</f>
        <v/>
      </c>
      <c r="Y166">
        <f>HYPERLINK("https://klasma.github.io/Logging_0581/kartor_geotiff/A 32815-2026 georefererad karta.tif", "A 32815-2026")</f>
        <v/>
      </c>
      <c r="AA166">
        <f>HYPERLINK("https://klasma.github.io/Logging_0581/klagomål/A 32815-2026 FSC-klagomål.docx", "A 32815-2026")</f>
        <v/>
      </c>
      <c r="AB166">
        <f>HYPERLINK("https://klasma.github.io/Logging_0581/klagomålsmail/A 32815-2026 FSC-klagomål mail.docx", "A 32815-2026")</f>
        <v/>
      </c>
      <c r="AC166">
        <f>HYPERLINK("https://klasma.github.io/Logging_0581/tillsyn/A 32815-2026 tillsynsbegäran.docx", "A 32815-2026")</f>
        <v/>
      </c>
      <c r="AD166">
        <f>HYPERLINK("https://klasma.github.io/Logging_0581/tillsynsmail/A 32815-2026 tillsynsbegäran mail.docx", "A 32815-2026")</f>
        <v/>
      </c>
    </row>
    <row r="167" ht="15" customHeight="1">
      <c r="A167" t="inlineStr">
        <is>
          <t>A 27236-2023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45096</v>
      </c>
      <c r="E167" s="1" t="n">
        <v>46324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Motaggsvamp</t>
        </is>
      </c>
      <c r="W167">
        <f>HYPERLINK("https://klasma.github.io/Logging_0581/artfynd/A 27236-2023 artfynd.xlsx", "A 27236-2023")</f>
        <v/>
      </c>
      <c r="X167">
        <f>HYPERLINK("https://klasma.github.io/Logging_0581/kartor/A 27236-2023 karta.png", "A 27236-2023")</f>
        <v/>
      </c>
      <c r="Y167">
        <f>HYPERLINK("https://klasma.github.io/Logging_0581/kartor_geotiff/A 27236-2023 georefererad karta.tif", "A 27236-2023")</f>
        <v/>
      </c>
      <c r="AA167">
        <f>HYPERLINK("https://klasma.github.io/Logging_0581/klagomål/A 27236-2023 FSC-klagomål.docx", "A 27236-2023")</f>
        <v/>
      </c>
      <c r="AB167">
        <f>HYPERLINK("https://klasma.github.io/Logging_0581/klagomålsmail/A 27236-2023 FSC-klagomål mail.docx", "A 27236-2023")</f>
        <v/>
      </c>
      <c r="AC167">
        <f>HYPERLINK("https://klasma.github.io/Logging_0581/tillsyn/A 27236-2023 tillsynsbegäran.docx", "A 27236-2023")</f>
        <v/>
      </c>
      <c r="AD167">
        <f>HYPERLINK("https://klasma.github.io/Logging_0581/tillsynsmail/A 27236-2023 tillsynsbegäran mail.docx", "A 27236-2023")</f>
        <v/>
      </c>
    </row>
    <row r="168" ht="15" customHeight="1">
      <c r="A168" t="inlineStr">
        <is>
          <t>A 20170-2026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46324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Igelkott</t>
        </is>
      </c>
      <c r="W168">
        <f>HYPERLINK("https://klasma.github.io/Logging_0581/artfynd/A 20170-2026 artfynd.xlsx", "A 20170-2026")</f>
        <v/>
      </c>
      <c r="X168">
        <f>HYPERLINK("https://klasma.github.io/Logging_0581/kartor/A 20170-2026 karta.png", "A 20170-2026")</f>
        <v/>
      </c>
      <c r="Y168">
        <f>HYPERLINK("https://klasma.github.io/Logging_0581/kartor_geotiff/A 20170-2026 georefererad karta.tif", "A 20170-2026")</f>
        <v/>
      </c>
      <c r="AA168">
        <f>HYPERLINK("https://klasma.github.io/Logging_0581/klagomål/A 20170-2026 FSC-klagomål.docx", "A 20170-2026")</f>
        <v/>
      </c>
      <c r="AB168">
        <f>HYPERLINK("https://klasma.github.io/Logging_0581/klagomålsmail/A 20170-2026 FSC-klagomål mail.docx", "A 20170-2026")</f>
        <v/>
      </c>
      <c r="AC168">
        <f>HYPERLINK("https://klasma.github.io/Logging_0581/tillsyn/A 20170-2026 tillsynsbegäran.docx", "A 20170-2026")</f>
        <v/>
      </c>
      <c r="AD168">
        <f>HYPERLINK("https://klasma.github.io/Logging_0581/tillsynsmail/A 20170-2026 tillsynsbegäran mail.docx", "A 20170-2026")</f>
        <v/>
      </c>
    </row>
    <row r="169" ht="15" customHeight="1">
      <c r="A169" t="inlineStr">
        <is>
          <t>A 15124-2025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46324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3.8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Vedskivlav</t>
        </is>
      </c>
      <c r="W169">
        <f>HYPERLINK("https://klasma.github.io/Logging_0581/artfynd/A 15124-2025 artfynd.xlsx", "A 15124-2025")</f>
        <v/>
      </c>
      <c r="X169">
        <f>HYPERLINK("https://klasma.github.io/Logging_0581/kartor/A 15124-2025 karta.png", "A 15124-2025")</f>
        <v/>
      </c>
      <c r="Y169">
        <f>HYPERLINK("https://klasma.github.io/Logging_0581/kartor_geotiff/A 15124-2025 georefererad karta.tif", "A 15124-2025")</f>
        <v/>
      </c>
      <c r="AA169">
        <f>HYPERLINK("https://klasma.github.io/Logging_0581/klagomål/A 15124-2025 FSC-klagomål.docx", "A 15124-2025")</f>
        <v/>
      </c>
      <c r="AB169">
        <f>HYPERLINK("https://klasma.github.io/Logging_0581/klagomålsmail/A 15124-2025 FSC-klagomål mail.docx", "A 15124-2025")</f>
        <v/>
      </c>
      <c r="AC169">
        <f>HYPERLINK("https://klasma.github.io/Logging_0581/tillsyn/A 15124-2025 tillsynsbegäran.docx", "A 15124-2025")</f>
        <v/>
      </c>
      <c r="AD169">
        <f>HYPERLINK("https://klasma.github.io/Logging_0581/tillsynsmail/A 15124-2025 tillsynsbegäran mail.docx", "A 15124-2025")</f>
        <v/>
      </c>
    </row>
    <row r="170" ht="15" customHeight="1">
      <c r="A170" t="inlineStr">
        <is>
          <t>A 39427-2026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46288</v>
      </c>
      <c r="E170" s="1" t="n">
        <v>46324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9.800000000000001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Sångsvan</t>
        </is>
      </c>
      <c r="W170">
        <f>HYPERLINK("https://klasma.github.io/Logging_0581/artfynd/A 39427-2026 artfynd.xlsx", "A 39427-2026")</f>
        <v/>
      </c>
      <c r="X170">
        <f>HYPERLINK("https://klasma.github.io/Logging_0581/kartor/A 39427-2026 karta.png", "A 39427-2026")</f>
        <v/>
      </c>
      <c r="Y170">
        <f>HYPERLINK("https://klasma.github.io/Logging_0581/kartor_geotiff/A 39427-2026 georefererad karta.tif", "A 39427-2026")</f>
        <v/>
      </c>
      <c r="AA170">
        <f>HYPERLINK("https://klasma.github.io/Logging_0581/klagomål/A 39427-2026 FSC-klagomål.docx", "A 39427-2026")</f>
        <v/>
      </c>
      <c r="AB170">
        <f>HYPERLINK("https://klasma.github.io/Logging_0581/klagomålsmail/A 39427-2026 FSC-klagomål mail.docx", "A 39427-2026")</f>
        <v/>
      </c>
      <c r="AC170">
        <f>HYPERLINK("https://klasma.github.io/Logging_0581/tillsyn/A 39427-2026 tillsynsbegäran.docx", "A 39427-2026")</f>
        <v/>
      </c>
      <c r="AD170">
        <f>HYPERLINK("https://klasma.github.io/Logging_0581/tillsynsmail/A 39427-2026 tillsynsbegäran mail.docx", "A 39427-2026")</f>
        <v/>
      </c>
      <c r="AE170">
        <f>HYPERLINK("https://klasma.github.io/Logging_0581/fåglar/A 39427-2026 prioriterade fågelarter.docx", "A 39427-2026")</f>
        <v/>
      </c>
    </row>
    <row r="171" ht="15" customHeight="1">
      <c r="A171" t="inlineStr">
        <is>
          <t>A 46201-2025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46324</v>
      </c>
      <c r="F171" t="inlineStr">
        <is>
          <t>ÖSTERGÖTLANDS LÄN</t>
        </is>
      </c>
      <c r="G171" t="inlineStr">
        <is>
          <t>NORRKÖPING</t>
        </is>
      </c>
      <c r="I171" t="n">
        <v>1.5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Hasselticka</t>
        </is>
      </c>
      <c r="W171">
        <f>HYPERLINK("https://klasma.github.io/Logging_0581/artfynd/A 46201-2025 artfynd.xlsx", "A 46201-2025")</f>
        <v/>
      </c>
      <c r="X171">
        <f>HYPERLINK("https://klasma.github.io/Logging_0581/kartor/A 46201-2025 karta.png", "A 46201-2025")</f>
        <v/>
      </c>
      <c r="Y171">
        <f>HYPERLINK("https://klasma.github.io/Logging_0581/kartor_geotiff/A 46201-2025 georefererad karta.tif", "A 46201-2025")</f>
        <v/>
      </c>
      <c r="AA171">
        <f>HYPERLINK("https://klasma.github.io/Logging_0581/klagomål/A 46201-2025 FSC-klagomål.docx", "A 46201-2025")</f>
        <v/>
      </c>
      <c r="AB171">
        <f>HYPERLINK("https://klasma.github.io/Logging_0581/klagomålsmail/A 46201-2025 FSC-klagomål mail.docx", "A 46201-2025")</f>
        <v/>
      </c>
      <c r="AC171">
        <f>HYPERLINK("https://klasma.github.io/Logging_0581/tillsyn/A 46201-2025 tillsynsbegäran.docx", "A 46201-2025")</f>
        <v/>
      </c>
      <c r="AD171">
        <f>HYPERLINK("https://klasma.github.io/Logging_0581/tillsynsmail/A 46201-2025 tillsynsbegäran mail.docx", "A 46201-2025")</f>
        <v/>
      </c>
    </row>
    <row r="172" ht="15" customHeight="1">
      <c r="A172" t="inlineStr">
        <is>
          <t>A 15143-2025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46324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Vedskivlav</t>
        </is>
      </c>
      <c r="W172">
        <f>HYPERLINK("https://klasma.github.io/Logging_0581/artfynd/A 15143-2025 artfynd.xlsx", "A 15143-2025")</f>
        <v/>
      </c>
      <c r="X172">
        <f>HYPERLINK("https://klasma.github.io/Logging_0581/kartor/A 15143-2025 karta.png", "A 15143-2025")</f>
        <v/>
      </c>
      <c r="Y172">
        <f>HYPERLINK("https://klasma.github.io/Logging_0581/kartor_geotiff/A 15143-2025 georefererad karta.tif", "A 15143-2025")</f>
        <v/>
      </c>
      <c r="AA172">
        <f>HYPERLINK("https://klasma.github.io/Logging_0581/klagomål/A 15143-2025 FSC-klagomål.docx", "A 15143-2025")</f>
        <v/>
      </c>
      <c r="AB172">
        <f>HYPERLINK("https://klasma.github.io/Logging_0581/klagomålsmail/A 15143-2025 FSC-klagomål mail.docx", "A 15143-2025")</f>
        <v/>
      </c>
      <c r="AC172">
        <f>HYPERLINK("https://klasma.github.io/Logging_0581/tillsyn/A 15143-2025 tillsynsbegäran.docx", "A 15143-2025")</f>
        <v/>
      </c>
      <c r="AD172">
        <f>HYPERLINK("https://klasma.github.io/Logging_0581/tillsynsmail/A 15143-2025 tillsynsbegäran mail.docx", "A 15143-2025")</f>
        <v/>
      </c>
    </row>
    <row r="173" ht="15" customHeight="1">
      <c r="A173" t="inlineStr">
        <is>
          <t>A 2545-2023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46324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0.6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Hasselticka</t>
        </is>
      </c>
      <c r="W173">
        <f>HYPERLINK("https://klasma.github.io/Logging_0581/artfynd/A 2545-2023 artfynd.xlsx", "A 2545-2023")</f>
        <v/>
      </c>
      <c r="X173">
        <f>HYPERLINK("https://klasma.github.io/Logging_0581/kartor/A 2545-2023 karta.png", "A 2545-2023")</f>
        <v/>
      </c>
      <c r="Y173">
        <f>HYPERLINK("https://klasma.github.io/Logging_0581/kartor_geotiff/A 2545-2023 georefererad karta.tif", "A 2545-2023")</f>
        <v/>
      </c>
      <c r="AA173">
        <f>HYPERLINK("https://klasma.github.io/Logging_0581/klagomål/A 2545-2023 FSC-klagomål.docx", "A 2545-2023")</f>
        <v/>
      </c>
      <c r="AB173">
        <f>HYPERLINK("https://klasma.github.io/Logging_0581/klagomålsmail/A 2545-2023 FSC-klagomål mail.docx", "A 2545-2023")</f>
        <v/>
      </c>
      <c r="AC173">
        <f>HYPERLINK("https://klasma.github.io/Logging_0581/tillsyn/A 2545-2023 tillsynsbegäran.docx", "A 2545-2023")</f>
        <v/>
      </c>
      <c r="AD173">
        <f>HYPERLINK("https://klasma.github.io/Logging_0581/tillsynsmail/A 2545-2023 tillsynsbegäran mail.docx", "A 2545-2023")</f>
        <v/>
      </c>
    </row>
    <row r="174" ht="15" customHeight="1">
      <c r="A174" t="inlineStr">
        <is>
          <t>A 3247-2024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45317</v>
      </c>
      <c r="E174" s="1" t="n">
        <v>46324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Sparvuggla</t>
        </is>
      </c>
      <c r="W174">
        <f>HYPERLINK("https://klasma.github.io/Logging_0581/artfynd/A 3247-2024 artfynd.xlsx", "A 3247-2024")</f>
        <v/>
      </c>
      <c r="X174">
        <f>HYPERLINK("https://klasma.github.io/Logging_0581/kartor/A 3247-2024 karta.png", "A 3247-2024")</f>
        <v/>
      </c>
      <c r="Y174">
        <f>HYPERLINK("https://klasma.github.io/Logging_0581/kartor_geotiff/A 3247-2024 georefererad karta.tif", "A 3247-2024")</f>
        <v/>
      </c>
      <c r="AA174">
        <f>HYPERLINK("https://klasma.github.io/Logging_0581/klagomål/A 3247-2024 FSC-klagomål.docx", "A 3247-2024")</f>
        <v/>
      </c>
      <c r="AB174">
        <f>HYPERLINK("https://klasma.github.io/Logging_0581/klagomålsmail/A 3247-2024 FSC-klagomål mail.docx", "A 3247-2024")</f>
        <v/>
      </c>
      <c r="AC174">
        <f>HYPERLINK("https://klasma.github.io/Logging_0581/tillsyn/A 3247-2024 tillsynsbegäran.docx", "A 3247-2024")</f>
        <v/>
      </c>
      <c r="AD174">
        <f>HYPERLINK("https://klasma.github.io/Logging_0581/tillsynsmail/A 3247-2024 tillsynsbegäran mail.docx", "A 3247-2024")</f>
        <v/>
      </c>
      <c r="AE174">
        <f>HYPERLINK("https://klasma.github.io/Logging_0581/fåglar/A 3247-2024 prioriterade fågelarter.docx", "A 3247-2024")</f>
        <v/>
      </c>
    </row>
    <row r="175" ht="15" customHeight="1">
      <c r="A175" t="inlineStr">
        <is>
          <t>A 60899-2024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46324</v>
      </c>
      <c r="F175" t="inlineStr">
        <is>
          <t>ÖSTERGÖTLANDS LÄN</t>
        </is>
      </c>
      <c r="G175" t="inlineStr">
        <is>
          <t>NORRKÖPING</t>
        </is>
      </c>
      <c r="I175" t="n">
        <v>2.4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Grönpyrola</t>
        </is>
      </c>
      <c r="W175">
        <f>HYPERLINK("https://klasma.github.io/Logging_0581/artfynd/A 60899-2024 artfynd.xlsx", "A 60899-2024")</f>
        <v/>
      </c>
      <c r="X175">
        <f>HYPERLINK("https://klasma.github.io/Logging_0581/kartor/A 60899-2024 karta.png", "A 60899-2024")</f>
        <v/>
      </c>
      <c r="Y175">
        <f>HYPERLINK("https://klasma.github.io/Logging_0581/kartor_geotiff/A 60899-2024 georefererad karta.tif", "A 60899-2024")</f>
        <v/>
      </c>
      <c r="AA175">
        <f>HYPERLINK("https://klasma.github.io/Logging_0581/klagomål/A 60899-2024 FSC-klagomål.docx", "A 60899-2024")</f>
        <v/>
      </c>
      <c r="AB175">
        <f>HYPERLINK("https://klasma.github.io/Logging_0581/klagomålsmail/A 60899-2024 FSC-klagomål mail.docx", "A 60899-2024")</f>
        <v/>
      </c>
      <c r="AC175">
        <f>HYPERLINK("https://klasma.github.io/Logging_0581/tillsyn/A 60899-2024 tillsynsbegäran.docx", "A 60899-2024")</f>
        <v/>
      </c>
      <c r="AD175">
        <f>HYPERLINK("https://klasma.github.io/Logging_0581/tillsynsmail/A 60899-2024 tillsynsbegäran mail.docx", "A 60899-2024")</f>
        <v/>
      </c>
    </row>
    <row r="176" ht="15" customHeight="1">
      <c r="A176" t="inlineStr">
        <is>
          <t>A 25982-2023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46324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Allmännings- och besparingsskogar</t>
        </is>
      </c>
      <c r="I176" t="n">
        <v>1.8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Linmåra/småsnärjmåra</t>
        </is>
      </c>
      <c r="W176">
        <f>HYPERLINK("https://klasma.github.io/Logging_0581/artfynd/A 25982-2023 artfynd.xlsx", "A 25982-2023")</f>
        <v/>
      </c>
      <c r="X176">
        <f>HYPERLINK("https://klasma.github.io/Logging_0581/kartor/A 25982-2023 karta.png", "A 25982-2023")</f>
        <v/>
      </c>
      <c r="Y176">
        <f>HYPERLINK("https://klasma.github.io/Logging_0581/kartor_geotiff/A 25982-2023 georefererad karta.tif", "A 25982-2023")</f>
        <v/>
      </c>
      <c r="AA176">
        <f>HYPERLINK("https://klasma.github.io/Logging_0581/klagomål/A 25982-2023 FSC-klagomål.docx", "A 25982-2023")</f>
        <v/>
      </c>
      <c r="AB176">
        <f>HYPERLINK("https://klasma.github.io/Logging_0581/klagomålsmail/A 25982-2023 FSC-klagomål mail.docx", "A 25982-2023")</f>
        <v/>
      </c>
      <c r="AC176">
        <f>HYPERLINK("https://klasma.github.io/Logging_0581/tillsyn/A 25982-2023 tillsynsbegäran.docx", "A 25982-2023")</f>
        <v/>
      </c>
      <c r="AD176">
        <f>HYPERLINK("https://klasma.github.io/Logging_0581/tillsynsmail/A 25982-2023 tillsynsbegäran mail.docx", "A 25982-2023")</f>
        <v/>
      </c>
    </row>
    <row r="177" ht="15" customHeight="1">
      <c r="A177" t="inlineStr">
        <is>
          <t>A 58318-2023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46324</v>
      </c>
      <c r="F177" t="inlineStr">
        <is>
          <t>ÖSTERGÖTLANDS LÄN</t>
        </is>
      </c>
      <c r="G177" t="inlineStr">
        <is>
          <t>NORRKÖPING</t>
        </is>
      </c>
      <c r="I177" t="n">
        <v>4.2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Havsörn</t>
        </is>
      </c>
      <c r="W177">
        <f>HYPERLINK("https://klasma.github.io/Logging_0581/artfynd/A 58318-2023 artfynd.xlsx", "A 58318-2023")</f>
        <v/>
      </c>
      <c r="X177">
        <f>HYPERLINK("https://klasma.github.io/Logging_0581/kartor/A 58318-2023 karta.png", "A 58318-2023")</f>
        <v/>
      </c>
      <c r="Y177">
        <f>HYPERLINK("https://klasma.github.io/Logging_0581/kartor_geotiff/A 58318-2023 georefererad karta.tif", "A 58318-2023")</f>
        <v/>
      </c>
      <c r="AA177">
        <f>HYPERLINK("https://klasma.github.io/Logging_0581/klagomål/A 58318-2023 FSC-klagomål.docx", "A 58318-2023")</f>
        <v/>
      </c>
      <c r="AB177">
        <f>HYPERLINK("https://klasma.github.io/Logging_0581/klagomålsmail/A 58318-2023 FSC-klagomål mail.docx", "A 58318-2023")</f>
        <v/>
      </c>
      <c r="AC177">
        <f>HYPERLINK("https://klasma.github.io/Logging_0581/tillsyn/A 58318-2023 tillsynsbegäran.docx", "A 58318-2023")</f>
        <v/>
      </c>
      <c r="AD177">
        <f>HYPERLINK("https://klasma.github.io/Logging_0581/tillsynsmail/A 58318-2023 tillsynsbegäran mail.docx", "A 58318-2023")</f>
        <v/>
      </c>
      <c r="AE177">
        <f>HYPERLINK("https://klasma.github.io/Logging_0581/fåglar/A 58318-2023 prioriterade fågelarter.docx", "A 58318-2023")</f>
        <v/>
      </c>
    </row>
    <row r="178" ht="15" customHeight="1">
      <c r="A178" t="inlineStr">
        <is>
          <t>S 703-2022</t>
        </is>
      </c>
      <c r="B178" t="inlineStr">
        <is>
          <t>samrådsanmälan</t>
        </is>
      </c>
      <c r="C178" t="inlineStr">
        <is>
          <t>Skogsbilväg</t>
        </is>
      </c>
      <c r="D178" s="1" t="n">
        <v>44596</v>
      </c>
      <c r="E178" s="1" t="n">
        <v>46324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Talltita</t>
        </is>
      </c>
      <c r="W178">
        <f>HYPERLINK("https://klasma.github.io/Logging_0581/artfynd/S 703-2022 artfynd.xlsx", "S 703-2022")</f>
        <v/>
      </c>
      <c r="X178">
        <f>HYPERLINK("https://klasma.github.io/Logging_0581/kartor/S 703-2022 karta.png", "S 703-2022")</f>
        <v/>
      </c>
      <c r="Y178">
        <f>HYPERLINK("https://klasma.github.io/Logging_0581/kartor_geotiff/S 703-2022 georefererad karta.tif", "S 703-2022")</f>
        <v/>
      </c>
      <c r="AA178">
        <f>HYPERLINK("https://klasma.github.io/Logging_0581/klagomål/S 703-2022 FSC-klagomål.docx", "S 703-2022")</f>
        <v/>
      </c>
      <c r="AB178">
        <f>HYPERLINK("https://klasma.github.io/Logging_0581/klagomålsmail/S 703-2022 FSC-klagomål mail.docx", "S 703-2022")</f>
        <v/>
      </c>
      <c r="AC178">
        <f>HYPERLINK("https://klasma.github.io/Logging_0581/tillsyn/S 703-2022 tillsynsbegäran.docx", "S 703-2022")</f>
        <v/>
      </c>
      <c r="AD178">
        <f>HYPERLINK("https://klasma.github.io/Logging_0581/tillsynsmail/S 703-2022 tillsynsbegäran mail.docx", "S 703-2022")</f>
        <v/>
      </c>
      <c r="AE178">
        <f>HYPERLINK("https://klasma.github.io/Logging_0581/fåglar/S 703-2022 prioriterade fågelarter.docx", "S 703-2022")</f>
        <v/>
      </c>
    </row>
    <row r="179" ht="15" customHeight="1">
      <c r="A179" t="inlineStr">
        <is>
          <t>S 9752-2021</t>
        </is>
      </c>
      <c r="B179" t="inlineStr">
        <is>
          <t>samrådsanmälan</t>
        </is>
      </c>
      <c r="C179" t="inlineStr">
        <is>
          <t>Åtgärd i nyckelbiotop</t>
        </is>
      </c>
      <c r="D179" s="1" t="n">
        <v>44529</v>
      </c>
      <c r="E179" s="1" t="n">
        <v>46324</v>
      </c>
      <c r="F179" t="inlineStr">
        <is>
          <t>ÖSTERGÖTLANDS LÄN</t>
        </is>
      </c>
      <c r="G179" t="inlineStr">
        <is>
          <t>NORRKÖPING</t>
        </is>
      </c>
      <c r="I179" t="n">
        <v>1.6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Fällmossa</t>
        </is>
      </c>
      <c r="W179">
        <f>HYPERLINK("https://klasma.github.io/Logging_0581/artfynd/S 9752-2021 artfynd.xlsx", "S 9752-2021")</f>
        <v/>
      </c>
      <c r="X179">
        <f>HYPERLINK("https://klasma.github.io/Logging_0581/kartor/S 9752-2021 karta.png", "S 9752-2021")</f>
        <v/>
      </c>
      <c r="Y179">
        <f>HYPERLINK("https://klasma.github.io/Logging_0581/kartor_geotiff/S 9752-2021 georefererad karta.tif", "S 9752-2021")</f>
        <v/>
      </c>
      <c r="AA179">
        <f>HYPERLINK("https://klasma.github.io/Logging_0581/klagomål/S 9752-2021 FSC-klagomål.docx", "S 9752-2021")</f>
        <v/>
      </c>
      <c r="AB179">
        <f>HYPERLINK("https://klasma.github.io/Logging_0581/klagomålsmail/S 9752-2021 FSC-klagomål mail.docx", "S 9752-2021")</f>
        <v/>
      </c>
      <c r="AC179">
        <f>HYPERLINK("https://klasma.github.io/Logging_0581/tillsyn/S 9752-2021 tillsynsbegäran.docx", "S 9752-2021")</f>
        <v/>
      </c>
      <c r="AD179">
        <f>HYPERLINK("https://klasma.github.io/Logging_0581/tillsynsmail/S 9752-2021 tillsynsbegäran mail.docx", "S 9752-2021")</f>
        <v/>
      </c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46324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46324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46324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46324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46324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46324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46324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46324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46324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46324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46324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46324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46324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46324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46324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46324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46324</v>
      </c>
      <c r="F196" t="inlineStr">
        <is>
          <t>ÖSTERGÖTLANDS LÄN</t>
        </is>
      </c>
      <c r="G196" t="inlineStr">
        <is>
          <t>NORRKÖPING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46324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46324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46324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Allmännings- och besparingsskogar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46324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44686</v>
      </c>
      <c r="E201" s="1" t="n">
        <v>46324</v>
      </c>
      <c r="F201" t="inlineStr">
        <is>
          <t>ÖSTERGÖTLANDS LÄN</t>
        </is>
      </c>
      <c r="G201" t="inlineStr">
        <is>
          <t>NORRKÖPING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46324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46324</v>
      </c>
      <c r="F203" t="inlineStr">
        <is>
          <t>ÖSTERGÖTLANDS LÄN</t>
        </is>
      </c>
      <c r="G203" t="inlineStr">
        <is>
          <t>NORRKÖPING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46324</v>
      </c>
      <c r="F204" t="inlineStr">
        <is>
          <t>ÖSTERGÖTLANDS LÄN</t>
        </is>
      </c>
      <c r="G204" t="inlineStr">
        <is>
          <t>NORRKÖPING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46324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46324</v>
      </c>
      <c r="F206" t="inlineStr">
        <is>
          <t>ÖSTERGÖTLANDS LÄN</t>
        </is>
      </c>
      <c r="G206" t="inlineStr">
        <is>
          <t>NORRKÖPING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46324</v>
      </c>
      <c r="F207" t="inlineStr">
        <is>
          <t>ÖSTERGÖTLANDS LÄN</t>
        </is>
      </c>
      <c r="G207" t="inlineStr">
        <is>
          <t>NORRKÖPING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44730</v>
      </c>
      <c r="E208" s="1" t="n">
        <v>46324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Allmännings- och besparingsskogar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44578</v>
      </c>
      <c r="E209" s="1" t="n">
        <v>46324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BillerudKorsnäs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46324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46324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46324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44907</v>
      </c>
      <c r="E213" s="1" t="n">
        <v>46324</v>
      </c>
      <c r="F213" t="inlineStr">
        <is>
          <t>ÖSTERGÖTLANDS LÄN</t>
        </is>
      </c>
      <c r="G213" t="inlineStr">
        <is>
          <t>NORRKÖPING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45117</v>
      </c>
      <c r="E214" s="1" t="n">
        <v>46324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45121</v>
      </c>
      <c r="E215" s="1" t="n">
        <v>46324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45733</v>
      </c>
      <c r="E216" s="1" t="n">
        <v>46324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44869</v>
      </c>
      <c r="E217" s="1" t="n">
        <v>46324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44726</v>
      </c>
      <c r="E218" s="1" t="n">
        <v>46324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46324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46324</v>
      </c>
      <c r="F220" t="inlineStr">
        <is>
          <t>ÖSTERGÖTLANDS LÄN</t>
        </is>
      </c>
      <c r="G220" t="inlineStr">
        <is>
          <t>NORRKÖPING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44767</v>
      </c>
      <c r="E221" s="1" t="n">
        <v>46324</v>
      </c>
      <c r="F221" t="inlineStr">
        <is>
          <t>ÖSTERGÖTLANDS LÄN</t>
        </is>
      </c>
      <c r="G221" t="inlineStr">
        <is>
          <t>NORRKÖPING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46324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46324</v>
      </c>
      <c r="F223" t="inlineStr">
        <is>
          <t>ÖSTERGÖTLANDS LÄN</t>
        </is>
      </c>
      <c r="G223" t="inlineStr">
        <is>
          <t>NORRKÖPING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47477-2022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44853</v>
      </c>
      <c r="E224" s="1" t="n">
        <v>46324</v>
      </c>
      <c r="F224" t="inlineStr">
        <is>
          <t>ÖSTERGÖTLANDS LÄN</t>
        </is>
      </c>
      <c r="G224" t="inlineStr">
        <is>
          <t>NORRKÖPING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44630</v>
      </c>
      <c r="E225" s="1" t="n">
        <v>46324</v>
      </c>
      <c r="F225" t="inlineStr">
        <is>
          <t>ÖSTERGÖTLANDS LÄN</t>
        </is>
      </c>
      <c r="G225" t="inlineStr">
        <is>
          <t>NORRKÖPING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46324</v>
      </c>
      <c r="F226" t="inlineStr">
        <is>
          <t>ÖSTERGÖTLANDS LÄN</t>
        </is>
      </c>
      <c r="G226" t="inlineStr">
        <is>
          <t>NORRKÖPING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45478</v>
      </c>
      <c r="E227" s="1" t="n">
        <v>46324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46324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46324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46324</v>
      </c>
      <c r="F230" t="inlineStr">
        <is>
          <t>ÖSTERGÖTLANDS LÄN</t>
        </is>
      </c>
      <c r="G230" t="inlineStr">
        <is>
          <t>NORRKÖPING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46324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44651</v>
      </c>
      <c r="E232" s="1" t="n">
        <v>46324</v>
      </c>
      <c r="F232" t="inlineStr">
        <is>
          <t>ÖSTERGÖTLANDS LÄN</t>
        </is>
      </c>
      <c r="G232" t="inlineStr">
        <is>
          <t>NORRKÖPING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46324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45090</v>
      </c>
      <c r="E234" s="1" t="n">
        <v>46324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46324</v>
      </c>
      <c r="F235" t="inlineStr">
        <is>
          <t>ÖSTERGÖTLANDS LÄN</t>
        </is>
      </c>
      <c r="G235" t="inlineStr">
        <is>
          <t>NORRKÖPING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46324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46324</v>
      </c>
      <c r="F237" t="inlineStr">
        <is>
          <t>ÖSTERGÖTLANDS LÄN</t>
        </is>
      </c>
      <c r="G237" t="inlineStr">
        <is>
          <t>NORRKÖPING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46324</v>
      </c>
      <c r="F238" t="inlineStr">
        <is>
          <t>ÖSTERGÖTLANDS LÄN</t>
        </is>
      </c>
      <c r="G238" t="inlineStr">
        <is>
          <t>NORRKÖPING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46324</v>
      </c>
      <c r="F239" t="inlineStr">
        <is>
          <t>ÖSTERGÖTLANDS LÄN</t>
        </is>
      </c>
      <c r="G239" t="inlineStr">
        <is>
          <t>NORRKÖPING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45205</v>
      </c>
      <c r="E240" s="1" t="n">
        <v>46324</v>
      </c>
      <c r="F240" t="inlineStr">
        <is>
          <t>ÖSTERGÖTLANDS LÄN</t>
        </is>
      </c>
      <c r="G240" t="inlineStr">
        <is>
          <t>NORRKÖPING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46324</v>
      </c>
      <c r="F241" t="inlineStr">
        <is>
          <t>ÖSTERGÖTLANDS LÄN</t>
        </is>
      </c>
      <c r="G241" t="inlineStr">
        <is>
          <t>NORRKÖPING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46324</v>
      </c>
      <c r="F242" t="inlineStr">
        <is>
          <t>ÖSTERGÖTLANDS LÄN</t>
        </is>
      </c>
      <c r="G242" t="inlineStr">
        <is>
          <t>NORRKÖPING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46324</v>
      </c>
      <c r="F243" t="inlineStr">
        <is>
          <t>ÖSTERGÖTLANDS LÄN</t>
        </is>
      </c>
      <c r="G243" t="inlineStr">
        <is>
          <t>NORRKÖPING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46324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46324</v>
      </c>
      <c r="F245" t="inlineStr">
        <is>
          <t>ÖSTERGÖTLANDS LÄN</t>
        </is>
      </c>
      <c r="G245" t="inlineStr">
        <is>
          <t>NORRKÖPING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26388-2023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45092</v>
      </c>
      <c r="E246" s="1" t="n">
        <v>46324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46324</v>
      </c>
      <c r="F247" t="inlineStr">
        <is>
          <t>ÖSTERGÖTLANDS LÄN</t>
        </is>
      </c>
      <c r="G247" t="inlineStr">
        <is>
          <t>NORRKÖPING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46324</v>
      </c>
      <c r="F248" t="inlineStr">
        <is>
          <t>ÖSTERGÖTLANDS LÄN</t>
        </is>
      </c>
      <c r="G248" t="inlineStr">
        <is>
          <t>NORRKÖPING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45399</v>
      </c>
      <c r="E249" s="1" t="n">
        <v>46324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46324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46324</v>
      </c>
      <c r="F251" t="inlineStr">
        <is>
          <t>ÖSTERGÖTLANDS LÄN</t>
        </is>
      </c>
      <c r="G251" t="inlineStr">
        <is>
          <t>NORRKÖPING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46324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46324</v>
      </c>
      <c r="F253" t="inlineStr">
        <is>
          <t>ÖSTERGÖTLANDS LÄN</t>
        </is>
      </c>
      <c r="G253" t="inlineStr">
        <is>
          <t>NORRKÖPING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46324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Allmännings- och besparingsskogar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46324</v>
      </c>
      <c r="F255" t="inlineStr">
        <is>
          <t>ÖSTERGÖTLANDS LÄN</t>
        </is>
      </c>
      <c r="G255" t="inlineStr">
        <is>
          <t>NORRKÖPING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45722</v>
      </c>
      <c r="E256" s="1" t="n">
        <v>46324</v>
      </c>
      <c r="F256" t="inlineStr">
        <is>
          <t>ÖSTERGÖTLANDS LÄN</t>
        </is>
      </c>
      <c r="G256" t="inlineStr">
        <is>
          <t>NORRKÖPING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45121</v>
      </c>
      <c r="E257" s="1" t="n">
        <v>46324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44826</v>
      </c>
      <c r="E258" s="1" t="n">
        <v>46324</v>
      </c>
      <c r="F258" t="inlineStr">
        <is>
          <t>ÖSTERGÖTLANDS LÄN</t>
        </is>
      </c>
      <c r="G258" t="inlineStr">
        <is>
          <t>NORRKÖPING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46324</v>
      </c>
      <c r="F259" t="inlineStr">
        <is>
          <t>ÖSTERGÖTLANDS LÄN</t>
        </is>
      </c>
      <c r="G259" t="inlineStr">
        <is>
          <t>NORRKÖPING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45699</v>
      </c>
      <c r="E260" s="1" t="n">
        <v>46324</v>
      </c>
      <c r="F260" t="inlineStr">
        <is>
          <t>ÖSTERGÖTLANDS LÄN</t>
        </is>
      </c>
      <c r="G260" t="inlineStr">
        <is>
          <t>NORRKÖPING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46324</v>
      </c>
      <c r="F261" t="inlineStr">
        <is>
          <t>ÖSTERGÖTLANDS LÄN</t>
        </is>
      </c>
      <c r="G261" t="inlineStr">
        <is>
          <t>NORRKÖPING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45762</v>
      </c>
      <c r="E262" s="1" t="n">
        <v>46324</v>
      </c>
      <c r="F262" t="inlineStr">
        <is>
          <t>ÖSTERGÖTLANDS LÄN</t>
        </is>
      </c>
      <c r="G262" t="inlineStr">
        <is>
          <t>NORRKÖPING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44910</v>
      </c>
      <c r="E263" s="1" t="n">
        <v>46324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44928</v>
      </c>
      <c r="E264" s="1" t="n">
        <v>46324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59221-2024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45637</v>
      </c>
      <c r="E265" s="1" t="n">
        <v>46324</v>
      </c>
      <c r="F265" t="inlineStr">
        <is>
          <t>ÖSTERGÖTLANDS LÄN</t>
        </is>
      </c>
      <c r="G265" t="inlineStr">
        <is>
          <t>NORRKÖPING</t>
        </is>
      </c>
      <c r="I265" t="n">
        <v>24.7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45117</v>
      </c>
      <c r="E266" s="1" t="n">
        <v>46324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46324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Kommuner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46324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26390-2024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45469</v>
      </c>
      <c r="E269" s="1" t="n">
        <v>46324</v>
      </c>
      <c r="F269" t="inlineStr">
        <is>
          <t>ÖSTERGÖTLANDS LÄN</t>
        </is>
      </c>
      <c r="G269" t="inlineStr">
        <is>
          <t>NORRKÖPING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57979-2022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44900</v>
      </c>
      <c r="E270" s="1" t="n">
        <v>46324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46324</v>
      </c>
      <c r="F271" t="inlineStr">
        <is>
          <t>ÖSTERGÖTLANDS LÄN</t>
        </is>
      </c>
      <c r="G271" t="inlineStr">
        <is>
          <t>NORRKÖPING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45678</v>
      </c>
      <c r="E272" s="1" t="n">
        <v>46324</v>
      </c>
      <c r="F272" t="inlineStr">
        <is>
          <t>ÖSTERGÖTLANDS LÄN</t>
        </is>
      </c>
      <c r="G272" t="inlineStr">
        <is>
          <t>NORRKÖPING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14901-2023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45014</v>
      </c>
      <c r="E273" s="1" t="n">
        <v>46324</v>
      </c>
      <c r="F273" t="inlineStr">
        <is>
          <t>ÖSTERGÖTLANDS LÄN</t>
        </is>
      </c>
      <c r="G273" t="inlineStr">
        <is>
          <t>NORRKÖPING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46324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10834-2024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45369</v>
      </c>
      <c r="E275" s="1" t="n">
        <v>46324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46324</v>
      </c>
      <c r="F276" t="inlineStr">
        <is>
          <t>ÖSTERGÖTLANDS LÄN</t>
        </is>
      </c>
      <c r="G276" t="inlineStr">
        <is>
          <t>NORRKÖPING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45049</v>
      </c>
      <c r="E277" s="1" t="n">
        <v>46324</v>
      </c>
      <c r="F277" t="inlineStr">
        <is>
          <t>ÖSTERGÖTLANDS LÄN</t>
        </is>
      </c>
      <c r="G277" t="inlineStr">
        <is>
          <t>NORRKÖPING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45266</v>
      </c>
      <c r="E278" s="1" t="n">
        <v>46324</v>
      </c>
      <c r="F278" t="inlineStr">
        <is>
          <t>ÖSTERGÖTLANDS LÄN</t>
        </is>
      </c>
      <c r="G278" t="inlineStr">
        <is>
          <t>NORRKÖPING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45118</v>
      </c>
      <c r="E279" s="1" t="n">
        <v>46324</v>
      </c>
      <c r="F279" t="inlineStr">
        <is>
          <t>ÖSTERGÖTLANDS LÄN</t>
        </is>
      </c>
      <c r="G279" t="inlineStr">
        <is>
          <t>NORRKÖPING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55063-2023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45237</v>
      </c>
      <c r="E280" s="1" t="n">
        <v>46324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Kyrkan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46324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46324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46324</v>
      </c>
      <c r="F283" t="inlineStr">
        <is>
          <t>ÖSTERGÖTLANDS LÄN</t>
        </is>
      </c>
      <c r="G283" t="inlineStr">
        <is>
          <t>NORRKÖPING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45086</v>
      </c>
      <c r="E284" s="1" t="n">
        <v>46324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Allmännings- och besparingsskogar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45888</v>
      </c>
      <c r="E285" s="1" t="n">
        <v>46324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43322-2022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44834</v>
      </c>
      <c r="E286" s="1" t="n">
        <v>46324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46324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64898-2021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44512</v>
      </c>
      <c r="E288" s="1" t="n">
        <v>46324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44596</v>
      </c>
      <c r="E289" s="1" t="n">
        <v>46324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Allmännings- och besparingsskogar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44783</v>
      </c>
      <c r="E290" s="1" t="n">
        <v>46324</v>
      </c>
      <c r="F290" t="inlineStr">
        <is>
          <t>ÖSTERGÖTLANDS LÄN</t>
        </is>
      </c>
      <c r="G290" t="inlineStr">
        <is>
          <t>NORRKÖPING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46324</v>
      </c>
      <c r="F291" t="inlineStr">
        <is>
          <t>ÖSTERGÖTLANDS LÄN</t>
        </is>
      </c>
      <c r="G291" t="inlineStr">
        <is>
          <t>NORRKÖPING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46324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28734-2025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45820</v>
      </c>
      <c r="E293" s="1" t="n">
        <v>46324</v>
      </c>
      <c r="F293" t="inlineStr">
        <is>
          <t>ÖSTERGÖTLANDS LÄN</t>
        </is>
      </c>
      <c r="G293" t="inlineStr">
        <is>
          <t>NORRKÖPING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46324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46324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46324</v>
      </c>
      <c r="F296" t="inlineStr">
        <is>
          <t>ÖSTERGÖTLANDS LÄN</t>
        </is>
      </c>
      <c r="G296" t="inlineStr">
        <is>
          <t>NORRKÖPING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45894</v>
      </c>
      <c r="E297" s="1" t="n">
        <v>46324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46324</v>
      </c>
      <c r="F298" t="inlineStr">
        <is>
          <t>ÖSTERGÖTLANDS LÄN</t>
        </is>
      </c>
      <c r="G298" t="inlineStr">
        <is>
          <t>NORRKÖPING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46324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45229</v>
      </c>
      <c r="E300" s="1" t="n">
        <v>46324</v>
      </c>
      <c r="F300" t="inlineStr">
        <is>
          <t>ÖSTERGÖTLANDS LÄN</t>
        </is>
      </c>
      <c r="G300" t="inlineStr">
        <is>
          <t>NORRKÖPING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46324</v>
      </c>
      <c r="F301" t="inlineStr">
        <is>
          <t>ÖSTERGÖTLANDS LÄN</t>
        </is>
      </c>
      <c r="G301" t="inlineStr">
        <is>
          <t>NORRKÖPING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45030</v>
      </c>
      <c r="E302" s="1" t="n">
        <v>46324</v>
      </c>
      <c r="F302" t="inlineStr">
        <is>
          <t>ÖSTERGÖTLANDS LÄN</t>
        </is>
      </c>
      <c r="G302" t="inlineStr">
        <is>
          <t>NORRKÖPING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16708-2023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45030</v>
      </c>
      <c r="E303" s="1" t="n">
        <v>46324</v>
      </c>
      <c r="F303" t="inlineStr">
        <is>
          <t>ÖSTERGÖTLANDS LÄN</t>
        </is>
      </c>
      <c r="G303" t="inlineStr">
        <is>
          <t>NORRKÖPING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44197-2023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46324</v>
      </c>
      <c r="F304" t="inlineStr">
        <is>
          <t>ÖSTERGÖTLANDS LÄN</t>
        </is>
      </c>
      <c r="G304" t="inlineStr">
        <is>
          <t>NORRKÖPING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46324</v>
      </c>
      <c r="F305" t="inlineStr">
        <is>
          <t>ÖSTERGÖTLANDS LÄN</t>
        </is>
      </c>
      <c r="G305" t="inlineStr">
        <is>
          <t>NORRKÖPING</t>
        </is>
      </c>
      <c r="I305" t="n">
        <v>12.5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45550</v>
      </c>
      <c r="E306" s="1" t="n">
        <v>46324</v>
      </c>
      <c r="F306" t="inlineStr">
        <is>
          <t>ÖSTERGÖTLANDS LÄN</t>
        </is>
      </c>
      <c r="G306" t="inlineStr">
        <is>
          <t>NORRKÖPING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46324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23462-2023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46324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46324</v>
      </c>
      <c r="F309" t="inlineStr">
        <is>
          <t>ÖSTERGÖTLANDS LÄN</t>
        </is>
      </c>
      <c r="G309" t="inlineStr">
        <is>
          <t>NORRKÖPING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45386</v>
      </c>
      <c r="E310" s="1" t="n">
        <v>46324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45903</v>
      </c>
      <c r="E311" s="1" t="n">
        <v>46324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46324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31564-2025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46324</v>
      </c>
      <c r="F313" t="inlineStr">
        <is>
          <t>ÖSTERGÖTLANDS LÄN</t>
        </is>
      </c>
      <c r="G313" t="inlineStr">
        <is>
          <t>NORRKÖPING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45053</v>
      </c>
      <c r="E314" s="1" t="n">
        <v>46324</v>
      </c>
      <c r="F314" t="inlineStr">
        <is>
          <t>ÖSTERGÖTLANDS LÄN</t>
        </is>
      </c>
      <c r="G314" t="inlineStr">
        <is>
          <t>NORRKÖPING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33138-2025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46324</v>
      </c>
      <c r="F315" t="inlineStr">
        <is>
          <t>ÖSTERGÖTLANDS LÄN</t>
        </is>
      </c>
      <c r="G315" t="inlineStr">
        <is>
          <t>NORRKÖPING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44860</v>
      </c>
      <c r="E316" s="1" t="n">
        <v>46324</v>
      </c>
      <c r="F316" t="inlineStr">
        <is>
          <t>ÖSTERGÖTLANDS LÄN</t>
        </is>
      </c>
      <c r="G316" t="inlineStr">
        <is>
          <t>NORRKÖPING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46324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42766-2025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45908</v>
      </c>
      <c r="E318" s="1" t="n">
        <v>46324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44597</v>
      </c>
      <c r="E319" s="1" t="n">
        <v>46324</v>
      </c>
      <c r="F319" t="inlineStr">
        <is>
          <t>ÖSTERGÖTLANDS LÄN</t>
        </is>
      </c>
      <c r="G319" t="inlineStr">
        <is>
          <t>NORRKÖPING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45014</v>
      </c>
      <c r="E320" s="1" t="n">
        <v>46324</v>
      </c>
      <c r="F320" t="inlineStr">
        <is>
          <t>ÖSTERGÖTLANDS LÄN</t>
        </is>
      </c>
      <c r="G320" t="inlineStr">
        <is>
          <t>NORRKÖPING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44936</v>
      </c>
      <c r="E321" s="1" t="n">
        <v>46324</v>
      </c>
      <c r="F321" t="inlineStr">
        <is>
          <t>ÖSTERGÖTLANDS LÄN</t>
        </is>
      </c>
      <c r="G321" t="inlineStr">
        <is>
          <t>NORRKÖPING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7750-2025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45706</v>
      </c>
      <c r="E322" s="1" t="n">
        <v>46324</v>
      </c>
      <c r="F322" t="inlineStr">
        <is>
          <t>ÖSTERGÖTLANDS LÄN</t>
        </is>
      </c>
      <c r="G322" t="inlineStr">
        <is>
          <t>NORRKÖPING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45716</v>
      </c>
      <c r="E323" s="1" t="n">
        <v>46324</v>
      </c>
      <c r="F323" t="inlineStr">
        <is>
          <t>ÖSTERGÖTLANDS LÄN</t>
        </is>
      </c>
      <c r="G323" t="inlineStr">
        <is>
          <t>NORRKÖPING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44588</v>
      </c>
      <c r="E324" s="1" t="n">
        <v>46324</v>
      </c>
      <c r="F324" t="inlineStr">
        <is>
          <t>ÖSTERGÖTLANDS LÄN</t>
        </is>
      </c>
      <c r="G324" t="inlineStr">
        <is>
          <t>NORRKÖPING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46324</v>
      </c>
      <c r="F325" t="inlineStr">
        <is>
          <t>ÖSTERGÖTLANDS LÄN</t>
        </is>
      </c>
      <c r="G325" t="inlineStr">
        <is>
          <t>NORRKÖPING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46324</v>
      </c>
      <c r="F326" t="inlineStr">
        <is>
          <t>ÖSTERGÖTLANDS LÄN</t>
        </is>
      </c>
      <c r="G326" t="inlineStr">
        <is>
          <t>NORRKÖPING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46324</v>
      </c>
      <c r="F327" t="inlineStr">
        <is>
          <t>ÖSTERGÖTLANDS LÄN</t>
        </is>
      </c>
      <c r="G327" t="inlineStr">
        <is>
          <t>NORRKÖPING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46324</v>
      </c>
      <c r="F328" t="inlineStr">
        <is>
          <t>ÖSTERGÖTLANDS LÄN</t>
        </is>
      </c>
      <c r="G328" t="inlineStr">
        <is>
          <t>NORRKÖPING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44935</v>
      </c>
      <c r="E329" s="1" t="n">
        <v>46324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26832-2023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46324</v>
      </c>
      <c r="F330" t="inlineStr">
        <is>
          <t>ÖSTERGÖTLANDS LÄN</t>
        </is>
      </c>
      <c r="G330" t="inlineStr">
        <is>
          <t>NORRKÖPING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45845</v>
      </c>
      <c r="E331" s="1" t="n">
        <v>46324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46324</v>
      </c>
      <c r="F332" t="inlineStr">
        <is>
          <t>ÖSTERGÖTLANDS LÄN</t>
        </is>
      </c>
      <c r="G332" t="inlineStr">
        <is>
          <t>NORRKÖPING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46324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46324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63349-2023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46324</v>
      </c>
      <c r="F335" t="inlineStr">
        <is>
          <t>ÖSTERGÖTLANDS LÄN</t>
        </is>
      </c>
      <c r="G335" t="inlineStr">
        <is>
          <t>NORRKÖPING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46148-2025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46324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45053</v>
      </c>
      <c r="E337" s="1" t="n">
        <v>46324</v>
      </c>
      <c r="F337" t="inlineStr">
        <is>
          <t>ÖSTERGÖTLANDS LÄN</t>
        </is>
      </c>
      <c r="G337" t="inlineStr">
        <is>
          <t>NORRKÖPING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45558</v>
      </c>
      <c r="E338" s="1" t="n">
        <v>46324</v>
      </c>
      <c r="F338" t="inlineStr">
        <is>
          <t>ÖSTERGÖTLANDS LÄN</t>
        </is>
      </c>
      <c r="G338" t="inlineStr">
        <is>
          <t>NORRKÖPING</t>
        </is>
      </c>
      <c r="I338" t="n">
        <v>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48786-2022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44859</v>
      </c>
      <c r="E339" s="1" t="n">
        <v>46324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46324</v>
      </c>
      <c r="F340" t="inlineStr">
        <is>
          <t>ÖSTERGÖTLANDS LÄN</t>
        </is>
      </c>
      <c r="G340" t="inlineStr">
        <is>
          <t>NORRKÖPING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5938-2024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45336</v>
      </c>
      <c r="E341" s="1" t="n">
        <v>46324</v>
      </c>
      <c r="F341" t="inlineStr">
        <is>
          <t>ÖSTERGÖTLANDS LÄN</t>
        </is>
      </c>
      <c r="G341" t="inlineStr">
        <is>
          <t>NORRKÖPING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3116-2022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44582</v>
      </c>
      <c r="E342" s="1" t="n">
        <v>46324</v>
      </c>
      <c r="F342" t="inlineStr">
        <is>
          <t>ÖSTERGÖTLANDS LÄN</t>
        </is>
      </c>
      <c r="G342" t="inlineStr">
        <is>
          <t>NORRKÖPING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46324</v>
      </c>
      <c r="F343" t="inlineStr">
        <is>
          <t>ÖSTERGÖTLANDS LÄN</t>
        </is>
      </c>
      <c r="G343" t="inlineStr">
        <is>
          <t>NORRKÖPING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46324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43344-2023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46324</v>
      </c>
      <c r="F345" t="inlineStr">
        <is>
          <t>ÖSTERGÖTLANDS LÄN</t>
        </is>
      </c>
      <c r="G345" t="inlineStr">
        <is>
          <t>NORRKÖPING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46324</v>
      </c>
      <c r="F346" t="inlineStr">
        <is>
          <t>ÖSTERGÖTLANDS LÄN</t>
        </is>
      </c>
      <c r="G346" t="inlineStr">
        <is>
          <t>NORRKÖPING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13419-2025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45736</v>
      </c>
      <c r="E347" s="1" t="n">
        <v>46324</v>
      </c>
      <c r="F347" t="inlineStr">
        <is>
          <t>ÖSTERGÖTLANDS LÄN</t>
        </is>
      </c>
      <c r="G347" t="inlineStr">
        <is>
          <t>NORRKÖPING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18658-2023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45043</v>
      </c>
      <c r="E348" s="1" t="n">
        <v>46324</v>
      </c>
      <c r="F348" t="inlineStr">
        <is>
          <t>ÖSTERGÖTLANDS LÄN</t>
        </is>
      </c>
      <c r="G348" t="inlineStr">
        <is>
          <t>NORRKÖPING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31801-2024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45509</v>
      </c>
      <c r="E349" s="1" t="n">
        <v>46324</v>
      </c>
      <c r="F349" t="inlineStr">
        <is>
          <t>ÖSTERGÖTLANDS LÄN</t>
        </is>
      </c>
      <c r="G349" t="inlineStr">
        <is>
          <t>NORRKÖPING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46324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45706</v>
      </c>
      <c r="E351" s="1" t="n">
        <v>46324</v>
      </c>
      <c r="F351" t="inlineStr">
        <is>
          <t>ÖSTERGÖTLANDS LÄN</t>
        </is>
      </c>
      <c r="G351" t="inlineStr">
        <is>
          <t>NORRKÖPING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49456-2022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44861</v>
      </c>
      <c r="E352" s="1" t="n">
        <v>46324</v>
      </c>
      <c r="F352" t="inlineStr">
        <is>
          <t>ÖSTERGÖTLANDS LÄN</t>
        </is>
      </c>
      <c r="G352" t="inlineStr">
        <is>
          <t>NORRKÖPING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45145</v>
      </c>
      <c r="E353" s="1" t="n">
        <v>46324</v>
      </c>
      <c r="F353" t="inlineStr">
        <is>
          <t>ÖSTERGÖTLANDS LÄN</t>
        </is>
      </c>
      <c r="G353" t="inlineStr">
        <is>
          <t>NORRKÖPING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46324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46324</v>
      </c>
      <c r="F355" t="inlineStr">
        <is>
          <t>ÖSTERGÖTLANDS LÄN</t>
        </is>
      </c>
      <c r="G355" t="inlineStr">
        <is>
          <t>NORRKÖPING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46324</v>
      </c>
      <c r="F356" t="inlineStr">
        <is>
          <t>ÖSTERGÖTLANDS LÄN</t>
        </is>
      </c>
      <c r="G356" t="inlineStr">
        <is>
          <t>NORRKÖPING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45943</v>
      </c>
      <c r="E357" s="1" t="n">
        <v>46324</v>
      </c>
      <c r="F357" t="inlineStr">
        <is>
          <t>ÖSTERGÖTLANDS LÄN</t>
        </is>
      </c>
      <c r="G357" t="inlineStr">
        <is>
          <t>NORRKÖPING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8815-2024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46324</v>
      </c>
      <c r="F358" t="inlineStr">
        <is>
          <t>ÖSTERGÖTLANDS LÄN</t>
        </is>
      </c>
      <c r="G358" t="inlineStr">
        <is>
          <t>NORRKÖPING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44936</v>
      </c>
      <c r="E359" s="1" t="n">
        <v>46324</v>
      </c>
      <c r="F359" t="inlineStr">
        <is>
          <t>ÖSTERGÖTLANDS LÄN</t>
        </is>
      </c>
      <c r="G359" t="inlineStr">
        <is>
          <t>NORRKÖPING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44890</v>
      </c>
      <c r="E360" s="1" t="n">
        <v>46324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45769</v>
      </c>
      <c r="E361" s="1" t="n">
        <v>46324</v>
      </c>
      <c r="F361" t="inlineStr">
        <is>
          <t>ÖSTERGÖTLANDS LÄN</t>
        </is>
      </c>
      <c r="G361" t="inlineStr">
        <is>
          <t>NORRKÖPING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46324</v>
      </c>
      <c r="F362" t="inlineStr">
        <is>
          <t>ÖSTERGÖTLANDS LÄN</t>
        </is>
      </c>
      <c r="G362" t="inlineStr">
        <is>
          <t>NORRKÖPING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44956</v>
      </c>
      <c r="E363" s="1" t="n">
        <v>46324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23783-2022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44721</v>
      </c>
      <c r="E364" s="1" t="n">
        <v>46324</v>
      </c>
      <c r="F364" t="inlineStr">
        <is>
          <t>ÖSTERGÖTLANDS LÄN</t>
        </is>
      </c>
      <c r="G364" t="inlineStr">
        <is>
          <t>NORRKÖPING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46324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46324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50678-2023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46324</v>
      </c>
      <c r="F367" t="inlineStr">
        <is>
          <t>ÖSTERGÖTLANDS LÄN</t>
        </is>
      </c>
      <c r="G367" t="inlineStr">
        <is>
          <t>NORRKÖPING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38455-2025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46324</v>
      </c>
      <c r="F368" t="inlineStr">
        <is>
          <t>ÖSTERGÖTLANDS LÄN</t>
        </is>
      </c>
      <c r="G368" t="inlineStr">
        <is>
          <t>NORRKÖPING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46324</v>
      </c>
      <c r="F369" t="inlineStr">
        <is>
          <t>ÖSTERGÖTLANDS LÄN</t>
        </is>
      </c>
      <c r="G369" t="inlineStr">
        <is>
          <t>NORRKÖPING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38431-2025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46324</v>
      </c>
      <c r="F370" t="inlineStr">
        <is>
          <t>ÖSTERGÖTLANDS LÄN</t>
        </is>
      </c>
      <c r="G370" t="inlineStr">
        <is>
          <t>NORRKÖPING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46324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Allmännings- och besparingsskogar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12191-2023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44998</v>
      </c>
      <c r="E372" s="1" t="n">
        <v>46324</v>
      </c>
      <c r="F372" t="inlineStr">
        <is>
          <t>ÖSTERGÖTLANDS LÄN</t>
        </is>
      </c>
      <c r="G372" t="inlineStr">
        <is>
          <t>NORRKÖPING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62061-2023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45266</v>
      </c>
      <c r="E373" s="1" t="n">
        <v>46324</v>
      </c>
      <c r="F373" t="inlineStr">
        <is>
          <t>ÖSTERGÖTLANDS LÄN</t>
        </is>
      </c>
      <c r="G373" t="inlineStr">
        <is>
          <t>NORRKÖPING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46324</v>
      </c>
      <c r="F374" t="inlineStr">
        <is>
          <t>ÖSTERGÖTLANDS LÄN</t>
        </is>
      </c>
      <c r="G374" t="inlineStr">
        <is>
          <t>NORRKÖPING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46324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36258-2022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46324</v>
      </c>
      <c r="F376" t="inlineStr">
        <is>
          <t>ÖSTERGÖTLANDS LÄN</t>
        </is>
      </c>
      <c r="G376" t="inlineStr">
        <is>
          <t>NORRKÖPING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46324</v>
      </c>
      <c r="F377" t="inlineStr">
        <is>
          <t>ÖSTERGÖTLANDS LÄN</t>
        </is>
      </c>
      <c r="G377" t="inlineStr">
        <is>
          <t>NORRKÖPING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49062-2022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44860</v>
      </c>
      <c r="E378" s="1" t="n">
        <v>46324</v>
      </c>
      <c r="F378" t="inlineStr">
        <is>
          <t>ÖSTERGÖTLANDS LÄN</t>
        </is>
      </c>
      <c r="G378" t="inlineStr">
        <is>
          <t>NORRKÖPING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46324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46324</v>
      </c>
      <c r="F380" t="inlineStr">
        <is>
          <t>ÖSTERGÖTLANDS LÄN</t>
        </is>
      </c>
      <c r="G380" t="inlineStr">
        <is>
          <t>NORRKÖPING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2540-2024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45313</v>
      </c>
      <c r="E381" s="1" t="n">
        <v>46324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1914-2023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44939</v>
      </c>
      <c r="E382" s="1" t="n">
        <v>46324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Naturvårdsverket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53702-2025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46324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45238</v>
      </c>
      <c r="E384" s="1" t="n">
        <v>46324</v>
      </c>
      <c r="F384" t="inlineStr">
        <is>
          <t>ÖSTERGÖTLANDS LÄN</t>
        </is>
      </c>
      <c r="G384" t="inlineStr">
        <is>
          <t>NORRKÖPING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53694-2025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46324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44956</v>
      </c>
      <c r="E386" s="1" t="n">
        <v>46324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45961</v>
      </c>
      <c r="E387" s="1" t="n">
        <v>46324</v>
      </c>
      <c r="F387" t="inlineStr">
        <is>
          <t>ÖSTERGÖTLANDS LÄN</t>
        </is>
      </c>
      <c r="G387" t="inlineStr">
        <is>
          <t>NORRKÖPING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12538-2024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45379</v>
      </c>
      <c r="E388" s="1" t="n">
        <v>46324</v>
      </c>
      <c r="F388" t="inlineStr">
        <is>
          <t>ÖSTERGÖTLANDS LÄN</t>
        </is>
      </c>
      <c r="G388" t="inlineStr">
        <is>
          <t>NORRKÖPING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17138-2022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44677</v>
      </c>
      <c r="E389" s="1" t="n">
        <v>46324</v>
      </c>
      <c r="F389" t="inlineStr">
        <is>
          <t>ÖSTERGÖTLANDS LÄN</t>
        </is>
      </c>
      <c r="G389" t="inlineStr">
        <is>
          <t>NORRKÖPING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45126</v>
      </c>
      <c r="E390" s="1" t="n">
        <v>46324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33171-2023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45126</v>
      </c>
      <c r="E391" s="1" t="n">
        <v>46324</v>
      </c>
      <c r="F391" t="inlineStr">
        <is>
          <t>ÖSTERGÖTLANDS LÄN</t>
        </is>
      </c>
      <c r="G391" t="inlineStr">
        <is>
          <t>NORRKÖPING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46146</v>
      </c>
      <c r="E392" s="1" t="n">
        <v>46324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46146</v>
      </c>
      <c r="E393" s="1" t="n">
        <v>46324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44741</v>
      </c>
      <c r="E394" s="1" t="n">
        <v>46324</v>
      </c>
      <c r="F394" t="inlineStr">
        <is>
          <t>ÖSTERGÖTLANDS LÄN</t>
        </is>
      </c>
      <c r="G394" t="inlineStr">
        <is>
          <t>NORRKÖPING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45268</v>
      </c>
      <c r="E395" s="1" t="n">
        <v>46324</v>
      </c>
      <c r="F395" t="inlineStr">
        <is>
          <t>ÖSTERGÖTLANDS LÄN</t>
        </is>
      </c>
      <c r="G395" t="inlineStr">
        <is>
          <t>NORRKÖPING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59586-2022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44907</v>
      </c>
      <c r="E396" s="1" t="n">
        <v>46324</v>
      </c>
      <c r="F396" t="inlineStr">
        <is>
          <t>ÖSTERGÖTLANDS LÄN</t>
        </is>
      </c>
      <c r="G396" t="inlineStr">
        <is>
          <t>NORRKÖPING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31359-2023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46324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45114</v>
      </c>
      <c r="E398" s="1" t="n">
        <v>46324</v>
      </c>
      <c r="F398" t="inlineStr">
        <is>
          <t>ÖSTERGÖTLANDS LÄN</t>
        </is>
      </c>
      <c r="G398" t="inlineStr">
        <is>
          <t>NORRKÖPING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45723</v>
      </c>
      <c r="E399" s="1" t="n">
        <v>46324</v>
      </c>
      <c r="F399" t="inlineStr">
        <is>
          <t>ÖSTERGÖTLANDS LÄN</t>
        </is>
      </c>
      <c r="G399" t="inlineStr">
        <is>
          <t>NORRKÖPING</t>
        </is>
      </c>
      <c r="I399" t="n">
        <v>13.9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46324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45742</v>
      </c>
      <c r="E401" s="1" t="n">
        <v>46324</v>
      </c>
      <c r="F401" t="inlineStr">
        <is>
          <t>ÖSTERGÖTLANDS LÄN</t>
        </is>
      </c>
      <c r="G401" t="inlineStr">
        <is>
          <t>NORRKÖPING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17503-2022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44679</v>
      </c>
      <c r="E402" s="1" t="n">
        <v>46324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Allmännings- och besparingsskogar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45976</v>
      </c>
      <c r="E403" s="1" t="n">
        <v>46324</v>
      </c>
      <c r="F403" t="inlineStr">
        <is>
          <t>ÖSTERGÖTLANDS LÄN</t>
        </is>
      </c>
      <c r="G403" t="inlineStr">
        <is>
          <t>NORRKÖPING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45359</v>
      </c>
      <c r="E404" s="1" t="n">
        <v>46324</v>
      </c>
      <c r="F404" t="inlineStr">
        <is>
          <t>ÖSTERGÖTLANDS LÄN</t>
        </is>
      </c>
      <c r="G404" t="inlineStr">
        <is>
          <t>NORRKÖPING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46324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53747-2022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44880</v>
      </c>
      <c r="E406" s="1" t="n">
        <v>46324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46324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58814-2025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46324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58575-2025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46324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46324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44936</v>
      </c>
      <c r="E411" s="1" t="n">
        <v>46324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46324</v>
      </c>
      <c r="F412" t="inlineStr">
        <is>
          <t>ÖSTERGÖTLANDS LÄN</t>
        </is>
      </c>
      <c r="G412" t="inlineStr">
        <is>
          <t>NORRKÖPING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10791-2024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45369</v>
      </c>
      <c r="E413" s="1" t="n">
        <v>46324</v>
      </c>
      <c r="F413" t="inlineStr">
        <is>
          <t>ÖSTERGÖTLANDS LÄN</t>
        </is>
      </c>
      <c r="G413" t="inlineStr">
        <is>
          <t>NORRKÖPING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46324</v>
      </c>
      <c r="F414" t="inlineStr">
        <is>
          <t>ÖSTERGÖTLANDS LÄN</t>
        </is>
      </c>
      <c r="G414" t="inlineStr">
        <is>
          <t>NORRKÖPING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16253-2023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45028</v>
      </c>
      <c r="E415" s="1" t="n">
        <v>46324</v>
      </c>
      <c r="F415" t="inlineStr">
        <is>
          <t>ÖSTERGÖTLANDS LÄN</t>
        </is>
      </c>
      <c r="G415" t="inlineStr">
        <is>
          <t>NORRKÖPING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21664-2024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45442</v>
      </c>
      <c r="E416" s="1" t="n">
        <v>46324</v>
      </c>
      <c r="F416" t="inlineStr">
        <is>
          <t>ÖSTERGÖTLANDS LÄN</t>
        </is>
      </c>
      <c r="G416" t="inlineStr">
        <is>
          <t>NORRKÖPING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46324</v>
      </c>
      <c r="F417" t="inlineStr">
        <is>
          <t>ÖSTERGÖTLANDS LÄN</t>
        </is>
      </c>
      <c r="G417" t="inlineStr">
        <is>
          <t>NORRKÖPING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46324</v>
      </c>
      <c r="F418" t="inlineStr">
        <is>
          <t>ÖSTERGÖTLANDS LÄN</t>
        </is>
      </c>
      <c r="G418" t="inlineStr">
        <is>
          <t>NORRKÖPING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46324</v>
      </c>
      <c r="F419" t="inlineStr">
        <is>
          <t>ÖSTERGÖTLANDS LÄN</t>
        </is>
      </c>
      <c r="G419" t="inlineStr">
        <is>
          <t>NORRKÖPING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44862</v>
      </c>
      <c r="E420" s="1" t="n">
        <v>46324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19739-2024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45432</v>
      </c>
      <c r="E421" s="1" t="n">
        <v>46324</v>
      </c>
      <c r="F421" t="inlineStr">
        <is>
          <t>ÖSTERGÖTLANDS LÄN</t>
        </is>
      </c>
      <c r="G421" t="inlineStr">
        <is>
          <t>NORRKÖPING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45889</v>
      </c>
      <c r="E422" s="1" t="n">
        <v>46324</v>
      </c>
      <c r="F422" t="inlineStr">
        <is>
          <t>ÖSTERGÖTLANDS LÄN</t>
        </is>
      </c>
      <c r="G422" t="inlineStr">
        <is>
          <t>NORRKÖPING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36954-2022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44805</v>
      </c>
      <c r="E423" s="1" t="n">
        <v>46324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46324</v>
      </c>
      <c r="F424" t="inlineStr">
        <is>
          <t>ÖSTERGÖTLANDS LÄN</t>
        </is>
      </c>
      <c r="G424" t="inlineStr">
        <is>
          <t>NORRKÖPING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45201</v>
      </c>
      <c r="E425" s="1" t="n">
        <v>46324</v>
      </c>
      <c r="F425" t="inlineStr">
        <is>
          <t>ÖSTERGÖTLANDS LÄN</t>
        </is>
      </c>
      <c r="G425" t="inlineStr">
        <is>
          <t>NORRKÖPING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11641-2024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45373</v>
      </c>
      <c r="E426" s="1" t="n">
        <v>46324</v>
      </c>
      <c r="F426" t="inlineStr">
        <is>
          <t>ÖSTERGÖTLANDS LÄN</t>
        </is>
      </c>
      <c r="G426" t="inlineStr">
        <is>
          <t>NORRKÖPING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11261-2023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44992</v>
      </c>
      <c r="E427" s="1" t="n">
        <v>46324</v>
      </c>
      <c r="F427" t="inlineStr">
        <is>
          <t>ÖSTERGÖTLANDS LÄN</t>
        </is>
      </c>
      <c r="G427" t="inlineStr">
        <is>
          <t>NORRKÖPING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46061</v>
      </c>
      <c r="E428" s="1" t="n">
        <v>46324</v>
      </c>
      <c r="F428" t="inlineStr">
        <is>
          <t>ÖSTERGÖTLANDS LÄN</t>
        </is>
      </c>
      <c r="G428" t="inlineStr">
        <is>
          <t>NORRKÖPING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46324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46324</v>
      </c>
      <c r="F430" t="inlineStr">
        <is>
          <t>ÖSTERGÖTLANDS LÄN</t>
        </is>
      </c>
      <c r="G430" t="inlineStr">
        <is>
          <t>NORRKÖPING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46324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10796-2024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45369</v>
      </c>
      <c r="E432" s="1" t="n">
        <v>46324</v>
      </c>
      <c r="F432" t="inlineStr">
        <is>
          <t>ÖSTERGÖTLANDS LÄN</t>
        </is>
      </c>
      <c r="G432" t="inlineStr">
        <is>
          <t>NORRKÖPING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46324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62473-2025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46324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62118-2025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46324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45673</v>
      </c>
      <c r="E436" s="1" t="n">
        <v>46324</v>
      </c>
      <c r="F436" t="inlineStr">
        <is>
          <t>ÖSTERGÖTLANDS LÄN</t>
        </is>
      </c>
      <c r="G436" t="inlineStr">
        <is>
          <t>NORRKÖPING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33341-2023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45128</v>
      </c>
      <c r="E437" s="1" t="n">
        <v>46324</v>
      </c>
      <c r="F437" t="inlineStr">
        <is>
          <t>ÖSTERGÖTLANDS LÄN</t>
        </is>
      </c>
      <c r="G437" t="inlineStr">
        <is>
          <t>NORRKÖPING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46324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14441-2025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45741</v>
      </c>
      <c r="E439" s="1" t="n">
        <v>46324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29010-2023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45096</v>
      </c>
      <c r="E440" s="1" t="n">
        <v>46324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12.3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46324</v>
      </c>
      <c r="F441" t="inlineStr">
        <is>
          <t>ÖSTERGÖTLANDS LÄN</t>
        </is>
      </c>
      <c r="G441" t="inlineStr">
        <is>
          <t>NORRKÖPING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46324</v>
      </c>
      <c r="F442" t="inlineStr">
        <is>
          <t>ÖSTERGÖTLANDS LÄN</t>
        </is>
      </c>
      <c r="G442" t="inlineStr">
        <is>
          <t>NORRKÖPING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46324</v>
      </c>
      <c r="F443" t="inlineStr">
        <is>
          <t>ÖSTERGÖTLANDS LÄN</t>
        </is>
      </c>
      <c r="G443" t="inlineStr">
        <is>
          <t>NORRKÖPING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46324</v>
      </c>
      <c r="F444" t="inlineStr">
        <is>
          <t>ÖSTERGÖTLANDS LÄN</t>
        </is>
      </c>
      <c r="G444" t="inlineStr">
        <is>
          <t>NORRKÖPING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57492-2023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46324</v>
      </c>
      <c r="F445" t="inlineStr">
        <is>
          <t>ÖSTERGÖTLANDS LÄN</t>
        </is>
      </c>
      <c r="G445" t="inlineStr">
        <is>
          <t>NORRKÖPING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46324</v>
      </c>
      <c r="F446" t="inlineStr">
        <is>
          <t>ÖSTERGÖTLANDS LÄN</t>
        </is>
      </c>
      <c r="G446" t="inlineStr">
        <is>
          <t>NORRKÖPING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45386</v>
      </c>
      <c r="E447" s="1" t="n">
        <v>46324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41381-2023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46324</v>
      </c>
      <c r="F448" t="inlineStr">
        <is>
          <t>ÖSTERGÖTLANDS LÄN</t>
        </is>
      </c>
      <c r="G448" t="inlineStr">
        <is>
          <t>NORRKÖPING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46324</v>
      </c>
      <c r="F449" t="inlineStr">
        <is>
          <t>ÖSTERGÖTLANDS LÄN</t>
        </is>
      </c>
      <c r="G449" t="inlineStr">
        <is>
          <t>NORRKÖPING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24354-2024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45457</v>
      </c>
      <c r="E450" s="1" t="n">
        <v>46324</v>
      </c>
      <c r="F450" t="inlineStr">
        <is>
          <t>ÖSTERGÖTLANDS LÄN</t>
        </is>
      </c>
      <c r="G450" t="inlineStr">
        <is>
          <t>NORRKÖPING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26407-2023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45092</v>
      </c>
      <c r="E451" s="1" t="n">
        <v>46324</v>
      </c>
      <c r="F451" t="inlineStr">
        <is>
          <t>ÖSTERGÖTLANDS LÄN</t>
        </is>
      </c>
      <c r="G451" t="inlineStr">
        <is>
          <t>NORRKÖPING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45254</v>
      </c>
      <c r="E452" s="1" t="n">
        <v>46324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16594-2023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45027</v>
      </c>
      <c r="E453" s="1" t="n">
        <v>46324</v>
      </c>
      <c r="F453" t="inlineStr">
        <is>
          <t>ÖSTERGÖTLANDS LÄN</t>
        </is>
      </c>
      <c r="G453" t="inlineStr">
        <is>
          <t>NORRKÖPING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18592-2024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45425</v>
      </c>
      <c r="E454" s="1" t="n">
        <v>46324</v>
      </c>
      <c r="F454" t="inlineStr">
        <is>
          <t>ÖSTERGÖTLANDS LÄN</t>
        </is>
      </c>
      <c r="G454" t="inlineStr">
        <is>
          <t>NORRKÖPING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46270-2024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45581</v>
      </c>
      <c r="E455" s="1" t="n">
        <v>46324</v>
      </c>
      <c r="F455" t="inlineStr">
        <is>
          <t>ÖSTERGÖTLANDS LÄN</t>
        </is>
      </c>
      <c r="G455" t="inlineStr">
        <is>
          <t>NORRKÖPING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46324</v>
      </c>
      <c r="F456" t="inlineStr">
        <is>
          <t>ÖSTERGÖTLANDS LÄN</t>
        </is>
      </c>
      <c r="G456" t="inlineStr">
        <is>
          <t>NORRKÖPING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26977-2023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45091</v>
      </c>
      <c r="E457" s="1" t="n">
        <v>46324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Allmännings- och besparingsskogar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45369</v>
      </c>
      <c r="E458" s="1" t="n">
        <v>46324</v>
      </c>
      <c r="F458" t="inlineStr">
        <is>
          <t>ÖSTERGÖTLANDS LÄN</t>
        </is>
      </c>
      <c r="G458" t="inlineStr">
        <is>
          <t>NORRKÖPING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45043</v>
      </c>
      <c r="E459" s="1" t="n">
        <v>46324</v>
      </c>
      <c r="F459" t="inlineStr">
        <is>
          <t>ÖSTERGÖTLANDS LÄN</t>
        </is>
      </c>
      <c r="G459" t="inlineStr">
        <is>
          <t>NORRKÖPING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46324</v>
      </c>
      <c r="F460" t="inlineStr">
        <is>
          <t>ÖSTERGÖTLANDS LÄN</t>
        </is>
      </c>
      <c r="G460" t="inlineStr">
        <is>
          <t>NORRKÖPING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46324</v>
      </c>
      <c r="F461" t="inlineStr">
        <is>
          <t>ÖSTERGÖTLANDS LÄN</t>
        </is>
      </c>
      <c r="G461" t="inlineStr">
        <is>
          <t>NORRKÖPING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46324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46324</v>
      </c>
      <c r="F463" t="inlineStr">
        <is>
          <t>ÖSTERGÖTLANDS LÄN</t>
        </is>
      </c>
      <c r="G463" t="inlineStr">
        <is>
          <t>NORRKÖPING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45442</v>
      </c>
      <c r="E464" s="1" t="n">
        <v>46324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45008</v>
      </c>
      <c r="E465" s="1" t="n">
        <v>46324</v>
      </c>
      <c r="F465" t="inlineStr">
        <is>
          <t>ÖSTERGÖTLANDS LÄN</t>
        </is>
      </c>
      <c r="G465" t="inlineStr">
        <is>
          <t>NORRKÖPING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46324</v>
      </c>
      <c r="F466" t="inlineStr">
        <is>
          <t>ÖSTERGÖTLANDS LÄN</t>
        </is>
      </c>
      <c r="G466" t="inlineStr">
        <is>
          <t>NORRKÖPING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46324</v>
      </c>
      <c r="F467" t="inlineStr">
        <is>
          <t>ÖSTERGÖTLANDS LÄN</t>
        </is>
      </c>
      <c r="G467" t="inlineStr">
        <is>
          <t>NORRKÖPING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46324</v>
      </c>
      <c r="F468" t="inlineStr">
        <is>
          <t>ÖSTERGÖTLANDS LÄN</t>
        </is>
      </c>
      <c r="G468" t="inlineStr">
        <is>
          <t>NORRKÖPING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25711-2026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46324</v>
      </c>
      <c r="F469" t="inlineStr">
        <is>
          <t>ÖSTERGÖTLANDS LÄN</t>
        </is>
      </c>
      <c r="G469" t="inlineStr">
        <is>
          <t>NORRKÖPING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18650-2023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45043</v>
      </c>
      <c r="E470" s="1" t="n">
        <v>46324</v>
      </c>
      <c r="F470" t="inlineStr">
        <is>
          <t>ÖSTERGÖTLANDS LÄN</t>
        </is>
      </c>
      <c r="G470" t="inlineStr">
        <is>
          <t>NORRKÖPING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25719-2026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46324</v>
      </c>
      <c r="F471" t="inlineStr">
        <is>
          <t>ÖSTERGÖTLANDS LÄN</t>
        </is>
      </c>
      <c r="G471" t="inlineStr">
        <is>
          <t>NORRKÖPING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46324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Allmännings- och besparingsskogar</t>
        </is>
      </c>
      <c r="I472" t="n">
        <v>12.4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45339</v>
      </c>
      <c r="E473" s="1" t="n">
        <v>46324</v>
      </c>
      <c r="F473" t="inlineStr">
        <is>
          <t>ÖSTERGÖTLANDS LÄN</t>
        </is>
      </c>
      <c r="G473" t="inlineStr">
        <is>
          <t>NORRKÖPING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46037</v>
      </c>
      <c r="E474" s="1" t="n">
        <v>46324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25687-2026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46178</v>
      </c>
      <c r="E475" s="1" t="n">
        <v>46324</v>
      </c>
      <c r="F475" t="inlineStr">
        <is>
          <t>ÖSTERGÖTLANDS LÄN</t>
        </is>
      </c>
      <c r="G475" t="inlineStr">
        <is>
          <t>NORRKÖPING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46182</v>
      </c>
      <c r="E476" s="1" t="n">
        <v>46324</v>
      </c>
      <c r="F476" t="inlineStr">
        <is>
          <t>ÖSTERGÖTLANDS LÄN</t>
        </is>
      </c>
      <c r="G476" t="inlineStr">
        <is>
          <t>NORRKÖPING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46324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Kommuner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46324</v>
      </c>
      <c r="F478" t="inlineStr">
        <is>
          <t>ÖSTERGÖTLANDS LÄN</t>
        </is>
      </c>
      <c r="G478" t="inlineStr">
        <is>
          <t>NORRKÖPING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46324</v>
      </c>
      <c r="F479" t="inlineStr">
        <is>
          <t>ÖSTERGÖTLANDS LÄN</t>
        </is>
      </c>
      <c r="G479" t="inlineStr">
        <is>
          <t>NORRKÖPING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46324</v>
      </c>
      <c r="F480" t="inlineStr">
        <is>
          <t>ÖSTERGÖTLANDS LÄN</t>
        </is>
      </c>
      <c r="G480" t="inlineStr">
        <is>
          <t>NORRKÖPING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45093</v>
      </c>
      <c r="E481" s="1" t="n">
        <v>46324</v>
      </c>
      <c r="F481" t="inlineStr">
        <is>
          <t>ÖSTERGÖTLANDS LÄN</t>
        </is>
      </c>
      <c r="G481" t="inlineStr">
        <is>
          <t>NORRKÖPING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46324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46324</v>
      </c>
      <c r="F483" t="inlineStr">
        <is>
          <t>ÖSTERGÖTLANDS LÄN</t>
        </is>
      </c>
      <c r="G483" t="inlineStr">
        <is>
          <t>NORRKÖPING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44992</v>
      </c>
      <c r="E484" s="1" t="n">
        <v>46324</v>
      </c>
      <c r="F484" t="inlineStr">
        <is>
          <t>ÖSTERGÖTLANDS LÄN</t>
        </is>
      </c>
      <c r="G484" t="inlineStr">
        <is>
          <t>NORRKÖPING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46324</v>
      </c>
      <c r="F485" t="inlineStr">
        <is>
          <t>ÖSTERGÖTLANDS LÄN</t>
        </is>
      </c>
      <c r="G485" t="inlineStr">
        <is>
          <t>NORRKÖPING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46324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46045</v>
      </c>
      <c r="E487" s="1" t="n">
        <v>46324</v>
      </c>
      <c r="F487" t="inlineStr">
        <is>
          <t>ÖSTERGÖTLANDS LÄN</t>
        </is>
      </c>
      <c r="G487" t="inlineStr">
        <is>
          <t>NORRKÖPING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23349-2024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45453</v>
      </c>
      <c r="E488" s="1" t="n">
        <v>46324</v>
      </c>
      <c r="F488" t="inlineStr">
        <is>
          <t>ÖSTERGÖTLANDS LÄN</t>
        </is>
      </c>
      <c r="G488" t="inlineStr">
        <is>
          <t>NORRKÖPING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46324</v>
      </c>
      <c r="F489" t="inlineStr">
        <is>
          <t>ÖSTERGÖTLANDS LÄN</t>
        </is>
      </c>
      <c r="G489" t="inlineStr">
        <is>
          <t>NORRKÖPING</t>
        </is>
      </c>
      <c r="I489" t="n">
        <v>7.5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46155</v>
      </c>
      <c r="E490" s="1" t="n">
        <v>46324</v>
      </c>
      <c r="F490" t="inlineStr">
        <is>
          <t>ÖSTERGÖTLANDS LÄN</t>
        </is>
      </c>
      <c r="G490" t="inlineStr">
        <is>
          <t>NORRKÖPING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46324</v>
      </c>
      <c r="F491" t="inlineStr">
        <is>
          <t>ÖSTERGÖTLANDS LÄN</t>
        </is>
      </c>
      <c r="G491" t="inlineStr">
        <is>
          <t>NORRKÖPING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46324</v>
      </c>
      <c r="F492" t="inlineStr">
        <is>
          <t>ÖSTERGÖTLANDS LÄN</t>
        </is>
      </c>
      <c r="G492" t="inlineStr">
        <is>
          <t>NORRKÖPING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46324</v>
      </c>
      <c r="F493" t="inlineStr">
        <is>
          <t>ÖSTERGÖTLANDS LÄN</t>
        </is>
      </c>
      <c r="G493" t="inlineStr">
        <is>
          <t>NORRKÖPING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45636</v>
      </c>
      <c r="E494" s="1" t="n">
        <v>46324</v>
      </c>
      <c r="F494" t="inlineStr">
        <is>
          <t>ÖSTERGÖTLANDS LÄN</t>
        </is>
      </c>
      <c r="G494" t="inlineStr">
        <is>
          <t>NORRKÖPING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45636</v>
      </c>
      <c r="E495" s="1" t="n">
        <v>46324</v>
      </c>
      <c r="F495" t="inlineStr">
        <is>
          <t>ÖSTERGÖTLANDS LÄN</t>
        </is>
      </c>
      <c r="G495" t="inlineStr">
        <is>
          <t>NORRKÖPING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46324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Allmännings- och besparingsskogar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46324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46324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44573</v>
      </c>
      <c r="E499" s="1" t="n">
        <v>46324</v>
      </c>
      <c r="F499" t="inlineStr">
        <is>
          <t>ÖSTERGÖTLANDS LÄN</t>
        </is>
      </c>
      <c r="G499" t="inlineStr">
        <is>
          <t>NORRKÖPING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26953-2026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46324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46324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49778-2022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46324</v>
      </c>
      <c r="F502" t="inlineStr">
        <is>
          <t>ÖSTERGÖTLANDS LÄN</t>
        </is>
      </c>
      <c r="G502" t="inlineStr">
        <is>
          <t>NORRKÖPING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46324</v>
      </c>
      <c r="F503" t="inlineStr">
        <is>
          <t>ÖSTERGÖTLANDS LÄN</t>
        </is>
      </c>
      <c r="G503" t="inlineStr">
        <is>
          <t>NORRKÖPING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46324</v>
      </c>
      <c r="F504" t="inlineStr">
        <is>
          <t>ÖSTERGÖTLANDS LÄN</t>
        </is>
      </c>
      <c r="G504" t="inlineStr">
        <is>
          <t>NORRKÖPING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26999-2026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46185</v>
      </c>
      <c r="E505" s="1" t="n">
        <v>46324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46324</v>
      </c>
      <c r="F506" t="inlineStr">
        <is>
          <t>ÖSTERGÖTLANDS LÄN</t>
        </is>
      </c>
      <c r="G506" t="inlineStr">
        <is>
          <t>NORRKÖPING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45330</v>
      </c>
      <c r="E507" s="1" t="n">
        <v>46324</v>
      </c>
      <c r="F507" t="inlineStr">
        <is>
          <t>ÖSTERGÖTLANDS LÄN</t>
        </is>
      </c>
      <c r="G507" t="inlineStr">
        <is>
          <t>NORRKÖPING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49617-2022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44862</v>
      </c>
      <c r="E508" s="1" t="n">
        <v>46324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59544-2023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46324</v>
      </c>
      <c r="F509" t="inlineStr">
        <is>
          <t>ÖSTERGÖTLANDS LÄN</t>
        </is>
      </c>
      <c r="G509" t="inlineStr">
        <is>
          <t>NORRKÖPING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44573</v>
      </c>
      <c r="E510" s="1" t="n">
        <v>46324</v>
      </c>
      <c r="F510" t="inlineStr">
        <is>
          <t>ÖSTERGÖTLANDS LÄN</t>
        </is>
      </c>
      <c r="G510" t="inlineStr">
        <is>
          <t>NORRKÖPING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46324</v>
      </c>
      <c r="F511" t="inlineStr">
        <is>
          <t>ÖSTERGÖTLANDS LÄN</t>
        </is>
      </c>
      <c r="G511" t="inlineStr">
        <is>
          <t>NORRKÖPING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30062-2023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45110</v>
      </c>
      <c r="E512" s="1" t="n">
        <v>46324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22470-2022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44713</v>
      </c>
      <c r="E513" s="1" t="n">
        <v>46324</v>
      </c>
      <c r="F513" t="inlineStr">
        <is>
          <t>ÖSTERGÖTLANDS LÄN</t>
        </is>
      </c>
      <c r="G513" t="inlineStr">
        <is>
          <t>NORRKÖPING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46324</v>
      </c>
      <c r="F514" t="inlineStr">
        <is>
          <t>ÖSTERGÖTLANDS LÄN</t>
        </is>
      </c>
      <c r="G514" t="inlineStr">
        <is>
          <t>NORRKÖPING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45796</v>
      </c>
      <c r="E515" s="1" t="n">
        <v>46324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46196</v>
      </c>
      <c r="E516" s="1" t="n">
        <v>46324</v>
      </c>
      <c r="F516" t="inlineStr">
        <is>
          <t>ÖSTERGÖTLANDS LÄN</t>
        </is>
      </c>
      <c r="G516" t="inlineStr">
        <is>
          <t>NORRKÖPING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46324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45583</v>
      </c>
      <c r="E518" s="1" t="n">
        <v>46324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36412-2024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45535</v>
      </c>
      <c r="E519" s="1" t="n">
        <v>46324</v>
      </c>
      <c r="F519" t="inlineStr">
        <is>
          <t>ÖSTERGÖTLANDS LÄN</t>
        </is>
      </c>
      <c r="G519" t="inlineStr">
        <is>
          <t>NORRKÖPING</t>
        </is>
      </c>
      <c r="I519" t="n">
        <v>12.8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28255-2026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46324</v>
      </c>
      <c r="F520" t="inlineStr">
        <is>
          <t>ÖSTERGÖTLANDS LÄN</t>
        </is>
      </c>
      <c r="G520" t="inlineStr">
        <is>
          <t>NORRKÖPING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28258-2026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46324</v>
      </c>
      <c r="F521" t="inlineStr">
        <is>
          <t>ÖSTERGÖTLANDS LÄN</t>
        </is>
      </c>
      <c r="G521" t="inlineStr">
        <is>
          <t>NORRKÖPING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46324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Kyrkan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45112</v>
      </c>
      <c r="E523" s="1" t="n">
        <v>46324</v>
      </c>
      <c r="F523" t="inlineStr">
        <is>
          <t>ÖSTERGÖTLANDS LÄN</t>
        </is>
      </c>
      <c r="G523" t="inlineStr">
        <is>
          <t>NORRKÖPING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18686-2023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45043</v>
      </c>
      <c r="E524" s="1" t="n">
        <v>46324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10266-2026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46324</v>
      </c>
      <c r="F525" t="inlineStr">
        <is>
          <t>ÖSTERGÖTLANDS LÄN</t>
        </is>
      </c>
      <c r="G525" t="inlineStr">
        <is>
          <t>NORRKÖPING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46324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46324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44739</v>
      </c>
      <c r="E528" s="1" t="n">
        <v>46324</v>
      </c>
      <c r="F528" t="inlineStr">
        <is>
          <t>ÖSTERGÖTLANDS LÄN</t>
        </is>
      </c>
      <c r="G528" t="inlineStr">
        <is>
          <t>NORRKÖPING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28757-2026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46324</v>
      </c>
      <c r="F529" t="inlineStr">
        <is>
          <t>ÖSTERGÖTLANDS LÄN</t>
        </is>
      </c>
      <c r="G529" t="inlineStr">
        <is>
          <t>NORRKÖPING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46324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46324</v>
      </c>
      <c r="F531" t="inlineStr">
        <is>
          <t>ÖSTERGÖTLANDS LÄN</t>
        </is>
      </c>
      <c r="G531" t="inlineStr">
        <is>
          <t>NORRKÖPING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45317</v>
      </c>
      <c r="E532" s="1" t="n">
        <v>46324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46324</v>
      </c>
      <c r="F533" t="inlineStr">
        <is>
          <t>ÖSTERGÖTLANDS LÄN</t>
        </is>
      </c>
      <c r="G533" t="inlineStr">
        <is>
          <t>NORRKÖPING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9174-2023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46324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46324</v>
      </c>
      <c r="F535" t="inlineStr">
        <is>
          <t>ÖSTERGÖTLANDS LÄN</t>
        </is>
      </c>
      <c r="G535" t="inlineStr">
        <is>
          <t>NORRKÖPING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46324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19702-2024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46324</v>
      </c>
      <c r="F537" t="inlineStr">
        <is>
          <t>ÖSTERGÖTLANDS LÄN</t>
        </is>
      </c>
      <c r="G537" t="inlineStr">
        <is>
          <t>NORRKÖPING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44956</v>
      </c>
      <c r="E538" s="1" t="n">
        <v>46324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46324</v>
      </c>
      <c r="F539" t="inlineStr">
        <is>
          <t>ÖSTERGÖTLANDS LÄN</t>
        </is>
      </c>
      <c r="G539" t="inlineStr">
        <is>
          <t>NORRKÖPING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6636-2023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44966</v>
      </c>
      <c r="E540" s="1" t="n">
        <v>46324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46324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46324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46324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45726</v>
      </c>
      <c r="E544" s="1" t="n">
        <v>46324</v>
      </c>
      <c r="F544" t="inlineStr">
        <is>
          <t>ÖSTERGÖTLANDS LÄN</t>
        </is>
      </c>
      <c r="G544" t="inlineStr">
        <is>
          <t>NORRKÖPING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45723</v>
      </c>
      <c r="E545" s="1" t="n">
        <v>46324</v>
      </c>
      <c r="F545" t="inlineStr">
        <is>
          <t>ÖSTERGÖTLANDS LÄN</t>
        </is>
      </c>
      <c r="G545" t="inlineStr">
        <is>
          <t>NORRKÖPING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16696-2023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46324</v>
      </c>
      <c r="F546" t="inlineStr">
        <is>
          <t>ÖSTERGÖTLANDS LÄN</t>
        </is>
      </c>
      <c r="G546" t="inlineStr">
        <is>
          <t>NORRKÖPING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46324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30485-2026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46324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Allmännings- och besparingsskogar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59520-2023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46324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BillerudKorsnäs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44936</v>
      </c>
      <c r="E550" s="1" t="n">
        <v>46324</v>
      </c>
      <c r="F550" t="inlineStr">
        <is>
          <t>ÖSTERGÖTLANDS LÄN</t>
        </is>
      </c>
      <c r="G550" t="inlineStr">
        <is>
          <t>NORRKÖPING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12727-2022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44641</v>
      </c>
      <c r="E551" s="1" t="n">
        <v>46324</v>
      </c>
      <c r="F551" t="inlineStr">
        <is>
          <t>ÖSTERGÖTLANDS LÄN</t>
        </is>
      </c>
      <c r="G551" t="inlineStr">
        <is>
          <t>NORRKÖPING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29416-2026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46203</v>
      </c>
      <c r="E552" s="1" t="n">
        <v>46324</v>
      </c>
      <c r="F552" t="inlineStr">
        <is>
          <t>ÖSTERGÖTLANDS LÄN</t>
        </is>
      </c>
      <c r="G552" t="inlineStr">
        <is>
          <t>NORRKÖPING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57495-2023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45246</v>
      </c>
      <c r="E553" s="1" t="n">
        <v>46324</v>
      </c>
      <c r="F553" t="inlineStr">
        <is>
          <t>ÖSTERGÖTLANDS LÄN</t>
        </is>
      </c>
      <c r="G553" t="inlineStr">
        <is>
          <t>NORRKÖPING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46324</v>
      </c>
      <c r="F554" t="inlineStr">
        <is>
          <t>ÖSTERGÖTLANDS LÄN</t>
        </is>
      </c>
      <c r="G554" t="inlineStr">
        <is>
          <t>NORRKÖPING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46324</v>
      </c>
      <c r="F555" t="inlineStr">
        <is>
          <t>ÖSTERGÖTLANDS LÄN</t>
        </is>
      </c>
      <c r="G555" t="inlineStr">
        <is>
          <t>NORRKÖPING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46093</v>
      </c>
      <c r="E556" s="1" t="n">
        <v>46324</v>
      </c>
      <c r="F556" t="inlineStr">
        <is>
          <t>ÖSTERGÖTLANDS LÄN</t>
        </is>
      </c>
      <c r="G556" t="inlineStr">
        <is>
          <t>NORRKÖPING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44575</v>
      </c>
      <c r="E557" s="1" t="n">
        <v>46324</v>
      </c>
      <c r="F557" t="inlineStr">
        <is>
          <t>ÖSTERGÖTLANDS LÄN</t>
        </is>
      </c>
      <c r="G557" t="inlineStr">
        <is>
          <t>NORRKÖPING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46324</v>
      </c>
      <c r="F558" t="inlineStr">
        <is>
          <t>ÖSTERGÖTLANDS LÄN</t>
        </is>
      </c>
      <c r="G558" t="inlineStr">
        <is>
          <t>NORRKÖPING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48091-2023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46324</v>
      </c>
      <c r="F559" t="inlineStr">
        <is>
          <t>ÖSTERGÖTLANDS LÄN</t>
        </is>
      </c>
      <c r="G559" t="inlineStr">
        <is>
          <t>NORRKÖPING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17327-2024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45414</v>
      </c>
      <c r="E560" s="1" t="n">
        <v>46324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46738-2022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44851</v>
      </c>
      <c r="E561" s="1" t="n">
        <v>46324</v>
      </c>
      <c r="F561" t="inlineStr">
        <is>
          <t>ÖSTERGÖTLANDS LÄN</t>
        </is>
      </c>
      <c r="G561" t="inlineStr">
        <is>
          <t>NORRKÖPING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46324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13388-2026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46324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46324</v>
      </c>
      <c r="F564" t="inlineStr">
        <is>
          <t>ÖSTERGÖTLANDS LÄN</t>
        </is>
      </c>
      <c r="G564" t="inlineStr">
        <is>
          <t>NORRKÖPING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46324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13091-2026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46324</v>
      </c>
      <c r="F566" t="inlineStr">
        <is>
          <t>ÖSTERGÖTLANDS LÄN</t>
        </is>
      </c>
      <c r="G566" t="inlineStr">
        <is>
          <t>NORRKÖPING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46324</v>
      </c>
      <c r="F567" t="inlineStr">
        <is>
          <t>ÖSTERGÖTLANDS LÄN</t>
        </is>
      </c>
      <c r="G567" t="inlineStr">
        <is>
          <t>NORRKÖPING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33446-2023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45129</v>
      </c>
      <c r="E568" s="1" t="n">
        <v>46324</v>
      </c>
      <c r="F568" t="inlineStr">
        <is>
          <t>ÖSTERGÖTLANDS LÄN</t>
        </is>
      </c>
      <c r="G568" t="inlineStr">
        <is>
          <t>NORRKÖPING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28663-2024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46324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62875-2023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45272</v>
      </c>
      <c r="E570" s="1" t="n">
        <v>46324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46324</v>
      </c>
      <c r="F571" t="inlineStr">
        <is>
          <t>ÖSTERGÖTLANDS LÄN</t>
        </is>
      </c>
      <c r="G571" t="inlineStr">
        <is>
          <t>NORRKÖPING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51112-2024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46324</v>
      </c>
      <c r="F572" t="inlineStr">
        <is>
          <t>ÖSTERGÖTLANDS LÄN</t>
        </is>
      </c>
      <c r="G572" t="inlineStr">
        <is>
          <t>NORRKÖPING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15190-2024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45400</v>
      </c>
      <c r="E573" s="1" t="n">
        <v>46324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63417-2023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45274</v>
      </c>
      <c r="E574" s="1" t="n">
        <v>46324</v>
      </c>
      <c r="F574" t="inlineStr">
        <is>
          <t>ÖSTERGÖTLANDS LÄN</t>
        </is>
      </c>
      <c r="G574" t="inlineStr">
        <is>
          <t>NORRKÖPING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4770-2023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44957</v>
      </c>
      <c r="E575" s="1" t="n">
        <v>46324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29622-2022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44754</v>
      </c>
      <c r="E576" s="1" t="n">
        <v>46324</v>
      </c>
      <c r="F576" t="inlineStr">
        <is>
          <t>ÖSTERGÖTLANDS LÄN</t>
        </is>
      </c>
      <c r="G576" t="inlineStr">
        <is>
          <t>NORRKÖPING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15640-2024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45403</v>
      </c>
      <c r="E577" s="1" t="n">
        <v>46324</v>
      </c>
      <c r="F577" t="inlineStr">
        <is>
          <t>ÖSTERGÖTLANDS LÄN</t>
        </is>
      </c>
      <c r="G577" t="inlineStr">
        <is>
          <t>NORRKÖPING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14674-2026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46324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46101</v>
      </c>
      <c r="E579" s="1" t="n">
        <v>46324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41367-2023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45174</v>
      </c>
      <c r="E580" s="1" t="n">
        <v>46324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41375-2023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45174</v>
      </c>
      <c r="E581" s="1" t="n">
        <v>46324</v>
      </c>
      <c r="F581" t="inlineStr">
        <is>
          <t>ÖSTERGÖTLANDS LÄN</t>
        </is>
      </c>
      <c r="G581" t="inlineStr">
        <is>
          <t>NORRKÖPING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45033</v>
      </c>
      <c r="E582" s="1" t="n">
        <v>46324</v>
      </c>
      <c r="F582" t="inlineStr">
        <is>
          <t>ÖSTERGÖTLANDS LÄN</t>
        </is>
      </c>
      <c r="G582" t="inlineStr">
        <is>
          <t>NORRKÖPING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46324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45037</v>
      </c>
      <c r="E584" s="1" t="n">
        <v>46324</v>
      </c>
      <c r="F584" t="inlineStr">
        <is>
          <t>ÖSTERGÖTLANDS LÄN</t>
        </is>
      </c>
      <c r="G584" t="inlineStr">
        <is>
          <t>NORRKÖPING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46324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16689-2023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45030</v>
      </c>
      <c r="E586" s="1" t="n">
        <v>46324</v>
      </c>
      <c r="F586" t="inlineStr">
        <is>
          <t>ÖSTERGÖTLANDS LÄN</t>
        </is>
      </c>
      <c r="G586" t="inlineStr">
        <is>
          <t>NORRKÖPING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19114-2023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45048</v>
      </c>
      <c r="E587" s="1" t="n">
        <v>46324</v>
      </c>
      <c r="F587" t="inlineStr">
        <is>
          <t>ÖSTERGÖTLANDS LÄN</t>
        </is>
      </c>
      <c r="G587" t="inlineStr">
        <is>
          <t>NORRKÖPING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46213</v>
      </c>
      <c r="E588" s="1" t="n">
        <v>46324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46216</v>
      </c>
      <c r="E589" s="1" t="n">
        <v>46324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21093-2025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45777</v>
      </c>
      <c r="E590" s="1" t="n">
        <v>46324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45798</v>
      </c>
      <c r="E591" s="1" t="n">
        <v>46324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46324</v>
      </c>
      <c r="F592" t="inlineStr">
        <is>
          <t>ÖSTERGÖTLANDS LÄN</t>
        </is>
      </c>
      <c r="G592" t="inlineStr">
        <is>
          <t>NORRKÖPING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46324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14.9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15722-2026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46324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46213</v>
      </c>
      <c r="E595" s="1" t="n">
        <v>46324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31266-2026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46218</v>
      </c>
      <c r="E596" s="1" t="n">
        <v>46324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46217</v>
      </c>
      <c r="E597" s="1" t="n">
        <v>46324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46218</v>
      </c>
      <c r="E598" s="1" t="n">
        <v>46324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46217</v>
      </c>
      <c r="E599" s="1" t="n">
        <v>46324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21770-2025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46324</v>
      </c>
      <c r="F600" t="inlineStr">
        <is>
          <t>ÖSTERGÖTLANDS LÄN</t>
        </is>
      </c>
      <c r="G600" t="inlineStr">
        <is>
          <t>NORRKÖPING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45782</v>
      </c>
      <c r="E601" s="1" t="n">
        <v>46324</v>
      </c>
      <c r="F601" t="inlineStr">
        <is>
          <t>ÖSTERGÖTLANDS LÄN</t>
        </is>
      </c>
      <c r="G601" t="inlineStr">
        <is>
          <t>NORRKÖPING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45628</v>
      </c>
      <c r="E602" s="1" t="n">
        <v>46324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45671</v>
      </c>
      <c r="E603" s="1" t="n">
        <v>46324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17453-2026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46120</v>
      </c>
      <c r="E604" s="1" t="n">
        <v>46324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57733-2022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44897</v>
      </c>
      <c r="E605" s="1" t="n">
        <v>46324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46324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21909-2025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45784</v>
      </c>
      <c r="E607" s="1" t="n">
        <v>46324</v>
      </c>
      <c r="F607" t="inlineStr">
        <is>
          <t>ÖSTERGÖTLANDS LÄN</t>
        </is>
      </c>
      <c r="G607" t="inlineStr">
        <is>
          <t>NORRKÖPING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46120</v>
      </c>
      <c r="E608" s="1" t="n">
        <v>46324</v>
      </c>
      <c r="F608" t="inlineStr">
        <is>
          <t>ÖSTERGÖTLANDS LÄN</t>
        </is>
      </c>
      <c r="G608" t="inlineStr">
        <is>
          <t>NORRKÖPING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44935</v>
      </c>
      <c r="E609" s="1" t="n">
        <v>46324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44950</v>
      </c>
      <c r="E610" s="1" t="n">
        <v>46324</v>
      </c>
      <c r="F610" t="inlineStr">
        <is>
          <t>ÖSTERGÖTLANDS LÄN</t>
        </is>
      </c>
      <c r="G610" t="inlineStr">
        <is>
          <t>NORRKÖPING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46324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45786</v>
      </c>
      <c r="E612" s="1" t="n">
        <v>46324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Naturvårdsverket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22307-2025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45786</v>
      </c>
      <c r="E613" s="1" t="n">
        <v>46324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46178</v>
      </c>
      <c r="E614" s="1" t="n">
        <v>46324</v>
      </c>
      <c r="F614" t="inlineStr">
        <is>
          <t>ÖSTERGÖTLANDS LÄN</t>
        </is>
      </c>
      <c r="G614" t="inlineStr">
        <is>
          <t>NORRKÖPING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44565</v>
      </c>
      <c r="E615" s="1" t="n">
        <v>46324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Allmännings- och besparingsskogar</t>
        </is>
      </c>
      <c r="I615" t="n">
        <v>9.300000000000001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26398-2023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46324</v>
      </c>
      <c r="F616" t="inlineStr">
        <is>
          <t>ÖSTERGÖTLANDS LÄN</t>
        </is>
      </c>
      <c r="G616" t="inlineStr">
        <is>
          <t>NORRKÖPING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46225</v>
      </c>
      <c r="E617" s="1" t="n">
        <v>46324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18819-2026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46128</v>
      </c>
      <c r="E618" s="1" t="n">
        <v>46324</v>
      </c>
      <c r="F618" t="inlineStr">
        <is>
          <t>ÖSTERGÖTLANDS LÄN</t>
        </is>
      </c>
      <c r="G618" t="inlineStr">
        <is>
          <t>NORRKÖPING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23366-2024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45453</v>
      </c>
      <c r="E619" s="1" t="n">
        <v>46324</v>
      </c>
      <c r="F619" t="inlineStr">
        <is>
          <t>ÖSTERGÖTLANDS LÄN</t>
        </is>
      </c>
      <c r="G619" t="inlineStr">
        <is>
          <t>NORRKÖPING</t>
        </is>
      </c>
      <c r="I619" t="n">
        <v>5.4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23368-2024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45453</v>
      </c>
      <c r="E620" s="1" t="n">
        <v>46324</v>
      </c>
      <c r="F620" t="inlineStr">
        <is>
          <t>ÖSTERGÖTLANDS LÄN</t>
        </is>
      </c>
      <c r="G620" t="inlineStr">
        <is>
          <t>NORRKÖPING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45310</v>
      </c>
      <c r="E621" s="1" t="n">
        <v>46324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46231</v>
      </c>
      <c r="E622" s="1" t="n">
        <v>46324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46233</v>
      </c>
      <c r="E623" s="1" t="n">
        <v>46324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32069-2026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46233</v>
      </c>
      <c r="E624" s="1" t="n">
        <v>46324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20001-2026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46135</v>
      </c>
      <c r="E625" s="1" t="n">
        <v>46324</v>
      </c>
      <c r="F625" t="inlineStr">
        <is>
          <t>ÖSTERGÖTLANDS LÄN</t>
        </is>
      </c>
      <c r="G625" t="inlineStr">
        <is>
          <t>NORRKÖPING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19801-2026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46135</v>
      </c>
      <c r="E626" s="1" t="n">
        <v>46324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46324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46324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46324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39863-2025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45891</v>
      </c>
      <c r="E630" s="1" t="n">
        <v>46324</v>
      </c>
      <c r="F630" t="inlineStr">
        <is>
          <t>ÖSTERGÖTLANDS LÄN</t>
        </is>
      </c>
      <c r="G630" t="inlineStr">
        <is>
          <t>NORRKÖPING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46233</v>
      </c>
      <c r="E631" s="1" t="n">
        <v>46324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22881-2025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45790</v>
      </c>
      <c r="E632" s="1" t="n">
        <v>46324</v>
      </c>
      <c r="F632" t="inlineStr">
        <is>
          <t>ÖSTERGÖTLANDS LÄN</t>
        </is>
      </c>
      <c r="G632" t="inlineStr">
        <is>
          <t>NORRKÖPING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62176-2024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45657</v>
      </c>
      <c r="E633" s="1" t="n">
        <v>46324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20352-2026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46139</v>
      </c>
      <c r="E634" s="1" t="n">
        <v>46324</v>
      </c>
      <c r="F634" t="inlineStr">
        <is>
          <t>ÖSTERGÖTLANDS LÄN</t>
        </is>
      </c>
      <c r="G634" t="inlineStr">
        <is>
          <t>NORRKÖPING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38571-2025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45884</v>
      </c>
      <c r="E635" s="1" t="n">
        <v>46324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46205-2025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45924</v>
      </c>
      <c r="E636" s="1" t="n">
        <v>46324</v>
      </c>
      <c r="F636" t="inlineStr">
        <is>
          <t>ÖSTERGÖTLANDS LÄN</t>
        </is>
      </c>
      <c r="G636" t="inlineStr">
        <is>
          <t>NORRKÖPING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46324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45833</v>
      </c>
      <c r="E638" s="1" t="n">
        <v>46324</v>
      </c>
      <c r="F638" t="inlineStr">
        <is>
          <t>ÖSTERGÖTLANDS LÄN</t>
        </is>
      </c>
      <c r="G638" t="inlineStr">
        <is>
          <t>NORRKÖPING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48462-2022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44858</v>
      </c>
      <c r="E639" s="1" t="n">
        <v>46324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20583-2024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45436</v>
      </c>
      <c r="E640" s="1" t="n">
        <v>46324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45758</v>
      </c>
      <c r="E641" s="1" t="n">
        <v>46324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38511-2026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46282</v>
      </c>
      <c r="E642" s="1" t="n">
        <v>46324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38719-2025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45886</v>
      </c>
      <c r="E643" s="1" t="n">
        <v>46324</v>
      </c>
      <c r="F643" t="inlineStr">
        <is>
          <t>ÖSTERGÖTLANDS LÄN</t>
        </is>
      </c>
      <c r="G643" t="inlineStr">
        <is>
          <t>NORRKÖPING</t>
        </is>
      </c>
      <c r="I643" t="n">
        <v>14.3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54851-2025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45966</v>
      </c>
      <c r="E644" s="1" t="n">
        <v>46324</v>
      </c>
      <c r="F644" t="inlineStr">
        <is>
          <t>ÖSTERGÖTLANDS LÄN</t>
        </is>
      </c>
      <c r="G644" t="inlineStr">
        <is>
          <t>NORRKÖPING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39224-2025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45889</v>
      </c>
      <c r="E645" s="1" t="n">
        <v>46324</v>
      </c>
      <c r="F645" t="inlineStr">
        <is>
          <t>ÖSTERGÖTLANDS LÄN</t>
        </is>
      </c>
      <c r="G645" t="inlineStr">
        <is>
          <t>NORRKÖPING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13173-2022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44644</v>
      </c>
      <c r="E646" s="1" t="n">
        <v>46324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32813-2026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46241</v>
      </c>
      <c r="E647" s="1" t="n">
        <v>46324</v>
      </c>
      <c r="F647" t="inlineStr">
        <is>
          <t>ÖSTERGÖTLANDS LÄN</t>
        </is>
      </c>
      <c r="G647" t="inlineStr">
        <is>
          <t>NORRKÖPING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23941-2025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45796</v>
      </c>
      <c r="E648" s="1" t="n">
        <v>46324</v>
      </c>
      <c r="F648" t="inlineStr">
        <is>
          <t>ÖSTERGÖTLANDS LÄN</t>
        </is>
      </c>
      <c r="G648" t="inlineStr">
        <is>
          <t>NORRKÖPING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32885-2026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46324</v>
      </c>
      <c r="F649" t="inlineStr">
        <is>
          <t>ÖSTERGÖTLANDS LÄN</t>
        </is>
      </c>
      <c r="G649" t="inlineStr">
        <is>
          <t>NORRKÖPING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30156-2023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45110</v>
      </c>
      <c r="E650" s="1" t="n">
        <v>46324</v>
      </c>
      <c r="F650" t="inlineStr">
        <is>
          <t>ÖSTERGÖTLANDS LÄN</t>
        </is>
      </c>
      <c r="G650" t="inlineStr">
        <is>
          <t>NORRKÖPING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30159-2023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45110</v>
      </c>
      <c r="E651" s="1" t="n">
        <v>46324</v>
      </c>
      <c r="F651" t="inlineStr">
        <is>
          <t>ÖSTERGÖTLANDS LÄN</t>
        </is>
      </c>
      <c r="G651" t="inlineStr">
        <is>
          <t>NORRKÖPING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32814-2026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46241</v>
      </c>
      <c r="E652" s="1" t="n">
        <v>46324</v>
      </c>
      <c r="F652" t="inlineStr">
        <is>
          <t>ÖSTERGÖTLANDS LÄN</t>
        </is>
      </c>
      <c r="G652" t="inlineStr">
        <is>
          <t>NORRKÖPING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32967-2026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46244</v>
      </c>
      <c r="E653" s="1" t="n">
        <v>46324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33013-2026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46324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Allmännings- och besparingsskogar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46244</v>
      </c>
      <c r="E655" s="1" t="n">
        <v>46324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33703-2024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45520</v>
      </c>
      <c r="E656" s="1" t="n">
        <v>46324</v>
      </c>
      <c r="F656" t="inlineStr">
        <is>
          <t>ÖSTERGÖTLANDS LÄN</t>
        </is>
      </c>
      <c r="G656" t="inlineStr">
        <is>
          <t>NORRKÖPING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32926-2026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46244</v>
      </c>
      <c r="E657" s="1" t="n">
        <v>46324</v>
      </c>
      <c r="F657" t="inlineStr">
        <is>
          <t>ÖSTERGÖTLANDS LÄN</t>
        </is>
      </c>
      <c r="G657" t="inlineStr">
        <is>
          <t>NORRKÖPING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39861-2025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45891</v>
      </c>
      <c r="E658" s="1" t="n">
        <v>46324</v>
      </c>
      <c r="F658" t="inlineStr">
        <is>
          <t>ÖSTERGÖTLANDS LÄN</t>
        </is>
      </c>
      <c r="G658" t="inlineStr">
        <is>
          <t>NORRKÖPING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35701-2024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45532</v>
      </c>
      <c r="E659" s="1" t="n">
        <v>46324</v>
      </c>
      <c r="F659" t="inlineStr">
        <is>
          <t>ÖSTERGÖTLANDS LÄN</t>
        </is>
      </c>
      <c r="G659" t="inlineStr">
        <is>
          <t>NORRKÖPING</t>
        </is>
      </c>
      <c r="I659" t="n">
        <v>11.7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47435-2023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45202</v>
      </c>
      <c r="E660" s="1" t="n">
        <v>46324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32648-2023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45121</v>
      </c>
      <c r="E661" s="1" t="n">
        <v>46324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46289</v>
      </c>
      <c r="E662" s="1" t="n">
        <v>46324</v>
      </c>
      <c r="F662" t="inlineStr">
        <is>
          <t>ÖSTERGÖTLANDS LÄN</t>
        </is>
      </c>
      <c r="G662" t="inlineStr">
        <is>
          <t>NORRKÖPING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39426-2026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46288</v>
      </c>
      <c r="E663" s="1" t="n">
        <v>46324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Kyrkan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33075-2026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46245</v>
      </c>
      <c r="E664" s="1" t="n">
        <v>46324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46139</v>
      </c>
      <c r="E665" s="1" t="n">
        <v>46324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33124-2026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46324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45597</v>
      </c>
      <c r="E667" s="1" t="n">
        <v>46324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46050</v>
      </c>
      <c r="E668" s="1" t="n">
        <v>46324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Allmännings- och besparingsskogar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36302-2025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45867</v>
      </c>
      <c r="E669" s="1" t="n">
        <v>46324</v>
      </c>
      <c r="F669" t="inlineStr">
        <is>
          <t>ÖSTERGÖTLANDS LÄN</t>
        </is>
      </c>
      <c r="G669" t="inlineStr">
        <is>
          <t>NORRKÖPING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22651-2023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45071</v>
      </c>
      <c r="E670" s="1" t="n">
        <v>46324</v>
      </c>
      <c r="F670" t="inlineStr">
        <is>
          <t>ÖSTERGÖTLANDS LÄN</t>
        </is>
      </c>
      <c r="G670" t="inlineStr">
        <is>
          <t>NORRKÖPING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3070-2025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45678</v>
      </c>
      <c r="E671" s="1" t="n">
        <v>46324</v>
      </c>
      <c r="F671" t="inlineStr">
        <is>
          <t>ÖSTERGÖTLANDS LÄN</t>
        </is>
      </c>
      <c r="G671" t="inlineStr">
        <is>
          <t>NORRKÖPING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55941-2022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44889</v>
      </c>
      <c r="E672" s="1" t="n">
        <v>46324</v>
      </c>
      <c r="F672" t="inlineStr">
        <is>
          <t>ÖSTERGÖTLANDS LÄN</t>
        </is>
      </c>
      <c r="G672" t="inlineStr">
        <is>
          <t>NORRKÖPING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46245</v>
      </c>
      <c r="E673" s="1" t="n">
        <v>46324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39439-2026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46288</v>
      </c>
      <c r="E674" s="1" t="n">
        <v>46324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Kyrkan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32681-2025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45836</v>
      </c>
      <c r="E675" s="1" t="n">
        <v>46324</v>
      </c>
      <c r="F675" t="inlineStr">
        <is>
          <t>ÖSTERGÖTLANDS LÄN</t>
        </is>
      </c>
      <c r="G675" t="inlineStr">
        <is>
          <t>NORRKÖPING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3035-2025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45678</v>
      </c>
      <c r="E676" s="1" t="n">
        <v>46324</v>
      </c>
      <c r="F676" t="inlineStr">
        <is>
          <t>ÖSTERGÖTLANDS LÄN</t>
        </is>
      </c>
      <c r="G676" t="inlineStr">
        <is>
          <t>NORRKÖPING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45317</v>
      </c>
      <c r="E677" s="1" t="n">
        <v>46324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45178</v>
      </c>
      <c r="E678" s="1" t="n">
        <v>46324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47345-2023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45202</v>
      </c>
      <c r="E679" s="1" t="n">
        <v>46324</v>
      </c>
      <c r="F679" t="inlineStr">
        <is>
          <t>ÖSTERGÖTLANDS LÄN</t>
        </is>
      </c>
      <c r="G679" t="inlineStr">
        <is>
          <t>NORRKÖPING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46324</v>
      </c>
      <c r="F680" t="inlineStr">
        <is>
          <t>ÖSTERGÖTLANDS LÄN</t>
        </is>
      </c>
      <c r="G680" t="inlineStr">
        <is>
          <t>NORRKÖPING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18664-2023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45043</v>
      </c>
      <c r="E681" s="1" t="n">
        <v>46324</v>
      </c>
      <c r="F681" t="inlineStr">
        <is>
          <t>ÖSTERGÖTLANDS LÄN</t>
        </is>
      </c>
      <c r="G681" t="inlineStr">
        <is>
          <t>NORRKÖPING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40072-2026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46293</v>
      </c>
      <c r="E682" s="1" t="n">
        <v>46324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28600-2024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45478</v>
      </c>
      <c r="E683" s="1" t="n">
        <v>46324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27735-2023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45098</v>
      </c>
      <c r="E684" s="1" t="n">
        <v>46324</v>
      </c>
      <c r="F684" t="inlineStr">
        <is>
          <t>ÖSTERGÖTLANDS LÄN</t>
        </is>
      </c>
      <c r="G684" t="inlineStr">
        <is>
          <t>NORRKÖPING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45414</v>
      </c>
      <c r="E685" s="1" t="n">
        <v>46324</v>
      </c>
      <c r="F685" t="inlineStr">
        <is>
          <t>ÖSTERGÖTLANDS LÄN</t>
        </is>
      </c>
      <c r="G685" t="inlineStr">
        <is>
          <t>NORRKÖPING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43277-2023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45183</v>
      </c>
      <c r="E686" s="1" t="n">
        <v>46324</v>
      </c>
      <c r="F686" t="inlineStr">
        <is>
          <t>ÖSTERGÖTLANDS LÄN</t>
        </is>
      </c>
      <c r="G686" t="inlineStr">
        <is>
          <t>NORRKÖPING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18886-2025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46324</v>
      </c>
      <c r="F687" t="inlineStr">
        <is>
          <t>ÖSTERGÖTLANDS LÄN</t>
        </is>
      </c>
      <c r="G687" t="inlineStr">
        <is>
          <t>NORRKÖPING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18705-2023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45043</v>
      </c>
      <c r="E688" s="1" t="n">
        <v>46324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17582-2025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45757</v>
      </c>
      <c r="E689" s="1" t="n">
        <v>46324</v>
      </c>
      <c r="F689" t="inlineStr">
        <is>
          <t>ÖSTERGÖTLANDS LÄN</t>
        </is>
      </c>
      <c r="G689" t="inlineStr">
        <is>
          <t>NORRKÖPING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46324</v>
      </c>
      <c r="F690" t="inlineStr">
        <is>
          <t>ÖSTERGÖTLANDS LÄN</t>
        </is>
      </c>
      <c r="G690" t="inlineStr">
        <is>
          <t>NORRKÖPING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31883-2023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45118</v>
      </c>
      <c r="E691" s="1" t="n">
        <v>46324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9532-2025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45715</v>
      </c>
      <c r="E692" s="1" t="n">
        <v>46324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18537-2025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46324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9.300000000000001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70378-2021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44536</v>
      </c>
      <c r="E694" s="1" t="n">
        <v>46324</v>
      </c>
      <c r="F694" t="inlineStr">
        <is>
          <t>ÖSTERGÖTLANDS LÄN</t>
        </is>
      </c>
      <c r="G694" t="inlineStr">
        <is>
          <t>NORRKÖPING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36575-2023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45153</v>
      </c>
      <c r="E695" s="1" t="n">
        <v>46324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40724-2026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46294</v>
      </c>
      <c r="E696" s="1" t="n">
        <v>46324</v>
      </c>
      <c r="F696" t="inlineStr">
        <is>
          <t>ÖSTERGÖTLANDS LÄN</t>
        </is>
      </c>
      <c r="G696" t="inlineStr">
        <is>
          <t>NORRKÖPING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50092-2023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45215</v>
      </c>
      <c r="E697" s="1" t="n">
        <v>46324</v>
      </c>
      <c r="F697" t="inlineStr">
        <is>
          <t>ÖSTERGÖTLANDS LÄN</t>
        </is>
      </c>
      <c r="G697" t="inlineStr">
        <is>
          <t>NORRKÖPING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45096</v>
      </c>
      <c r="E698" s="1" t="n">
        <v>46324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6067-2022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44599</v>
      </c>
      <c r="E699" s="1" t="n">
        <v>46324</v>
      </c>
      <c r="F699" t="inlineStr">
        <is>
          <t>ÖSTERGÖTLANDS LÄN</t>
        </is>
      </c>
      <c r="G699" t="inlineStr">
        <is>
          <t>NORRKÖPING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12511-2023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44999</v>
      </c>
      <c r="E700" s="1" t="n">
        <v>46324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19334-2023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45049</v>
      </c>
      <c r="E701" s="1" t="n">
        <v>46324</v>
      </c>
      <c r="F701" t="inlineStr">
        <is>
          <t>ÖSTERGÖTLANDS LÄN</t>
        </is>
      </c>
      <c r="G701" t="inlineStr">
        <is>
          <t>NORRKÖPING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5118-2024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45330</v>
      </c>
      <c r="E702" s="1" t="n">
        <v>46324</v>
      </c>
      <c r="F702" t="inlineStr">
        <is>
          <t>ÖSTERGÖTLANDS LÄN</t>
        </is>
      </c>
      <c r="G702" t="inlineStr">
        <is>
          <t>NORRKÖPING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51124-2023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45219</v>
      </c>
      <c r="E703" s="1" t="n">
        <v>46324</v>
      </c>
      <c r="F703" t="inlineStr">
        <is>
          <t>ÖSTERGÖTLANDS LÄN</t>
        </is>
      </c>
      <c r="G703" t="inlineStr">
        <is>
          <t>NORRKÖPING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9781-2026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46324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Kyrkan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26294-2024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45468</v>
      </c>
      <c r="E705" s="1" t="n">
        <v>46324</v>
      </c>
      <c r="F705" t="inlineStr">
        <is>
          <t>ÖSTERGÖTLANDS LÄN</t>
        </is>
      </c>
      <c r="G705" t="inlineStr">
        <is>
          <t>NORRKÖPING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46324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46258</v>
      </c>
      <c r="E707" s="1" t="n">
        <v>46324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34800-2026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46324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47090-2023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45201</v>
      </c>
      <c r="E709" s="1" t="n">
        <v>46324</v>
      </c>
      <c r="F709" t="inlineStr">
        <is>
          <t>ÖSTERGÖTLANDS LÄN</t>
        </is>
      </c>
      <c r="G709" t="inlineStr">
        <is>
          <t>NORRKÖPING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9206-2023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44980</v>
      </c>
      <c r="E710" s="1" t="n">
        <v>46324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38968-2026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46324</v>
      </c>
      <c r="F711" t="inlineStr">
        <is>
          <t>ÖSTERGÖTLANDS LÄN</t>
        </is>
      </c>
      <c r="G711" t="inlineStr">
        <is>
          <t>NORRKÖPING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34787-2026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46258</v>
      </c>
      <c r="E712" s="1" t="n">
        <v>46324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34712-2026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46258</v>
      </c>
      <c r="E713" s="1" t="n">
        <v>46324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3329-2024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45317</v>
      </c>
      <c r="E714" s="1" t="n">
        <v>46324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11136-2025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45723</v>
      </c>
      <c r="E715" s="1" t="n">
        <v>46324</v>
      </c>
      <c r="F715" t="inlineStr">
        <is>
          <t>ÖSTERGÖTLANDS LÄN</t>
        </is>
      </c>
      <c r="G715" t="inlineStr">
        <is>
          <t>NORRKÖPING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10393-2024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45365</v>
      </c>
      <c r="E716" s="1" t="n">
        <v>46324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Kommuner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35200-2026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46260</v>
      </c>
      <c r="E717" s="1" t="n">
        <v>46324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35202-2026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46260</v>
      </c>
      <c r="E718" s="1" t="n">
        <v>46324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15869-2024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45405</v>
      </c>
      <c r="E719" s="1" t="n">
        <v>46324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19230-2025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45769</v>
      </c>
      <c r="E720" s="1" t="n">
        <v>46324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62376-2022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44923</v>
      </c>
      <c r="E721" s="1" t="n">
        <v>46324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44930</v>
      </c>
      <c r="E722" s="1" t="n">
        <v>46324</v>
      </c>
      <c r="F722" t="inlineStr">
        <is>
          <t>ÖSTERGÖTLANDS LÄN</t>
        </is>
      </c>
      <c r="G722" t="inlineStr">
        <is>
          <t>NORRKÖPING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19191-2025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45769</v>
      </c>
      <c r="E723" s="1" t="n">
        <v>46324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18661-2023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45043</v>
      </c>
      <c r="E724" s="1" t="n">
        <v>46324</v>
      </c>
      <c r="F724" t="inlineStr">
        <is>
          <t>ÖSTERGÖTLANDS LÄN</t>
        </is>
      </c>
      <c r="G724" t="inlineStr">
        <is>
          <t>NORRKÖPING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46307</v>
      </c>
      <c r="E725" s="1" t="n">
        <v>46324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26392-2023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46324</v>
      </c>
      <c r="F726" t="inlineStr">
        <is>
          <t>ÖSTERGÖTLANDS LÄN</t>
        </is>
      </c>
      <c r="G726" t="inlineStr">
        <is>
          <t>NORRKÖPING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7275-2023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44970</v>
      </c>
      <c r="E727" s="1" t="n">
        <v>46324</v>
      </c>
      <c r="F727" t="inlineStr">
        <is>
          <t>ÖSTERGÖTLANDS LÄN</t>
        </is>
      </c>
      <c r="G727" t="inlineStr">
        <is>
          <t>NORRKÖPING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50157-2022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44865</v>
      </c>
      <c r="E728" s="1" t="n">
        <v>46324</v>
      </c>
      <c r="F728" t="inlineStr">
        <is>
          <t>ÖSTERGÖTLANDS LÄN</t>
        </is>
      </c>
      <c r="G728" t="inlineStr">
        <is>
          <t>NORRKÖPING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44943</v>
      </c>
      <c r="E729" s="1" t="n">
        <v>46324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49462-2023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45211</v>
      </c>
      <c r="E730" s="1" t="n">
        <v>46324</v>
      </c>
      <c r="F730" t="inlineStr">
        <is>
          <t>ÖSTERGÖTLANDS LÄN</t>
        </is>
      </c>
      <c r="G730" t="inlineStr">
        <is>
          <t>NORRKÖPING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49465-2023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45211</v>
      </c>
      <c r="E731" s="1" t="n">
        <v>46324</v>
      </c>
      <c r="F731" t="inlineStr">
        <is>
          <t>ÖSTERGÖTLANDS LÄN</t>
        </is>
      </c>
      <c r="G731" t="inlineStr">
        <is>
          <t>NORRKÖPING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50117-2023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45215</v>
      </c>
      <c r="E732" s="1" t="n">
        <v>46324</v>
      </c>
      <c r="F732" t="inlineStr">
        <is>
          <t>ÖSTERGÖTLANDS LÄN</t>
        </is>
      </c>
      <c r="G732" t="inlineStr">
        <is>
          <t>NORRKÖPING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20587-2024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45436</v>
      </c>
      <c r="E733" s="1" t="n">
        <v>46324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47846-2023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45204</v>
      </c>
      <c r="E734" s="1" t="n">
        <v>46324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Naturvårdsverket</t>
        </is>
      </c>
      <c r="I734" t="n">
        <v>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45356</v>
      </c>
      <c r="E735" s="1" t="n">
        <v>46324</v>
      </c>
      <c r="F735" t="inlineStr">
        <is>
          <t>ÖSTERGÖTLANDS LÄN</t>
        </is>
      </c>
      <c r="G735" t="inlineStr">
        <is>
          <t>NORRKÖPING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50112-2023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45215</v>
      </c>
      <c r="E736" s="1" t="n">
        <v>46324</v>
      </c>
      <c r="F736" t="inlineStr">
        <is>
          <t>ÖSTERGÖTLANDS LÄN</t>
        </is>
      </c>
      <c r="G736" t="inlineStr">
        <is>
          <t>NORRKÖPING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34977-2023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45141</v>
      </c>
      <c r="E737" s="1" t="n">
        <v>46324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44945</v>
      </c>
      <c r="E738" s="1" t="n">
        <v>46324</v>
      </c>
      <c r="F738" t="inlineStr">
        <is>
          <t>ÖSTERGÖTLANDS LÄN</t>
        </is>
      </c>
      <c r="G738" t="inlineStr">
        <is>
          <t>NORRKÖPING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1923-2023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44936</v>
      </c>
      <c r="E739" s="1" t="n">
        <v>46324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35795-2026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46265</v>
      </c>
      <c r="E740" s="1" t="n">
        <v>46324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35669-2026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46265</v>
      </c>
      <c r="E741" s="1" t="n">
        <v>46324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42581-2026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46308</v>
      </c>
      <c r="E742" s="1" t="n">
        <v>46324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13579-2023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45006</v>
      </c>
      <c r="E743" s="1" t="n">
        <v>46324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46610-2024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45582</v>
      </c>
      <c r="E744" s="1" t="n">
        <v>46324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13146-2024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46324</v>
      </c>
      <c r="F745" t="inlineStr">
        <is>
          <t>ÖSTERGÖTLANDS LÄN</t>
        </is>
      </c>
      <c r="G745" t="inlineStr">
        <is>
          <t>NORRKÖPING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36368-2026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46268</v>
      </c>
      <c r="E746" s="1" t="n">
        <v>46324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BillerudKorsnäs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43071-2026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46311</v>
      </c>
      <c r="E747" s="1" t="n">
        <v>46324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41083-2022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44825</v>
      </c>
      <c r="E748" s="1" t="n">
        <v>46324</v>
      </c>
      <c r="F748" t="inlineStr">
        <is>
          <t>ÖSTERGÖTLANDS LÄN</t>
        </is>
      </c>
      <c r="G748" t="inlineStr">
        <is>
          <t>NORRKÖPING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43144-2026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46311</v>
      </c>
      <c r="E749" s="1" t="n">
        <v>46324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16705-2023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45030</v>
      </c>
      <c r="E750" s="1" t="n">
        <v>46324</v>
      </c>
      <c r="F750" t="inlineStr">
        <is>
          <t>ÖSTERGÖTLANDS LÄN</t>
        </is>
      </c>
      <c r="G750" t="inlineStr">
        <is>
          <t>NORRKÖPING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2021-2023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44939</v>
      </c>
      <c r="E751" s="1" t="n">
        <v>46324</v>
      </c>
      <c r="F751" t="inlineStr">
        <is>
          <t>ÖSTERGÖTLANDS LÄN</t>
        </is>
      </c>
      <c r="G751" t="inlineStr">
        <is>
          <t>NORRKÖPING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27579-2023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45093</v>
      </c>
      <c r="E752" s="1" t="n">
        <v>46324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14485-2023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45012</v>
      </c>
      <c r="E753" s="1" t="n">
        <v>46324</v>
      </c>
      <c r="F753" t="inlineStr">
        <is>
          <t>ÖSTERGÖTLANDS LÄN</t>
        </is>
      </c>
      <c r="G753" t="inlineStr">
        <is>
          <t>NORRKÖPING</t>
        </is>
      </c>
      <c r="I753" t="n">
        <v>9.9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45153</v>
      </c>
      <c r="E754" s="1" t="n">
        <v>46324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8426-2025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45709</v>
      </c>
      <c r="E755" s="1" t="n">
        <v>46324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50960-2022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44867</v>
      </c>
      <c r="E756" s="1" t="n">
        <v>46324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Allmännings- och besparingsskogar</t>
        </is>
      </c>
      <c r="I756" t="n">
        <v>10.3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11737-2024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45373</v>
      </c>
      <c r="E757" s="1" t="n">
        <v>46324</v>
      </c>
      <c r="F757" t="inlineStr">
        <is>
          <t>ÖSTERGÖTLANDS LÄN</t>
        </is>
      </c>
      <c r="G757" t="inlineStr">
        <is>
          <t>NORRKÖPING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9201-2023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44980</v>
      </c>
      <c r="E758" s="1" t="n">
        <v>46324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15177-2023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45016</v>
      </c>
      <c r="E759" s="1" t="n">
        <v>46324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43639-2026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46315</v>
      </c>
      <c r="E760" s="1" t="n">
        <v>46324</v>
      </c>
      <c r="F760" t="inlineStr">
        <is>
          <t>ÖSTERGÖTLANDS LÄN</t>
        </is>
      </c>
      <c r="G760" t="inlineStr">
        <is>
          <t>NORRKÖPING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43638-2026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46315</v>
      </c>
      <c r="E761" s="1" t="n">
        <v>46324</v>
      </c>
      <c r="F761" t="inlineStr">
        <is>
          <t>ÖSTERGÖTLANDS LÄN</t>
        </is>
      </c>
      <c r="G761" t="inlineStr">
        <is>
          <t>NORRKÖPING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43859-2026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46316</v>
      </c>
      <c r="E762" s="1" t="n">
        <v>46324</v>
      </c>
      <c r="F762" t="inlineStr">
        <is>
          <t>ÖSTERGÖTLANDS LÄN</t>
        </is>
      </c>
      <c r="G762" t="inlineStr">
        <is>
          <t>NORRKÖPING</t>
        </is>
      </c>
      <c r="I762" t="n">
        <v>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45254</v>
      </c>
      <c r="E763" s="1" t="n">
        <v>46324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14587-2025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45742</v>
      </c>
      <c r="E764" s="1" t="n">
        <v>46324</v>
      </c>
      <c r="F764" t="inlineStr">
        <is>
          <t>ÖSTERGÖTLANDS LÄN</t>
        </is>
      </c>
      <c r="G764" t="inlineStr">
        <is>
          <t>NORRKÖPING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43646-2026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46316</v>
      </c>
      <c r="E765" s="1" t="n">
        <v>46324</v>
      </c>
      <c r="F765" t="inlineStr">
        <is>
          <t>ÖSTERGÖTLANDS LÄN</t>
        </is>
      </c>
      <c r="G765" t="inlineStr">
        <is>
          <t>NORRKÖPING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45497</v>
      </c>
      <c r="E766" s="1" t="n">
        <v>46324</v>
      </c>
      <c r="F766" t="inlineStr">
        <is>
          <t>ÖSTERGÖTLANDS LÄN</t>
        </is>
      </c>
      <c r="G766" t="inlineStr">
        <is>
          <t>NORRKÖPING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49487-2022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44861</v>
      </c>
      <c r="E767" s="1" t="n">
        <v>46324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7709-2022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44607</v>
      </c>
      <c r="E768" s="1" t="n">
        <v>46324</v>
      </c>
      <c r="F768" t="inlineStr">
        <is>
          <t>ÖSTERGÖTLANDS LÄN</t>
        </is>
      </c>
      <c r="G768" t="inlineStr">
        <is>
          <t>NORRKÖPING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45534-2025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45922</v>
      </c>
      <c r="E769" s="1" t="n">
        <v>46324</v>
      </c>
      <c r="F769" t="inlineStr">
        <is>
          <t>ÖSTERGÖTLANDS LÄN</t>
        </is>
      </c>
      <c r="G769" t="inlineStr">
        <is>
          <t>NORRKÖPING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11031-2026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46079</v>
      </c>
      <c r="E770" s="1" t="n">
        <v>46324</v>
      </c>
      <c r="F770" t="inlineStr">
        <is>
          <t>ÖSTERGÖTLANDS LÄN</t>
        </is>
      </c>
      <c r="G770" t="inlineStr">
        <is>
          <t>NORRKÖPING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57405-2024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45629</v>
      </c>
      <c r="E771" s="1" t="n">
        <v>46324</v>
      </c>
      <c r="F771" t="inlineStr">
        <is>
          <t>ÖSTERGÖTLANDS LÄN</t>
        </is>
      </c>
      <c r="G771" t="inlineStr">
        <is>
          <t>NORRKÖPING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9696-2025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45716</v>
      </c>
      <c r="E772" s="1" t="n">
        <v>46324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31834-2023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45106</v>
      </c>
      <c r="E773" s="1" t="n">
        <v>46324</v>
      </c>
      <c r="F773" t="inlineStr">
        <is>
          <t>ÖSTERGÖTLANDS LÄN</t>
        </is>
      </c>
      <c r="G773" t="inlineStr">
        <is>
          <t>NORRKÖPING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45706</v>
      </c>
      <c r="E774" s="1" t="n">
        <v>46324</v>
      </c>
      <c r="F774" t="inlineStr">
        <is>
          <t>ÖSTERGÖTLANDS LÄN</t>
        </is>
      </c>
      <c r="G774" t="inlineStr">
        <is>
          <t>NORRKÖPING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19298-2025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45769</v>
      </c>
      <c r="E775" s="1" t="n">
        <v>46324</v>
      </c>
      <c r="F775" t="inlineStr">
        <is>
          <t>ÖSTERGÖTLANDS LÄN</t>
        </is>
      </c>
      <c r="G775" t="inlineStr">
        <is>
          <t>NORRKÖPING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62049-2023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45266</v>
      </c>
      <c r="E776" s="1" t="n">
        <v>46324</v>
      </c>
      <c r="F776" t="inlineStr">
        <is>
          <t>ÖSTERGÖTLANDS LÄN</t>
        </is>
      </c>
      <c r="G776" t="inlineStr">
        <is>
          <t>NORRKÖPING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20356-2024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45435</v>
      </c>
      <c r="E777" s="1" t="n">
        <v>46324</v>
      </c>
      <c r="F777" t="inlineStr">
        <is>
          <t>ÖSTERGÖTLANDS LÄN</t>
        </is>
      </c>
      <c r="G777" t="inlineStr">
        <is>
          <t>NORRKÖPING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8517-2023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44977</v>
      </c>
      <c r="E778" s="1" t="n">
        <v>46324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8432-2025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45709</v>
      </c>
      <c r="E779" s="1" t="n">
        <v>46324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31362-2023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45114</v>
      </c>
      <c r="E780" s="1" t="n">
        <v>46324</v>
      </c>
      <c r="F780" t="inlineStr">
        <is>
          <t>ÖSTERGÖTLANDS LÄN</t>
        </is>
      </c>
      <c r="G780" t="inlineStr">
        <is>
          <t>NORRKÖPING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11344-2022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44630</v>
      </c>
      <c r="E781" s="1" t="n">
        <v>46324</v>
      </c>
      <c r="F781" t="inlineStr">
        <is>
          <t>ÖSTERGÖTLANDS LÄN</t>
        </is>
      </c>
      <c r="G781" t="inlineStr">
        <is>
          <t>NORRKÖPING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14031-2023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45008</v>
      </c>
      <c r="E782" s="1" t="n">
        <v>46324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46324</v>
      </c>
      <c r="F783" t="inlineStr">
        <is>
          <t>ÖSTERGÖTLANDS LÄN</t>
        </is>
      </c>
      <c r="G783" t="inlineStr">
        <is>
          <t>NORRKÖPING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32574-2022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44783</v>
      </c>
      <c r="E784" s="1" t="n">
        <v>46324</v>
      </c>
      <c r="F784" t="inlineStr">
        <is>
          <t>ÖSTERGÖTLANDS LÄN</t>
        </is>
      </c>
      <c r="G784" t="inlineStr">
        <is>
          <t>NORRKÖPING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8569-2023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44977</v>
      </c>
      <c r="E785" s="1" t="n">
        <v>46324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37811-2026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46279</v>
      </c>
      <c r="E786" s="1" t="n">
        <v>46324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37958-2026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46324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32623-2026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46240</v>
      </c>
      <c r="E788" s="1" t="n">
        <v>46324</v>
      </c>
      <c r="F788" t="inlineStr">
        <is>
          <t>ÖSTERGÖTLANDS LÄN</t>
        </is>
      </c>
      <c r="G788" t="inlineStr">
        <is>
          <t>NORRKÖPING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23051-2022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44719</v>
      </c>
      <c r="E789" s="1" t="n">
        <v>46324</v>
      </c>
      <c r="F789" t="inlineStr">
        <is>
          <t>ÖSTERGÖTLANDS LÄN</t>
        </is>
      </c>
      <c r="G789" t="inlineStr">
        <is>
          <t>NORRKÖPING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14503-2023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45012</v>
      </c>
      <c r="E790" s="1" t="n">
        <v>46324</v>
      </c>
      <c r="F790" t="inlineStr">
        <is>
          <t>ÖSTERGÖTLANDS LÄN</t>
        </is>
      </c>
      <c r="G790" t="inlineStr">
        <is>
          <t>NORRKÖPING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37915-2026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46324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38017-2026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46324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2320-2024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45310</v>
      </c>
      <c r="E793" s="1" t="n">
        <v>46324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18128-2025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45761</v>
      </c>
      <c r="E794" s="1" t="n">
        <v>46324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44935-2026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46323</v>
      </c>
      <c r="E795" s="1" t="n">
        <v>46324</v>
      </c>
      <c r="F795" t="inlineStr">
        <is>
          <t>ÖSTERGÖTLANDS LÄN</t>
        </is>
      </c>
      <c r="G795" t="inlineStr">
        <is>
          <t>NORRKÖPING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36571-2023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45153</v>
      </c>
      <c r="E796" s="1" t="n">
        <v>46324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30315-2024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45490</v>
      </c>
      <c r="E797" s="1" t="n">
        <v>46324</v>
      </c>
      <c r="F797" t="inlineStr">
        <is>
          <t>ÖSTERGÖTLANDS LÄN</t>
        </is>
      </c>
      <c r="G797" t="inlineStr">
        <is>
          <t>NORRKÖPING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46324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1519-2021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44313</v>
      </c>
      <c r="E799" s="1" t="n">
        <v>46324</v>
      </c>
      <c r="F799" t="inlineStr">
        <is>
          <t>ÖSTERGÖTLANDS LÄN</t>
        </is>
      </c>
      <c r="G799" t="inlineStr">
        <is>
          <t>NORRKÖPING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161-2021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44230</v>
      </c>
      <c r="E800" s="1" t="n">
        <v>46324</v>
      </c>
      <c r="F800" t="inlineStr">
        <is>
          <t>ÖSTERGÖTLANDS LÄN</t>
        </is>
      </c>
      <c r="G800" t="inlineStr">
        <is>
          <t>NORRKÖPING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211-2024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45316</v>
      </c>
      <c r="E801" s="1" t="n">
        <v>46324</v>
      </c>
      <c r="F801" t="inlineStr">
        <is>
          <t>ÖSTERGÖTLANDS LÄN</t>
        </is>
      </c>
      <c r="G801" t="inlineStr">
        <is>
          <t>NORRKÖPING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1484-2022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44638</v>
      </c>
      <c r="E802" s="1" t="n">
        <v>46324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1678-2022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44649</v>
      </c>
      <c r="E803" s="1" t="n">
        <v>46324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10364-2021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44551</v>
      </c>
      <c r="E804" s="1" t="n">
        <v>46324</v>
      </c>
      <c r="F804" t="inlineStr">
        <is>
          <t>ÖSTERGÖTLANDS LÄN</t>
        </is>
      </c>
      <c r="G804" t="inlineStr">
        <is>
          <t>NORRKÖPING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46324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46324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46324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2481-2022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44692</v>
      </c>
      <c r="E808" s="1" t="n">
        <v>46324</v>
      </c>
      <c r="F808" t="inlineStr">
        <is>
          <t>ÖSTERGÖTLANDS LÄN</t>
        </is>
      </c>
      <c r="G808" t="inlineStr">
        <is>
          <t>NORRKÖPING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4012-2024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46324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1486-2025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45789</v>
      </c>
      <c r="E810" s="1" t="n">
        <v>46324</v>
      </c>
      <c r="F810" t="inlineStr">
        <is>
          <t>ÖSTERGÖTLANDS LÄN</t>
        </is>
      </c>
      <c r="G810" t="inlineStr">
        <is>
          <t>NORRKÖPING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1433-2025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45784</v>
      </c>
      <c r="E811" s="1" t="n">
        <v>46324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2026-10-29T03:13:50Z</dcterms:created>
  <dcterms:modified xmlns:dcterms="http://purl.org/dc/terms/" xmlns:xsi="http://www.w3.org/2001/XMLSchema-instance" xsi:type="dcterms:W3CDTF">2026-10-29T03:13:51Z</dcterms:modified>
</cp:coreProperties>
</file>