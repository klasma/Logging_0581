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46295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46295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46295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46295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46295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46295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46295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46295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46295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46295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46295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46295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46295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46295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46295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46295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30829-2026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46212</v>
      </c>
      <c r="E36" s="1" t="n">
        <v>46295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11</v>
      </c>
      <c r="U36" t="n">
        <v>9</v>
      </c>
      <c r="V36" s="2" t="inlineStr">
        <is>
          <t>Björksplintborre
Kornknutmossa
Stor aspticka
Spillkråka
Fläcknycklar</t>
        </is>
      </c>
      <c r="W36">
        <f>HYPERLINK("https://klasma.github.io/Logging_0581/artfynd/A 30829-2026 artfynd.xlsx", "A 30829-2026")</f>
        <v/>
      </c>
      <c r="X36">
        <f>HYPERLINK("https://klasma.github.io/Logging_0581/kartor/A 30829-2026 karta.png", "A 30829-2026")</f>
        <v/>
      </c>
      <c r="Y36">
        <f>HYPERLINK("https://klasma.github.io/Logging_0581/kartor_geotiff/A 30829-2026 georefererad karta.tif", "A 30829-2026")</f>
        <v/>
      </c>
      <c r="AA36">
        <f>HYPERLINK("https://klasma.github.io/Logging_0581/klagomål/A 30829-2026 FSC-klagomål.docx", "A 30829-2026")</f>
        <v/>
      </c>
      <c r="AB36">
        <f>HYPERLINK("https://klasma.github.io/Logging_0581/klagomålsmail/A 30829-2026 FSC-klagomål mail.docx", "A 30829-2026")</f>
        <v/>
      </c>
      <c r="AC36">
        <f>HYPERLINK("https://klasma.github.io/Logging_0581/tillsyn/A 30829-2026 tillsynsbegäran.docx", "A 30829-2026")</f>
        <v/>
      </c>
      <c r="AD36">
        <f>HYPERLINK("https://klasma.github.io/Logging_0581/tillsynsmail/A 30829-2026 tillsynsbegäran mail.docx", "A 30829-2026")</f>
        <v/>
      </c>
      <c r="AE36">
        <f>HYPERLINK("https://klasma.github.io/Logging_0581/fåglar/A 30829-2026 prioriterade fågelarter.docx", "A 30829-2026")</f>
        <v/>
      </c>
    </row>
    <row r="37" ht="15" customHeight="1">
      <c r="A37" t="inlineStr">
        <is>
          <t>A 21536-2025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46295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HYPERLINK("https://klasma.github.io/Logging_0581/artfynd/A 21536-2025 artfynd.xlsx", "A 21536-2025")</f>
        <v/>
      </c>
      <c r="X37">
        <f>HYPERLINK("https://klasma.github.io/Logging_0581/kartor/A 21536-2025 karta.png", "A 21536-2025")</f>
        <v/>
      </c>
      <c r="Y37">
        <f>HYPERLINK("https://klasma.github.io/Logging_0581/kartor_geotiff/A 21536-2025 georefererad karta.tif", "A 21536-2025")</f>
        <v/>
      </c>
      <c r="AA37">
        <f>HYPERLINK("https://klasma.github.io/Logging_0581/klagomål/A 21536-2025 FSC-klagomål.docx", "A 21536-2025")</f>
        <v/>
      </c>
      <c r="AB37">
        <f>HYPERLINK("https://klasma.github.io/Logging_0581/klagomålsmail/A 21536-2025 FSC-klagomål mail.docx", "A 21536-2025")</f>
        <v/>
      </c>
      <c r="AC37">
        <f>HYPERLINK("https://klasma.github.io/Logging_0581/tillsyn/A 21536-2025 tillsynsbegäran.docx", "A 21536-2025")</f>
        <v/>
      </c>
      <c r="AD37">
        <f>HYPERLINK("https://klasma.github.io/Logging_0581/tillsynsmail/A 21536-2025 tillsynsbegäran mail.docx", "A 21536-2025")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46295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46295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46295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46295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46295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46295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4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46295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46295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46295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46295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46295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46295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46295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46295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46295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35736-2025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45860</v>
      </c>
      <c r="E56" s="1" t="n">
        <v>46295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11.5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Vedskivlav
Tjäder</t>
        </is>
      </c>
      <c r="W56">
        <f>HYPERLINK("https://klasma.github.io/Logging_0581/artfynd/A 35736-2025 artfynd.xlsx", "A 35736-2025")</f>
        <v/>
      </c>
      <c r="X56">
        <f>HYPERLINK("https://klasma.github.io/Logging_0581/kartor/A 35736-2025 karta.png", "A 35736-2025")</f>
        <v/>
      </c>
      <c r="Y56">
        <f>HYPERLINK("https://klasma.github.io/Logging_0581/kartor_geotiff/A 35736-2025 georefererad karta.tif", "A 35736-2025")</f>
        <v/>
      </c>
      <c r="AA56">
        <f>HYPERLINK("https://klasma.github.io/Logging_0581/klagomål/A 35736-2025 FSC-klagomål.docx", "A 35736-2025")</f>
        <v/>
      </c>
      <c r="AB56">
        <f>HYPERLINK("https://klasma.github.io/Logging_0581/klagomålsmail/A 35736-2025 FSC-klagomål mail.docx", "A 35736-2025")</f>
        <v/>
      </c>
      <c r="AC56">
        <f>HYPERLINK("https://klasma.github.io/Logging_0581/tillsyn/A 35736-2025 tillsynsbegäran.docx", "A 35736-2025")</f>
        <v/>
      </c>
      <c r="AD56">
        <f>HYPERLINK("https://klasma.github.io/Logging_0581/tillsynsmail/A 35736-2025 tillsynsbegäran mail.docx", "A 35736-2025")</f>
        <v/>
      </c>
      <c r="AE56">
        <f>HYPERLINK("https://klasma.github.io/Logging_0581/fåglar/A 35736-2025 prioriterade fågelarter.docx", "A 35736-2025")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46295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46295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46295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6.1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2</v>
      </c>
      <c r="V59" s="2" t="inlineStr">
        <is>
          <t>Dvärgbägarlav
Vedskivlav
Mattlummer</t>
        </is>
      </c>
      <c r="W59">
        <f>HYPERLINK("https://klasma.github.io/Logging_0581/artfynd/A 12692-2025 artfynd.xlsx", "A 12692-2025")</f>
        <v/>
      </c>
      <c r="X59">
        <f>HYPERLINK("https://klasma.github.io/Logging_0581/kartor/A 12692-2025 karta.png", "A 12692-2025")</f>
        <v/>
      </c>
      <c r="Y59">
        <f>HYPERLINK("https://klasma.github.io/Logging_0581/kartor_geotiff/A 12692-2025 georefererad karta.tif", "A 12692-2025")</f>
        <v/>
      </c>
      <c r="AA59">
        <f>HYPERLINK("https://klasma.github.io/Logging_0581/klagomål/A 12692-2025 FSC-klagomål.docx", "A 12692-2025")</f>
        <v/>
      </c>
      <c r="AB59">
        <f>HYPERLINK("https://klasma.github.io/Logging_0581/klagomålsmail/A 12692-2025 FSC-klagomål mail.docx", "A 12692-2025")</f>
        <v/>
      </c>
      <c r="AC59">
        <f>HYPERLINK("https://klasma.github.io/Logging_0581/tillsyn/A 12692-2025 tillsynsbegäran.docx", "A 12692-2025")</f>
        <v/>
      </c>
      <c r="AD59">
        <f>HYPERLINK("https://klasma.github.io/Logging_0581/tillsynsmail/A 12692-2025 tillsynsbegäran mail.docx", "A 12692-2025")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46295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46295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Slåtterfibbla
Svinrot
Mattlummer</t>
        </is>
      </c>
      <c r="W61">
        <f>HYPERLINK("https://klasma.github.io/Logging_0581/artfynd/A 28062-2022 artfynd.xlsx", "A 28062-2022")</f>
        <v/>
      </c>
      <c r="X61">
        <f>HYPERLINK("https://klasma.github.io/Logging_0581/kartor/A 28062-2022 karta.png", "A 28062-2022")</f>
        <v/>
      </c>
      <c r="Y61">
        <f>HYPERLINK("https://klasma.github.io/Logging_0581/kartor_geotiff/A 28062-2022 georefererad karta.tif", "A 28062-2022")</f>
        <v/>
      </c>
      <c r="AA61">
        <f>HYPERLINK("https://klasma.github.io/Logging_0581/klagomål/A 28062-2022 FSC-klagomål.docx", "A 28062-2022")</f>
        <v/>
      </c>
      <c r="AB61">
        <f>HYPERLINK("https://klasma.github.io/Logging_0581/klagomålsmail/A 28062-2022 FSC-klagomål mail.docx", "A 28062-2022")</f>
        <v/>
      </c>
      <c r="AC61">
        <f>HYPERLINK("https://klasma.github.io/Logging_0581/tillsyn/A 28062-2022 tillsynsbegäran.docx", "A 28062-2022")</f>
        <v/>
      </c>
      <c r="AD61">
        <f>HYPERLINK("https://klasma.github.io/Logging_0581/tillsynsmail/A 28062-2022 tillsynsbegäran mail.docx", "A 28062-2022")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46295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46295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46295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46295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46295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46295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46295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36366-2026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46268</v>
      </c>
      <c r="E70" s="1" t="n">
        <v>46295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BillerudKorsnäs AB</t>
        </is>
      </c>
      <c r="I70" t="n">
        <v>2.5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Knärot
Tallticka
Blåmossa</t>
        </is>
      </c>
      <c r="W70">
        <f>HYPERLINK("https://klasma.github.io/Logging_0581/artfynd/A 36366-2026 artfynd.xlsx", "A 36366-2026")</f>
        <v/>
      </c>
      <c r="X70">
        <f>HYPERLINK("https://klasma.github.io/Logging_0581/kartor/A 36366-2026 karta.png", "A 36366-2026")</f>
        <v/>
      </c>
      <c r="Y70">
        <f>HYPERLINK("https://klasma.github.io/Logging_0581/kartor_geotiff/A 36366-2026 georefererad karta.tif", "A 36366-2026")</f>
        <v/>
      </c>
      <c r="Z70">
        <f>HYPERLINK("https://klasma.github.io/Logging_0581/knärot/A 36366-2026 karta knärot.png", "A 36366-2026")</f>
        <v/>
      </c>
      <c r="AA70">
        <f>HYPERLINK("https://klasma.github.io/Logging_0581/klagomål/A 36366-2026 FSC-klagomål.docx", "A 36366-2026")</f>
        <v/>
      </c>
      <c r="AB70">
        <f>HYPERLINK("https://klasma.github.io/Logging_0581/klagomålsmail/A 36366-2026 FSC-klagomål mail.docx", "A 36366-2026")</f>
        <v/>
      </c>
      <c r="AC70">
        <f>HYPERLINK("https://klasma.github.io/Logging_0581/tillsyn/A 36366-2026 tillsynsbegäran.docx", "A 36366-2026")</f>
        <v/>
      </c>
      <c r="AD70">
        <f>HYPERLINK("https://klasma.github.io/Logging_0581/tillsynsmail/A 36366-2026 tillsynsbegäran mail.docx", "A 36366-2026")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46295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46295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46295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46295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46295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46295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46295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Sparvuggla</t>
        </is>
      </c>
      <c r="W78">
        <f>HYPERLINK("https://klasma.github.io/Logging_0581/artfynd/A 46955-2023 artfynd.xlsx", "A 46955-2023")</f>
        <v/>
      </c>
      <c r="X78">
        <f>HYPERLINK("https://klasma.github.io/Logging_0581/kartor/A 46955-2023 karta.png", "A 46955-2023")</f>
        <v/>
      </c>
      <c r="Y78">
        <f>HYPERLINK("https://klasma.github.io/Logging_0581/kartor_geotiff/A 46955-2023 georefererad karta.tif", "A 46955-2023")</f>
        <v/>
      </c>
      <c r="AA78">
        <f>HYPERLINK("https://klasma.github.io/Logging_0581/klagomål/A 46955-2023 FSC-klagomål.docx", "A 46955-2023")</f>
        <v/>
      </c>
      <c r="AB78">
        <f>HYPERLINK("https://klasma.github.io/Logging_0581/klagomålsmail/A 46955-2023 FSC-klagomål mail.docx", "A 46955-2023")</f>
        <v/>
      </c>
      <c r="AC78">
        <f>HYPERLINK("https://klasma.github.io/Logging_0581/tillsyn/A 46955-2023 tillsynsbegäran.docx", "A 46955-2023")</f>
        <v/>
      </c>
      <c r="AD78">
        <f>HYPERLINK("https://klasma.github.io/Logging_0581/tillsynsmail/A 46955-2023 tillsynsbegäran mail.docx", "A 46955-2023")</f>
        <v/>
      </c>
      <c r="AE78">
        <f>HYPERLINK("https://klasma.github.io/Logging_0581/fåglar/A 46955-2023 prioriterade fågelarter.docx", "A 46955-2023")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46295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46295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10769-2024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46295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2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Tjäder</t>
        </is>
      </c>
      <c r="W81">
        <f>HYPERLINK("https://klasma.github.io/Logging_0581/artfynd/A 10769-2024 artfynd.xlsx", "A 10769-2024")</f>
        <v/>
      </c>
      <c r="X81">
        <f>HYPERLINK("https://klasma.github.io/Logging_0581/kartor/A 10769-2024 karta.png", "A 10769-2024")</f>
        <v/>
      </c>
      <c r="Y81">
        <f>HYPERLINK("https://klasma.github.io/Logging_0581/kartor_geotiff/A 10769-2024 georefererad karta.tif", "A 10769-2024")</f>
        <v/>
      </c>
      <c r="AA81">
        <f>HYPERLINK("https://klasma.github.io/Logging_0581/klagomål/A 10769-2024 FSC-klagomål.docx", "A 10769-2024")</f>
        <v/>
      </c>
      <c r="AB81">
        <f>HYPERLINK("https://klasma.github.io/Logging_0581/klagomålsmail/A 10769-2024 FSC-klagomål mail.docx", "A 10769-2024")</f>
        <v/>
      </c>
      <c r="AC81">
        <f>HYPERLINK("https://klasma.github.io/Logging_0581/tillsyn/A 10769-2024 tillsynsbegäran.docx", "A 10769-2024")</f>
        <v/>
      </c>
      <c r="AD81">
        <f>HYPERLINK("https://klasma.github.io/Logging_0581/tillsynsmail/A 10769-2024 tillsynsbegäran mail.docx", "A 10769-2024")</f>
        <v/>
      </c>
      <c r="AE81">
        <f>HYPERLINK("https://klasma.github.io/Logging_0581/fåglar/A 10769-2024 prioriterade fågelarter.docx", "A 10769-2024")</f>
        <v/>
      </c>
    </row>
    <row r="82" ht="15" customHeight="1">
      <c r="A82" t="inlineStr">
        <is>
          <t>A 14459-2024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46295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Garnlav
Talltita</t>
        </is>
      </c>
      <c r="W82">
        <f>HYPERLINK("https://klasma.github.io/Logging_0581/artfynd/A 14459-2024 artfynd.xlsx", "A 14459-2024")</f>
        <v/>
      </c>
      <c r="X82">
        <f>HYPERLINK("https://klasma.github.io/Logging_0581/kartor/A 14459-2024 karta.png", "A 14459-2024")</f>
        <v/>
      </c>
      <c r="Y82">
        <f>HYPERLINK("https://klasma.github.io/Logging_0581/kartor_geotiff/A 14459-2024 georefererad karta.tif", "A 14459-2024")</f>
        <v/>
      </c>
      <c r="AA82">
        <f>HYPERLINK("https://klasma.github.io/Logging_0581/klagomål/A 14459-2024 FSC-klagomål.docx", "A 14459-2024")</f>
        <v/>
      </c>
      <c r="AB82">
        <f>HYPERLINK("https://klasma.github.io/Logging_0581/klagomålsmail/A 14459-2024 FSC-klagomål mail.docx", "A 14459-2024")</f>
        <v/>
      </c>
      <c r="AC82">
        <f>HYPERLINK("https://klasma.github.io/Logging_0581/tillsyn/A 14459-2024 tillsynsbegäran.docx", "A 14459-2024")</f>
        <v/>
      </c>
      <c r="AD82">
        <f>HYPERLINK("https://klasma.github.io/Logging_0581/tillsynsmail/A 14459-2024 tillsynsbegäran mail.docx", "A 14459-2024")</f>
        <v/>
      </c>
      <c r="AE82">
        <f>HYPERLINK("https://klasma.github.io/Logging_0581/fåglar/A 14459-2024 prioriterade fågelarter.docx", "A 14459-2024")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46295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56971-2025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46295</v>
      </c>
      <c r="F84" t="inlineStr">
        <is>
          <t>ÖSTERGÖTLANDS LÄN</t>
        </is>
      </c>
      <c r="G84" t="inlineStr">
        <is>
          <t>NORRKÖPING</t>
        </is>
      </c>
      <c r="I84" t="n">
        <v>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Tallticka</t>
        </is>
      </c>
      <c r="W84">
        <f>HYPERLINK("https://klasma.github.io/Logging_0581/artfynd/A 56971-2025 artfynd.xlsx", "A 56971-2025")</f>
        <v/>
      </c>
      <c r="X84">
        <f>HYPERLINK("https://klasma.github.io/Logging_0581/kartor/A 56971-2025 karta.png", "A 56971-2025")</f>
        <v/>
      </c>
      <c r="Y84">
        <f>HYPERLINK("https://klasma.github.io/Logging_0581/kartor_geotiff/A 56971-2025 georefererad karta.tif", "A 56971-2025")</f>
        <v/>
      </c>
      <c r="Z84">
        <f>HYPERLINK("https://klasma.github.io/Logging_0581/knärot/A 56971-2025 karta knärot.png", "A 56971-2025")</f>
        <v/>
      </c>
      <c r="AA84">
        <f>HYPERLINK("https://klasma.github.io/Logging_0581/klagomål/A 56971-2025 FSC-klagomål.docx", "A 56971-2025")</f>
        <v/>
      </c>
      <c r="AB84">
        <f>HYPERLINK("https://klasma.github.io/Logging_0581/klagomålsmail/A 56971-2025 FSC-klagomål mail.docx", "A 56971-2025")</f>
        <v/>
      </c>
      <c r="AC84">
        <f>HYPERLINK("https://klasma.github.io/Logging_0581/tillsyn/A 56971-2025 tillsynsbegäran.docx", "A 56971-2025")</f>
        <v/>
      </c>
      <c r="AD84">
        <f>HYPERLINK("https://klasma.github.io/Logging_0581/tillsynsmail/A 56971-2025 tillsynsbegäran mail.docx", "A 56971-2025")</f>
        <v/>
      </c>
    </row>
    <row r="85" ht="15" customHeight="1">
      <c r="A85" t="inlineStr">
        <is>
          <t>A 11490-2023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46295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1.9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Mattlummer
Trädlärka</t>
        </is>
      </c>
      <c r="W85">
        <f>HYPERLINK("https://klasma.github.io/Logging_0581/artfynd/A 11490-2023 artfynd.xlsx", "A 11490-2023")</f>
        <v/>
      </c>
      <c r="X85">
        <f>HYPERLINK("https://klasma.github.io/Logging_0581/kartor/A 11490-2023 karta.png", "A 11490-2023")</f>
        <v/>
      </c>
      <c r="Y85">
        <f>HYPERLINK("https://klasma.github.io/Logging_0581/kartor_geotiff/A 11490-2023 georefererad karta.tif", "A 11490-2023")</f>
        <v/>
      </c>
      <c r="AA85">
        <f>HYPERLINK("https://klasma.github.io/Logging_0581/klagomål/A 11490-2023 FSC-klagomål.docx", "A 11490-2023")</f>
        <v/>
      </c>
      <c r="AB85">
        <f>HYPERLINK("https://klasma.github.io/Logging_0581/klagomålsmail/A 11490-2023 FSC-klagomål mail.docx", "A 11490-2023")</f>
        <v/>
      </c>
      <c r="AC85">
        <f>HYPERLINK("https://klasma.github.io/Logging_0581/tillsyn/A 11490-2023 tillsynsbegäran.docx", "A 11490-2023")</f>
        <v/>
      </c>
      <c r="AD85">
        <f>HYPERLINK("https://klasma.github.io/Logging_0581/tillsynsmail/A 11490-2023 tillsynsbegäran mail.docx", "A 11490-2023")</f>
        <v/>
      </c>
      <c r="AE85">
        <f>HYPERLINK("https://klasma.github.io/Logging_0581/fåglar/A 11490-2023 prioriterade fågelarter.docx", "A 11490-2023")</f>
        <v/>
      </c>
    </row>
    <row r="86" ht="15" customHeight="1">
      <c r="A86" t="inlineStr">
        <is>
          <t>A 58380-2025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46295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10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Knärot
Tallticka</t>
        </is>
      </c>
      <c r="W86">
        <f>HYPERLINK("https://klasma.github.io/Logging_0581/artfynd/A 58380-2025 artfynd.xlsx", "A 58380-2025")</f>
        <v/>
      </c>
      <c r="X86">
        <f>HYPERLINK("https://klasma.github.io/Logging_0581/kartor/A 58380-2025 karta.png", "A 58380-2025")</f>
        <v/>
      </c>
      <c r="Y86">
        <f>HYPERLINK("https://klasma.github.io/Logging_0581/kartor_geotiff/A 58380-2025 georefererad karta.tif", "A 58380-2025")</f>
        <v/>
      </c>
      <c r="Z86">
        <f>HYPERLINK("https://klasma.github.io/Logging_0581/knärot/A 58380-2025 karta knärot.png", "A 58380-2025")</f>
        <v/>
      </c>
      <c r="AA86">
        <f>HYPERLINK("https://klasma.github.io/Logging_0581/klagomål/A 58380-2025 FSC-klagomål.docx", "A 58380-2025")</f>
        <v/>
      </c>
      <c r="AB86">
        <f>HYPERLINK("https://klasma.github.io/Logging_0581/klagomålsmail/A 58380-2025 FSC-klagomål mail.docx", "A 58380-2025")</f>
        <v/>
      </c>
      <c r="AC86">
        <f>HYPERLINK("https://klasma.github.io/Logging_0581/tillsyn/A 58380-2025 tillsynsbegäran.docx", "A 58380-2025")</f>
        <v/>
      </c>
      <c r="AD86">
        <f>HYPERLINK("https://klasma.github.io/Logging_0581/tillsynsmail/A 58380-2025 tillsynsbegäran mail.docx", "A 58380-2025")</f>
        <v/>
      </c>
    </row>
    <row r="87" ht="15" customHeight="1">
      <c r="A87" t="inlineStr">
        <is>
          <t>A 27503-2022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46295</v>
      </c>
      <c r="F87" t="inlineStr">
        <is>
          <t>ÖSTERGÖTLANDS LÄN</t>
        </is>
      </c>
      <c r="G87" t="inlineStr">
        <is>
          <t>NORRKÖPING</t>
        </is>
      </c>
      <c r="I87" t="n">
        <v>2.9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Svinrot
Ängsskära</t>
        </is>
      </c>
      <c r="W87">
        <f>HYPERLINK("https://klasma.github.io/Logging_0581/artfynd/A 27503-2022 artfynd.xlsx", "A 27503-2022")</f>
        <v/>
      </c>
      <c r="X87">
        <f>HYPERLINK("https://klasma.github.io/Logging_0581/kartor/A 27503-2022 karta.png", "A 27503-2022")</f>
        <v/>
      </c>
      <c r="Y87">
        <f>HYPERLINK("https://klasma.github.io/Logging_0581/kartor_geotiff/A 27503-2022 georefererad karta.tif", "A 27503-2022")</f>
        <v/>
      </c>
      <c r="AA87">
        <f>HYPERLINK("https://klasma.github.io/Logging_0581/klagomål/A 27503-2022 FSC-klagomål.docx", "A 27503-2022")</f>
        <v/>
      </c>
      <c r="AB87">
        <f>HYPERLINK("https://klasma.github.io/Logging_0581/klagomålsmail/A 27503-2022 FSC-klagomål mail.docx", "A 27503-2022")</f>
        <v/>
      </c>
      <c r="AC87">
        <f>HYPERLINK("https://klasma.github.io/Logging_0581/tillsyn/A 27503-2022 tillsynsbegäran.docx", "A 27503-2022")</f>
        <v/>
      </c>
      <c r="AD87">
        <f>HYPERLINK("https://klasma.github.io/Logging_0581/tillsynsmail/A 27503-2022 tillsynsbegäran mail.docx", "A 27503-2022")</f>
        <v/>
      </c>
    </row>
    <row r="88" ht="15" customHeight="1">
      <c r="A88" t="inlineStr">
        <is>
          <t>A 5809-2025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46295</v>
      </c>
      <c r="F88" t="inlineStr">
        <is>
          <t>ÖSTERGÖTLANDS LÄN</t>
        </is>
      </c>
      <c r="G88" t="inlineStr">
        <is>
          <t>NORRKÖPING</t>
        </is>
      </c>
      <c r="I88" t="n">
        <v>3.7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Blåsippa
Vanlig padda</t>
        </is>
      </c>
      <c r="W88">
        <f>HYPERLINK("https://klasma.github.io/Logging_0581/artfynd/A 5809-2025 artfynd.xlsx", "A 5809-2025")</f>
        <v/>
      </c>
      <c r="X88">
        <f>HYPERLINK("https://klasma.github.io/Logging_0581/kartor/A 5809-2025 karta.png", "A 5809-2025")</f>
        <v/>
      </c>
      <c r="Y88">
        <f>HYPERLINK("https://klasma.github.io/Logging_0581/kartor_geotiff/A 5809-2025 georefererad karta.tif", "A 5809-2025")</f>
        <v/>
      </c>
      <c r="AA88">
        <f>HYPERLINK("https://klasma.github.io/Logging_0581/klagomål/A 5809-2025 FSC-klagomål.docx", "A 5809-2025")</f>
        <v/>
      </c>
      <c r="AB88">
        <f>HYPERLINK("https://klasma.github.io/Logging_0581/klagomålsmail/A 5809-2025 FSC-klagomål mail.docx", "A 5809-2025")</f>
        <v/>
      </c>
      <c r="AC88">
        <f>HYPERLINK("https://klasma.github.io/Logging_0581/tillsyn/A 5809-2025 tillsynsbegäran.docx", "A 5809-2025")</f>
        <v/>
      </c>
      <c r="AD88">
        <f>HYPERLINK("https://klasma.github.io/Logging_0581/tillsynsmail/A 5809-2025 tillsynsbegäran mail.docx", "A 5809-2025")</f>
        <v/>
      </c>
    </row>
    <row r="89" ht="15" customHeight="1">
      <c r="A89" t="inlineStr">
        <is>
          <t>A 12188-2026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46295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Allmännings- och besparingsskogar</t>
        </is>
      </c>
      <c r="I89" t="n">
        <v>7.8</v>
      </c>
      <c r="J89" t="n">
        <v>1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Blomkålssvamp
Korallrot</t>
        </is>
      </c>
      <c r="W89">
        <f>HYPERLINK("https://klasma.github.io/Logging_0581/artfynd/A 12188-2026 artfynd.xlsx", "A 12188-2026")</f>
        <v/>
      </c>
      <c r="X89">
        <f>HYPERLINK("https://klasma.github.io/Logging_0581/kartor/A 12188-2026 karta.png", "A 12188-2026")</f>
        <v/>
      </c>
      <c r="Y89">
        <f>HYPERLINK("https://klasma.github.io/Logging_0581/kartor_geotiff/A 12188-2026 georefererad karta.tif", "A 12188-2026")</f>
        <v/>
      </c>
      <c r="AA89">
        <f>HYPERLINK("https://klasma.github.io/Logging_0581/klagomål/A 12188-2026 FSC-klagomål.docx", "A 12188-2026")</f>
        <v/>
      </c>
      <c r="AB89">
        <f>HYPERLINK("https://klasma.github.io/Logging_0581/klagomålsmail/A 12188-2026 FSC-klagomål mail.docx", "A 12188-2026")</f>
        <v/>
      </c>
      <c r="AC89">
        <f>HYPERLINK("https://klasma.github.io/Logging_0581/tillsyn/A 12188-2026 tillsynsbegäran.docx", "A 12188-2026")</f>
        <v/>
      </c>
      <c r="AD89">
        <f>HYPERLINK("https://klasma.github.io/Logging_0581/tillsynsmail/A 12188-2026 tillsynsbegäran mail.docx", "A 12188-2026")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46295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46295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46295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46295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46295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Ask
Blåsippa</t>
        </is>
      </c>
      <c r="W94">
        <f>HYPERLINK("https://klasma.github.io/Logging_0581/artfynd/A 9722-2025 artfynd.xlsx", "A 9722-2025")</f>
        <v/>
      </c>
      <c r="X94">
        <f>HYPERLINK("https://klasma.github.io/Logging_0581/kartor/A 9722-2025 karta.png", "A 9722-2025")</f>
        <v/>
      </c>
      <c r="Y94">
        <f>HYPERLINK("https://klasma.github.io/Logging_0581/kartor_geotiff/A 9722-2025 georefererad karta.tif", "A 9722-2025")</f>
        <v/>
      </c>
      <c r="AA94">
        <f>HYPERLINK("https://klasma.github.io/Logging_0581/klagomål/A 9722-2025 FSC-klagomål.docx", "A 9722-2025")</f>
        <v/>
      </c>
      <c r="AB94">
        <f>HYPERLINK("https://klasma.github.io/Logging_0581/klagomålsmail/A 9722-2025 FSC-klagomål mail.docx", "A 9722-2025")</f>
        <v/>
      </c>
      <c r="AC94">
        <f>HYPERLINK("https://klasma.github.io/Logging_0581/tillsyn/A 9722-2025 tillsynsbegäran.docx", "A 9722-2025")</f>
        <v/>
      </c>
      <c r="AD94">
        <f>HYPERLINK("https://klasma.github.io/Logging_0581/tillsynsmail/A 9722-2025 tillsynsbegäran mail.docx", "A 9722-2025")</f>
        <v/>
      </c>
    </row>
    <row r="95" ht="15" customHeight="1">
      <c r="A95" t="inlineStr">
        <is>
          <t>A 9746-2025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46295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1.6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Ask
Blåsippa</t>
        </is>
      </c>
      <c r="W95">
        <f>HYPERLINK("https://klasma.github.io/Logging_0581/artfynd/A 9746-2025 artfynd.xlsx", "A 9746-2025")</f>
        <v/>
      </c>
      <c r="X95">
        <f>HYPERLINK("https://klasma.github.io/Logging_0581/kartor/A 9746-2025 karta.png", "A 9746-2025")</f>
        <v/>
      </c>
      <c r="Y95">
        <f>HYPERLINK("https://klasma.github.io/Logging_0581/kartor_geotiff/A 9746-2025 georefererad karta.tif", "A 9746-2025")</f>
        <v/>
      </c>
      <c r="AA95">
        <f>HYPERLINK("https://klasma.github.io/Logging_0581/klagomål/A 9746-2025 FSC-klagomål.docx", "A 9746-2025")</f>
        <v/>
      </c>
      <c r="AB95">
        <f>HYPERLINK("https://klasma.github.io/Logging_0581/klagomålsmail/A 9746-2025 FSC-klagomål mail.docx", "A 9746-2025")</f>
        <v/>
      </c>
      <c r="AC95">
        <f>HYPERLINK("https://klasma.github.io/Logging_0581/tillsyn/A 9746-2025 tillsynsbegäran.docx", "A 9746-2025")</f>
        <v/>
      </c>
      <c r="AD95">
        <f>HYPERLINK("https://klasma.github.io/Logging_0581/tillsynsmail/A 9746-2025 tillsynsbegäran mail.docx", "A 9746-2025")</f>
        <v/>
      </c>
    </row>
    <row r="96" ht="15" customHeight="1">
      <c r="A96" t="inlineStr">
        <is>
          <t>A 19182-2025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46295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Knärot
Ullticka</t>
        </is>
      </c>
      <c r="W96">
        <f>HYPERLINK("https://klasma.github.io/Logging_0581/artfynd/A 19182-2025 artfynd.xlsx", "A 19182-2025")</f>
        <v/>
      </c>
      <c r="X96">
        <f>HYPERLINK("https://klasma.github.io/Logging_0581/kartor/A 19182-2025 karta.png", "A 19182-2025")</f>
        <v/>
      </c>
      <c r="Y96">
        <f>HYPERLINK("https://klasma.github.io/Logging_0581/kartor_geotiff/A 19182-2025 georefererad karta.tif", "A 19182-2025")</f>
        <v/>
      </c>
      <c r="Z96">
        <f>HYPERLINK("https://klasma.github.io/Logging_0581/knärot/A 19182-2025 karta knärot.png", "A 19182-2025")</f>
        <v/>
      </c>
      <c r="AA96">
        <f>HYPERLINK("https://klasma.github.io/Logging_0581/klagomål/A 19182-2025 FSC-klagomål.docx", "A 19182-2025")</f>
        <v/>
      </c>
      <c r="AB96">
        <f>HYPERLINK("https://klasma.github.io/Logging_0581/klagomålsmail/A 19182-2025 FSC-klagomål mail.docx", "A 19182-2025")</f>
        <v/>
      </c>
      <c r="AC96">
        <f>HYPERLINK("https://klasma.github.io/Logging_0581/tillsyn/A 19182-2025 tillsynsbegäran.docx", "A 19182-2025")</f>
        <v/>
      </c>
      <c r="AD96">
        <f>HYPERLINK("https://klasma.github.io/Logging_0581/tillsynsmail/A 19182-2025 tillsynsbegäran mail.docx", "A 19182-2025")</f>
        <v/>
      </c>
    </row>
    <row r="97" ht="15" customHeight="1">
      <c r="A97" t="inlineStr">
        <is>
          <t>A 28796-2026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46198</v>
      </c>
      <c r="E97" s="1" t="n">
        <v>46295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28796-2026 artfynd.xlsx", "A 28796-2026")</f>
        <v/>
      </c>
      <c r="X97">
        <f>HYPERLINK("https://klasma.github.io/Logging_0581/kartor/A 28796-2026 karta.png", "A 28796-2026")</f>
        <v/>
      </c>
      <c r="Y97">
        <f>HYPERLINK("https://klasma.github.io/Logging_0581/kartor_geotiff/A 28796-2026 georefererad karta.tif", "A 28796-2026")</f>
        <v/>
      </c>
      <c r="AA97">
        <f>HYPERLINK("https://klasma.github.io/Logging_0581/klagomål/A 28796-2026 FSC-klagomål.docx", "A 28796-2026")</f>
        <v/>
      </c>
      <c r="AB97">
        <f>HYPERLINK("https://klasma.github.io/Logging_0581/klagomålsmail/A 28796-2026 FSC-klagomål mail.docx", "A 28796-2026")</f>
        <v/>
      </c>
      <c r="AC97">
        <f>HYPERLINK("https://klasma.github.io/Logging_0581/tillsyn/A 28796-2026 tillsynsbegäran.docx", "A 28796-2026")</f>
        <v/>
      </c>
      <c r="AD97">
        <f>HYPERLINK("https://klasma.github.io/Logging_0581/tillsynsmail/A 28796-2026 tillsynsbegäran mail.docx", "A 28796-2026")</f>
        <v/>
      </c>
    </row>
    <row r="98" ht="15" customHeight="1">
      <c r="A98" t="inlineStr">
        <is>
          <t>A 28895-2026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46295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28895-2026 artfynd.xlsx", "A 28895-2026")</f>
        <v/>
      </c>
      <c r="X98">
        <f>HYPERLINK("https://klasma.github.io/Logging_0581/kartor/A 28895-2026 karta.png", "A 28895-2026")</f>
        <v/>
      </c>
      <c r="Y98">
        <f>HYPERLINK("https://klasma.github.io/Logging_0581/kartor_geotiff/A 28895-2026 georefererad karta.tif", "A 28895-2026")</f>
        <v/>
      </c>
      <c r="AA98">
        <f>HYPERLINK("https://klasma.github.io/Logging_0581/klagomål/A 28895-2026 FSC-klagomål.docx", "A 28895-2026")</f>
        <v/>
      </c>
      <c r="AB98">
        <f>HYPERLINK("https://klasma.github.io/Logging_0581/klagomålsmail/A 28895-2026 FSC-klagomål mail.docx", "A 28895-2026")</f>
        <v/>
      </c>
      <c r="AC98">
        <f>HYPERLINK("https://klasma.github.io/Logging_0581/tillsyn/A 28895-2026 tillsynsbegäran.docx", "A 28895-2026")</f>
        <v/>
      </c>
      <c r="AD98">
        <f>HYPERLINK("https://klasma.github.io/Logging_0581/tillsynsmail/A 28895-2026 tillsynsbegäran mail.docx", "A 28895-2026")</f>
        <v/>
      </c>
    </row>
    <row r="99" ht="15" customHeight="1">
      <c r="A99" t="inlineStr">
        <is>
          <t>A 28893-2026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46295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28893-2026 artfynd.xlsx", "A 28893-2026")</f>
        <v/>
      </c>
      <c r="X99">
        <f>HYPERLINK("https://klasma.github.io/Logging_0581/kartor/A 28893-2026 karta.png", "A 28893-2026")</f>
        <v/>
      </c>
      <c r="Y99">
        <f>HYPERLINK("https://klasma.github.io/Logging_0581/kartor_geotiff/A 28893-2026 georefererad karta.tif", "A 28893-2026")</f>
        <v/>
      </c>
      <c r="AA99">
        <f>HYPERLINK("https://klasma.github.io/Logging_0581/klagomål/A 28893-2026 FSC-klagomål.docx", "A 28893-2026")</f>
        <v/>
      </c>
      <c r="AB99">
        <f>HYPERLINK("https://klasma.github.io/Logging_0581/klagomålsmail/A 28893-2026 FSC-klagomål mail.docx", "A 28893-2026")</f>
        <v/>
      </c>
      <c r="AC99">
        <f>HYPERLINK("https://klasma.github.io/Logging_0581/tillsyn/A 28893-2026 tillsynsbegäran.docx", "A 28893-2026")</f>
        <v/>
      </c>
      <c r="AD99">
        <f>HYPERLINK("https://klasma.github.io/Logging_0581/tillsynsmail/A 28893-2026 tillsynsbegäran mail.docx", "A 28893-2026")</f>
        <v/>
      </c>
    </row>
    <row r="100" ht="15" customHeight="1">
      <c r="A100" t="inlineStr">
        <is>
          <t>A 4826-2023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46295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Bårdlav
Havsörn</t>
        </is>
      </c>
      <c r="W100">
        <f>HYPERLINK("https://klasma.github.io/Logging_0581/artfynd/A 4826-2023 artfynd.xlsx", "A 4826-2023")</f>
        <v/>
      </c>
      <c r="X100">
        <f>HYPERLINK("https://klasma.github.io/Logging_0581/kartor/A 4826-2023 karta.png", "A 4826-2023")</f>
        <v/>
      </c>
      <c r="Y100">
        <f>HYPERLINK("https://klasma.github.io/Logging_0581/kartor_geotiff/A 4826-2023 georefererad karta.tif", "A 4826-2023")</f>
        <v/>
      </c>
      <c r="AA100">
        <f>HYPERLINK("https://klasma.github.io/Logging_0581/klagomål/A 4826-2023 FSC-klagomål.docx", "A 4826-2023")</f>
        <v/>
      </c>
      <c r="AB100">
        <f>HYPERLINK("https://klasma.github.io/Logging_0581/klagomålsmail/A 4826-2023 FSC-klagomål mail.docx", "A 4826-2023")</f>
        <v/>
      </c>
      <c r="AC100">
        <f>HYPERLINK("https://klasma.github.io/Logging_0581/tillsyn/A 4826-2023 tillsynsbegäran.docx", "A 4826-2023")</f>
        <v/>
      </c>
      <c r="AD100">
        <f>HYPERLINK("https://klasma.github.io/Logging_0581/tillsynsmail/A 4826-2023 tillsynsbegäran mail.docx", "A 4826-2023")</f>
        <v/>
      </c>
      <c r="AE100">
        <f>HYPERLINK("https://klasma.github.io/Logging_0581/fåglar/A 4826-2023 prioriterade fågelarter.docx", "A 4826-2023")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46295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25291-2023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46295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Slåtterfibbla
Svartvit flugsnappare</t>
        </is>
      </c>
      <c r="W102">
        <f>HYPERLINK("https://klasma.github.io/Logging_0581/artfynd/A 25291-2023 artfynd.xlsx", "A 25291-2023")</f>
        <v/>
      </c>
      <c r="X102">
        <f>HYPERLINK("https://klasma.github.io/Logging_0581/kartor/A 25291-2023 karta.png", "A 25291-2023")</f>
        <v/>
      </c>
      <c r="Y102">
        <f>HYPERLINK("https://klasma.github.io/Logging_0581/kartor_geotiff/A 25291-2023 georefererad karta.tif", "A 25291-2023")</f>
        <v/>
      </c>
      <c r="AA102">
        <f>HYPERLINK("https://klasma.github.io/Logging_0581/klagomål/A 25291-2023 FSC-klagomål.docx", "A 25291-2023")</f>
        <v/>
      </c>
      <c r="AB102">
        <f>HYPERLINK("https://klasma.github.io/Logging_0581/klagomålsmail/A 25291-2023 FSC-klagomål mail.docx", "A 25291-2023")</f>
        <v/>
      </c>
      <c r="AC102">
        <f>HYPERLINK("https://klasma.github.io/Logging_0581/tillsyn/A 25291-2023 tillsynsbegäran.docx", "A 25291-2023")</f>
        <v/>
      </c>
      <c r="AD102">
        <f>HYPERLINK("https://klasma.github.io/Logging_0581/tillsynsmail/A 25291-2023 tillsynsbegäran mail.docx", "A 25291-2023")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46295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Tallticka
Granbarkgnagare</t>
        </is>
      </c>
      <c r="W103">
        <f>HYPERLINK("https://klasma.github.io/Logging_0581/artfynd/A 24233-2025 artfynd.xlsx", "A 24233-2025")</f>
        <v/>
      </c>
      <c r="X103">
        <f>HYPERLINK("https://klasma.github.io/Logging_0581/kartor/A 24233-2025 karta.png", "A 24233-2025")</f>
        <v/>
      </c>
      <c r="Y103">
        <f>HYPERLINK("https://klasma.github.io/Logging_0581/kartor_geotiff/A 24233-2025 georefererad karta.tif", "A 24233-2025")</f>
        <v/>
      </c>
      <c r="AA103">
        <f>HYPERLINK("https://klasma.github.io/Logging_0581/klagomål/A 24233-2025 FSC-klagomål.docx", "A 24233-2025")</f>
        <v/>
      </c>
      <c r="AB103">
        <f>HYPERLINK("https://klasma.github.io/Logging_0581/klagomålsmail/A 24233-2025 FSC-klagomål mail.docx", "A 24233-2025")</f>
        <v/>
      </c>
      <c r="AC103">
        <f>HYPERLINK("https://klasma.github.io/Logging_0581/tillsyn/A 24233-2025 tillsynsbegäran.docx", "A 24233-2025")</f>
        <v/>
      </c>
      <c r="AD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46295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46295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46295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8987-2023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46295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0.5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Grovticka</t>
        </is>
      </c>
      <c r="W107">
        <f>HYPERLINK("https://klasma.github.io/Logging_0581/artfynd/A 8987-2023 artfynd.xlsx", "A 8987-2023")</f>
        <v/>
      </c>
      <c r="X107">
        <f>HYPERLINK("https://klasma.github.io/Logging_0581/kartor/A 8987-2023 karta.png", "A 8987-2023")</f>
        <v/>
      </c>
      <c r="Y107">
        <f>HYPERLINK("https://klasma.github.io/Logging_0581/kartor_geotiff/A 8987-2023 georefererad karta.tif", "A 8987-2023")</f>
        <v/>
      </c>
      <c r="AA107">
        <f>HYPERLINK("https://klasma.github.io/Logging_0581/klagomål/A 8987-2023 FSC-klagomål.docx", "A 8987-2023")</f>
        <v/>
      </c>
      <c r="AB107">
        <f>HYPERLINK("https://klasma.github.io/Logging_0581/klagomålsmail/A 8987-2023 FSC-klagomål mail.docx", "A 8987-2023")</f>
        <v/>
      </c>
      <c r="AC107">
        <f>HYPERLINK("https://klasma.github.io/Logging_0581/tillsyn/A 8987-2023 tillsynsbegäran.docx", "A 8987-2023")</f>
        <v/>
      </c>
      <c r="AD107">
        <f>HYPERLINK("https://klasma.github.io/Logging_0581/tillsynsmail/A 8987-2023 tillsynsbegäran mail.docx", "A 8987-2023")</f>
        <v/>
      </c>
    </row>
    <row r="108" ht="15" customHeight="1">
      <c r="A108" t="inlineStr">
        <is>
          <t>A 10553-2025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46295</v>
      </c>
      <c r="F108" t="inlineStr">
        <is>
          <t>ÖSTERGÖTLANDS LÄN</t>
        </is>
      </c>
      <c r="G108" t="inlineStr">
        <is>
          <t>NORRKÖPING</t>
        </is>
      </c>
      <c r="I108" t="n">
        <v>2.2</v>
      </c>
      <c r="J108" t="n">
        <v>2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Ejder
Rosenfink</t>
        </is>
      </c>
      <c r="W108">
        <f>HYPERLINK("https://klasma.github.io/Logging_0581/artfynd/A 10553-2025 artfynd.xlsx", "A 10553-2025")</f>
        <v/>
      </c>
      <c r="X108">
        <f>HYPERLINK("https://klasma.github.io/Logging_0581/kartor/A 10553-2025 karta.png", "A 10553-2025")</f>
        <v/>
      </c>
      <c r="Y108">
        <f>HYPERLINK("https://klasma.github.io/Logging_0581/kartor_geotiff/A 10553-2025 georefererad karta.tif", "A 10553-2025")</f>
        <v/>
      </c>
      <c r="AA108">
        <f>HYPERLINK("https://klasma.github.io/Logging_0581/klagomål/A 10553-2025 FSC-klagomål.docx", "A 10553-2025")</f>
        <v/>
      </c>
      <c r="AB108">
        <f>HYPERLINK("https://klasma.github.io/Logging_0581/klagomålsmail/A 10553-2025 FSC-klagomål mail.docx", "A 10553-2025")</f>
        <v/>
      </c>
      <c r="AC108">
        <f>HYPERLINK("https://klasma.github.io/Logging_0581/tillsyn/A 10553-2025 tillsynsbegäran.docx", "A 10553-2025")</f>
        <v/>
      </c>
      <c r="AD108">
        <f>HYPERLINK("https://klasma.github.io/Logging_0581/tillsynsmail/A 10553-2025 tillsynsbegäran mail.docx", "A 10553-2025")</f>
        <v/>
      </c>
      <c r="AE108">
        <f>HYPERLINK("https://klasma.github.io/Logging_0581/fåglar/A 10553-2025 prioriterade fågelarter.docx", "A 10553-2025")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46295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46295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38475-2026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46295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8</v>
      </c>
      <c r="J111" t="n">
        <v>1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Ljungögontröst
Talltita</t>
        </is>
      </c>
      <c r="W111">
        <f>HYPERLINK("https://klasma.github.io/Logging_0581/artfynd/A 38475-2026 artfynd.xlsx", "A 38475-2026")</f>
        <v/>
      </c>
      <c r="X111">
        <f>HYPERLINK("https://klasma.github.io/Logging_0581/kartor/A 38475-2026 karta.png", "A 38475-2026")</f>
        <v/>
      </c>
      <c r="Y111">
        <f>HYPERLINK("https://klasma.github.io/Logging_0581/kartor_geotiff/A 38475-2026 georefererad karta.tif", "A 38475-2026")</f>
        <v/>
      </c>
      <c r="AA111">
        <f>HYPERLINK("https://klasma.github.io/Logging_0581/klagomål/A 38475-2026 FSC-klagomål.docx", "A 38475-2026")</f>
        <v/>
      </c>
      <c r="AB111">
        <f>HYPERLINK("https://klasma.github.io/Logging_0581/klagomålsmail/A 38475-2026 FSC-klagomål mail.docx", "A 38475-2026")</f>
        <v/>
      </c>
      <c r="AC111">
        <f>HYPERLINK("https://klasma.github.io/Logging_0581/tillsyn/A 38475-2026 tillsynsbegäran.docx", "A 38475-2026")</f>
        <v/>
      </c>
      <c r="AD111">
        <f>HYPERLINK("https://klasma.github.io/Logging_0581/tillsynsmail/A 38475-2026 tillsynsbegäran mail.docx", "A 38475-2026")</f>
        <v/>
      </c>
      <c r="AE111">
        <f>HYPERLINK("https://klasma.github.io/Logging_0581/fåglar/A 38475-2026 prioriterade fågelarter.docx", "A 38475-2026")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46295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46295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46295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46295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46295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46295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46295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46295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46295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46295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46295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46295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46295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46295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42233-2025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46295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HYPERLINK("https://klasma.github.io/Logging_0581/artfynd/A 42233-2025 artfynd.xlsx", "A 42233-2025")</f>
        <v/>
      </c>
      <c r="X126">
        <f>HYPERLINK("https://klasma.github.io/Logging_0581/kartor/A 42233-2025 karta.png", "A 42233-2025")</f>
        <v/>
      </c>
      <c r="Y126">
        <f>HYPERLINK("https://klasma.github.io/Logging_0581/kartor_geotiff/A 42233-2025 georefererad karta.tif", "A 42233-2025")</f>
        <v/>
      </c>
      <c r="AA126">
        <f>HYPERLINK("https://klasma.github.io/Logging_0581/klagomål/A 42233-2025 FSC-klagomål.docx", "A 42233-2025")</f>
        <v/>
      </c>
      <c r="AB126">
        <f>HYPERLINK("https://klasma.github.io/Logging_0581/klagomålsmail/A 42233-2025 FSC-klagomål mail.docx", "A 42233-2025")</f>
        <v/>
      </c>
      <c r="AC126">
        <f>HYPERLINK("https://klasma.github.io/Logging_0581/tillsyn/A 42233-2025 tillsynsbegäran.docx", "A 42233-2025")</f>
        <v/>
      </c>
      <c r="AD126">
        <f>HYPERLINK("https://klasma.github.io/Logging_0581/tillsynsmail/A 42233-2025 tillsynsbegäran mail.docx", "A 42233-2025")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46295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46295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2832-2026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46295</v>
      </c>
      <c r="F129" t="inlineStr">
        <is>
          <t>ÖSTERGÖTLANDS LÄN</t>
        </is>
      </c>
      <c r="G129" t="inlineStr">
        <is>
          <t>NORRKÖPING</t>
        </is>
      </c>
      <c r="I129" t="n">
        <v>5.5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2832-2026 artfynd.xlsx", "A 2832-2026")</f>
        <v/>
      </c>
      <c r="X129">
        <f>HYPERLINK("https://klasma.github.io/Logging_0581/kartor/A 2832-2026 karta.png", "A 2832-2026")</f>
        <v/>
      </c>
      <c r="Y129">
        <f>HYPERLINK("https://klasma.github.io/Logging_0581/kartor_geotiff/A 2832-2026 georefererad karta.tif", "A 2832-2026")</f>
        <v/>
      </c>
      <c r="AA129">
        <f>HYPERLINK("https://klasma.github.io/Logging_0581/klagomål/A 2832-2026 FSC-klagomål.docx", "A 2832-2026")</f>
        <v/>
      </c>
      <c r="AB129">
        <f>HYPERLINK("https://klasma.github.io/Logging_0581/klagomålsmail/A 2832-2026 FSC-klagomål mail.docx", "A 2832-2026")</f>
        <v/>
      </c>
      <c r="AC129">
        <f>HYPERLINK("https://klasma.github.io/Logging_0581/tillsyn/A 2832-2026 tillsynsbegäran.docx", "A 2832-2026")</f>
        <v/>
      </c>
      <c r="AD129">
        <f>HYPERLINK("https://klasma.github.io/Logging_0581/tillsynsmail/A 2832-2026 tillsynsbegäran mail.docx", "A 2832-2026")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46295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31320-2025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46295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Blåmossa</t>
        </is>
      </c>
      <c r="W131">
        <f>HYPERLINK("https://klasma.github.io/Logging_0581/artfynd/A 31320-2025 artfynd.xlsx", "A 31320-2025")</f>
        <v/>
      </c>
      <c r="X131">
        <f>HYPERLINK("https://klasma.github.io/Logging_0581/kartor/A 31320-2025 karta.png", "A 31320-2025")</f>
        <v/>
      </c>
      <c r="Y131">
        <f>HYPERLINK("https://klasma.github.io/Logging_0581/kartor_geotiff/A 31320-2025 georefererad karta.tif", "A 31320-2025")</f>
        <v/>
      </c>
      <c r="AA131">
        <f>HYPERLINK("https://klasma.github.io/Logging_0581/klagomål/A 31320-2025 FSC-klagomål.docx", "A 31320-2025")</f>
        <v/>
      </c>
      <c r="AB131">
        <f>HYPERLINK("https://klasma.github.io/Logging_0581/klagomålsmail/A 31320-2025 FSC-klagomål mail.docx", "A 31320-2025")</f>
        <v/>
      </c>
      <c r="AC131">
        <f>HYPERLINK("https://klasma.github.io/Logging_0581/tillsyn/A 31320-2025 tillsynsbegäran.docx", "A 31320-2025")</f>
        <v/>
      </c>
      <c r="AD131">
        <f>HYPERLINK("https://klasma.github.io/Logging_0581/tillsynsmail/A 31320-2025 tillsynsbegäran mail.docx", "A 31320-2025")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46295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Krusfrö</t>
        </is>
      </c>
      <c r="W132">
        <f>HYPERLINK("https://klasma.github.io/Logging_0581/artfynd/A 62973-2021 artfynd.xlsx", "A 62973-2021")</f>
        <v/>
      </c>
      <c r="X132">
        <f>HYPERLINK("https://klasma.github.io/Logging_0581/kartor/A 62973-2021 karta.png", "A 62973-2021")</f>
        <v/>
      </c>
      <c r="Y132">
        <f>HYPERLINK("https://klasma.github.io/Logging_0581/kartor_geotiff/A 62973-2021 georefererad karta.tif", "A 62973-2021")</f>
        <v/>
      </c>
      <c r="AA132">
        <f>HYPERLINK("https://klasma.github.io/Logging_0581/klagomål/A 62973-2021 FSC-klagomål.docx", "A 62973-2021")</f>
        <v/>
      </c>
      <c r="AB132">
        <f>HYPERLINK("https://klasma.github.io/Logging_0581/klagomålsmail/A 62973-2021 FSC-klagomål mail.docx", "A 62973-2021")</f>
        <v/>
      </c>
      <c r="AC132">
        <f>HYPERLINK("https://klasma.github.io/Logging_0581/tillsyn/A 62973-2021 tillsynsbegäran.docx", "A 62973-2021")</f>
        <v/>
      </c>
      <c r="AD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34078-2025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46295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HYPERLINK("https://klasma.github.io/Logging_0581/artfynd/A 34078-2025 artfynd.xlsx", "A 34078-2025")</f>
        <v/>
      </c>
      <c r="X133">
        <f>HYPERLINK("https://klasma.github.io/Logging_0581/kartor/A 34078-2025 karta.png", "A 34078-2025")</f>
        <v/>
      </c>
      <c r="Y133">
        <f>HYPERLINK("https://klasma.github.io/Logging_0581/kartor_geotiff/A 34078-2025 georefererad karta.tif", "A 34078-2025")</f>
        <v/>
      </c>
      <c r="AA133">
        <f>HYPERLINK("https://klasma.github.io/Logging_0581/klagomål/A 34078-2025 FSC-klagomål.docx", "A 34078-2025")</f>
        <v/>
      </c>
      <c r="AB133">
        <f>HYPERLINK("https://klasma.github.io/Logging_0581/klagomålsmail/A 34078-2025 FSC-klagomål mail.docx", "A 34078-2025")</f>
        <v/>
      </c>
      <c r="AC133">
        <f>HYPERLINK("https://klasma.github.io/Logging_0581/tillsyn/A 34078-2025 tillsynsbegäran.docx", "A 34078-2025")</f>
        <v/>
      </c>
      <c r="AD133">
        <f>HYPERLINK("https://klasma.github.io/Logging_0581/tillsynsmail/A 34078-2025 tillsynsbegäran mail.docx", "A 34078-2025")</f>
        <v/>
      </c>
      <c r="AE133">
        <f>HYPERLINK("https://klasma.github.io/Logging_0581/fåglar/A 34078-2025 prioriterade fågelarter.docx", "A 34078-2025")</f>
        <v/>
      </c>
    </row>
    <row r="134" ht="15" customHeight="1">
      <c r="A134" t="inlineStr">
        <is>
          <t>A 24629-2025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46295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Kråka</t>
        </is>
      </c>
      <c r="W134">
        <f>HYPERLINK("https://klasma.github.io/Logging_0581/artfynd/A 24629-2025 artfynd.xlsx", "A 24629-2025")</f>
        <v/>
      </c>
      <c r="X134">
        <f>HYPERLINK("https://klasma.github.io/Logging_0581/kartor/A 24629-2025 karta.png", "A 24629-2025")</f>
        <v/>
      </c>
      <c r="Y134">
        <f>HYPERLINK("https://klasma.github.io/Logging_0581/kartor_geotiff/A 24629-2025 georefererad karta.tif", "A 24629-2025")</f>
        <v/>
      </c>
      <c r="AA134">
        <f>HYPERLINK("https://klasma.github.io/Logging_0581/klagomål/A 24629-2025 FSC-klagomål.docx", "A 24629-2025")</f>
        <v/>
      </c>
      <c r="AB134">
        <f>HYPERLINK("https://klasma.github.io/Logging_0581/klagomålsmail/A 24629-2025 FSC-klagomål mail.docx", "A 24629-2025")</f>
        <v/>
      </c>
      <c r="AC134">
        <f>HYPERLINK("https://klasma.github.io/Logging_0581/tillsyn/A 24629-2025 tillsynsbegäran.docx", "A 24629-2025")</f>
        <v/>
      </c>
      <c r="AD134">
        <f>HYPERLINK("https://klasma.github.io/Logging_0581/tillsynsmail/A 24629-2025 tillsynsbegäran mail.docx", "A 24629-2025")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46295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58711-2023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46295</v>
      </c>
      <c r="F136" t="inlineStr">
        <is>
          <t>ÖSTERGÖTLANDS LÄN</t>
        </is>
      </c>
      <c r="G136" t="inlineStr">
        <is>
          <t>NORRKÖPING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Ängsskära</t>
        </is>
      </c>
      <c r="W136">
        <f>HYPERLINK("https://klasma.github.io/Logging_0581/artfynd/A 58711-2023 artfynd.xlsx", "A 58711-2023")</f>
        <v/>
      </c>
      <c r="X136">
        <f>HYPERLINK("https://klasma.github.io/Logging_0581/kartor/A 58711-2023 karta.png", "A 58711-2023")</f>
        <v/>
      </c>
      <c r="Y136">
        <f>HYPERLINK("https://klasma.github.io/Logging_0581/kartor_geotiff/A 58711-2023 georefererad karta.tif", "A 58711-2023")</f>
        <v/>
      </c>
      <c r="AA136">
        <f>HYPERLINK("https://klasma.github.io/Logging_0581/klagomål/A 58711-2023 FSC-klagomål.docx", "A 58711-2023")</f>
        <v/>
      </c>
      <c r="AB136">
        <f>HYPERLINK("https://klasma.github.io/Logging_0581/klagomålsmail/A 58711-2023 FSC-klagomål mail.docx", "A 58711-2023")</f>
        <v/>
      </c>
      <c r="AC136">
        <f>HYPERLINK("https://klasma.github.io/Logging_0581/tillsyn/A 58711-2023 tillsynsbegäran.docx", "A 58711-2023")</f>
        <v/>
      </c>
      <c r="AD136">
        <f>HYPERLINK("https://klasma.github.io/Logging_0581/tillsynsmail/A 58711-2023 tillsynsbegäran mail.docx", "A 58711-2023")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46295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46295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46295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46295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46295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46295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HYPERLINK("https://klasma.github.io/Logging_0581/artfynd/A 27236-2023 artfynd.xlsx", "A 27236-2023")</f>
        <v/>
      </c>
      <c r="X142">
        <f>HYPERLINK("https://klasma.github.io/Logging_0581/kartor/A 27236-2023 karta.png", "A 27236-2023")</f>
        <v/>
      </c>
      <c r="Y142">
        <f>HYPERLINK("https://klasma.github.io/Logging_0581/kartor_geotiff/A 27236-2023 georefererad karta.tif", "A 27236-2023")</f>
        <v/>
      </c>
      <c r="AA142">
        <f>HYPERLINK("https://klasma.github.io/Logging_0581/klagomål/A 27236-2023 FSC-klagomål.docx", "A 27236-2023")</f>
        <v/>
      </c>
      <c r="AB142">
        <f>HYPERLINK("https://klasma.github.io/Logging_0581/klagomålsmail/A 27236-2023 FSC-klagomål mail.docx", "A 27236-2023")</f>
        <v/>
      </c>
      <c r="AC142">
        <f>HYPERLINK("https://klasma.github.io/Logging_0581/tillsyn/A 27236-2023 tillsynsbegäran.docx", "A 27236-2023")</f>
        <v/>
      </c>
      <c r="AD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31659-2023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46295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HYPERLINK("https://klasma.github.io/Logging_0581/artfynd/A 31659-2023 artfynd.xlsx", "A 31659-2023")</f>
        <v/>
      </c>
      <c r="X143">
        <f>HYPERLINK("https://klasma.github.io/Logging_0581/kartor/A 31659-2023 karta.png", "A 31659-2023")</f>
        <v/>
      </c>
      <c r="Y143">
        <f>HYPERLINK("https://klasma.github.io/Logging_0581/kartor_geotiff/A 31659-2023 georefererad karta.tif", "A 31659-2023")</f>
        <v/>
      </c>
      <c r="AA143">
        <f>HYPERLINK("https://klasma.github.io/Logging_0581/klagomål/A 31659-2023 FSC-klagomål.docx", "A 31659-2023")</f>
        <v/>
      </c>
      <c r="AB143">
        <f>HYPERLINK("https://klasma.github.io/Logging_0581/klagomålsmail/A 31659-2023 FSC-klagomål mail.docx", "A 31659-2023")</f>
        <v/>
      </c>
      <c r="AC143">
        <f>HYPERLINK("https://klasma.github.io/Logging_0581/tillsyn/A 31659-2023 tillsynsbegäran.docx", "A 31659-2023")</f>
        <v/>
      </c>
      <c r="AD143">
        <f>HYPERLINK("https://klasma.github.io/Logging_0581/tillsynsmail/A 31659-2023 tillsynsbegäran mail.docx", "A 31659-2023")</f>
        <v/>
      </c>
      <c r="AE143">
        <f>HYPERLINK("https://klasma.github.io/Logging_0581/fåglar/A 31659-2023 prioriterade fågelarter.docx", "A 31659-2023")</f>
        <v/>
      </c>
    </row>
    <row r="144" ht="15" customHeight="1">
      <c r="A144" t="inlineStr">
        <is>
          <t>A 11126-2026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46295</v>
      </c>
      <c r="F144" t="inlineStr">
        <is>
          <t>ÖSTERGÖTLANDS LÄN</t>
        </is>
      </c>
      <c r="G144" t="inlineStr">
        <is>
          <t>NORRKÖPING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Svinrot</t>
        </is>
      </c>
      <c r="W144">
        <f>HYPERLINK("https://klasma.github.io/Logging_0581/artfynd/A 11126-2026 artfynd.xlsx", "A 11126-2026")</f>
        <v/>
      </c>
      <c r="X144">
        <f>HYPERLINK("https://klasma.github.io/Logging_0581/kartor/A 11126-2026 karta.png", "A 11126-2026")</f>
        <v/>
      </c>
      <c r="Y144">
        <f>HYPERLINK("https://klasma.github.io/Logging_0581/kartor_geotiff/A 11126-2026 georefererad karta.tif", "A 11126-2026")</f>
        <v/>
      </c>
      <c r="AA144">
        <f>HYPERLINK("https://klasma.github.io/Logging_0581/klagomål/A 11126-2026 FSC-klagomål.docx", "A 11126-2026")</f>
        <v/>
      </c>
      <c r="AB144">
        <f>HYPERLINK("https://klasma.github.io/Logging_0581/klagomålsmail/A 11126-2026 FSC-klagomål mail.docx", "A 11126-2026")</f>
        <v/>
      </c>
      <c r="AC144">
        <f>HYPERLINK("https://klasma.github.io/Logging_0581/tillsyn/A 11126-2026 tillsynsbegäran.docx", "A 11126-2026")</f>
        <v/>
      </c>
      <c r="AD144">
        <f>HYPERLINK("https://klasma.github.io/Logging_0581/tillsynsmail/A 11126-2026 tillsynsbegäran mail.docx", "A 11126-2026")</f>
        <v/>
      </c>
    </row>
    <row r="145" ht="15" customHeight="1">
      <c r="A145" t="inlineStr">
        <is>
          <t>A 11714-2026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46295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2.9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Gulsparv</t>
        </is>
      </c>
      <c r="W145">
        <f>HYPERLINK("https://klasma.github.io/Logging_0581/artfynd/A 11714-2026 artfynd.xlsx", "A 11714-2026")</f>
        <v/>
      </c>
      <c r="X145">
        <f>HYPERLINK("https://klasma.github.io/Logging_0581/kartor/A 11714-2026 karta.png", "A 11714-2026")</f>
        <v/>
      </c>
      <c r="Y145">
        <f>HYPERLINK("https://klasma.github.io/Logging_0581/kartor_geotiff/A 11714-2026 georefererad karta.tif", "A 11714-2026")</f>
        <v/>
      </c>
      <c r="AA145">
        <f>HYPERLINK("https://klasma.github.io/Logging_0581/klagomål/A 11714-2026 FSC-klagomål.docx", "A 11714-2026")</f>
        <v/>
      </c>
      <c r="AB145">
        <f>HYPERLINK("https://klasma.github.io/Logging_0581/klagomålsmail/A 11714-2026 FSC-klagomål mail.docx", "A 11714-2026")</f>
        <v/>
      </c>
      <c r="AC145">
        <f>HYPERLINK("https://klasma.github.io/Logging_0581/tillsyn/A 11714-2026 tillsynsbegäran.docx", "A 11714-2026")</f>
        <v/>
      </c>
      <c r="AD145">
        <f>HYPERLINK("https://klasma.github.io/Logging_0581/tillsynsmail/A 11714-2026 tillsynsbegäran mail.docx", "A 11714-2026")</f>
        <v/>
      </c>
      <c r="AE145">
        <f>HYPERLINK("https://klasma.github.io/Logging_0581/fåglar/A 11714-2026 prioriterade fågelarter.docx", "A 11714-2026")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46295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Backklöver</t>
        </is>
      </c>
      <c r="W146">
        <f>HYPERLINK("https://klasma.github.io/Logging_0581/artfynd/A 7317-2025 artfynd.xlsx", "A 7317-2025")</f>
        <v/>
      </c>
      <c r="X146">
        <f>HYPERLINK("https://klasma.github.io/Logging_0581/kartor/A 7317-2025 karta.png", "A 7317-2025")</f>
        <v/>
      </c>
      <c r="Y146">
        <f>HYPERLINK("https://klasma.github.io/Logging_0581/kartor_geotiff/A 7317-2025 georefererad karta.tif", "A 7317-2025")</f>
        <v/>
      </c>
      <c r="AA146">
        <f>HYPERLINK("https://klasma.github.io/Logging_0581/klagomål/A 7317-2025 FSC-klagomål.docx", "A 7317-2025")</f>
        <v/>
      </c>
      <c r="AB146">
        <f>HYPERLINK("https://klasma.github.io/Logging_0581/klagomålsmail/A 7317-2025 FSC-klagomål mail.docx", "A 7317-2025")</f>
        <v/>
      </c>
      <c r="AC146">
        <f>HYPERLINK("https://klasma.github.io/Logging_0581/tillsyn/A 7317-2025 tillsynsbegäran.docx", "A 7317-2025")</f>
        <v/>
      </c>
      <c r="AD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46295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46295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46295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12145-2024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46295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10.4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Gullgröppa</t>
        </is>
      </c>
      <c r="W150">
        <f>HYPERLINK("https://klasma.github.io/Logging_0581/artfynd/A 12145-2024 artfynd.xlsx", "A 12145-2024")</f>
        <v/>
      </c>
      <c r="X150">
        <f>HYPERLINK("https://klasma.github.io/Logging_0581/kartor/A 12145-2024 karta.png", "A 12145-2024")</f>
        <v/>
      </c>
      <c r="Y150">
        <f>HYPERLINK("https://klasma.github.io/Logging_0581/kartor_geotiff/A 12145-2024 georefererad karta.tif", "A 12145-2024")</f>
        <v/>
      </c>
      <c r="AA150">
        <f>HYPERLINK("https://klasma.github.io/Logging_0581/klagomål/A 12145-2024 FSC-klagomål.docx", "A 12145-2024")</f>
        <v/>
      </c>
      <c r="AB150">
        <f>HYPERLINK("https://klasma.github.io/Logging_0581/klagomålsmail/A 12145-2024 FSC-klagomål mail.docx", "A 12145-2024")</f>
        <v/>
      </c>
      <c r="AC150">
        <f>HYPERLINK("https://klasma.github.io/Logging_0581/tillsyn/A 12145-2024 tillsynsbegäran.docx", "A 12145-2024")</f>
        <v/>
      </c>
      <c r="AD150">
        <f>HYPERLINK("https://klasma.github.io/Logging_0581/tillsynsmail/A 12145-2024 tillsynsbegäran mail.docx", "A 12145-2024")</f>
        <v/>
      </c>
    </row>
    <row r="151" ht="15" customHeight="1">
      <c r="A151" t="inlineStr">
        <is>
          <t>A 9790-2024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45362</v>
      </c>
      <c r="E151" s="1" t="n">
        <v>46295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Mattlummer</t>
        </is>
      </c>
      <c r="W151">
        <f>HYPERLINK("https://klasma.github.io/Logging_0581/artfynd/A 9790-2024 artfynd.xlsx", "A 9790-2024")</f>
        <v/>
      </c>
      <c r="X151">
        <f>HYPERLINK("https://klasma.github.io/Logging_0581/kartor/A 9790-2024 karta.png", "A 9790-2024")</f>
        <v/>
      </c>
      <c r="Y151">
        <f>HYPERLINK("https://klasma.github.io/Logging_0581/kartor_geotiff/A 9790-2024 georefererad karta.tif", "A 9790-2024")</f>
        <v/>
      </c>
      <c r="AA151">
        <f>HYPERLINK("https://klasma.github.io/Logging_0581/klagomål/A 9790-2024 FSC-klagomål.docx", "A 9790-2024")</f>
        <v/>
      </c>
      <c r="AB151">
        <f>HYPERLINK("https://klasma.github.io/Logging_0581/klagomålsmail/A 9790-2024 FSC-klagomål mail.docx", "A 9790-2024")</f>
        <v/>
      </c>
      <c r="AC151">
        <f>HYPERLINK("https://klasma.github.io/Logging_0581/tillsyn/A 9790-2024 tillsynsbegäran.docx", "A 9790-2024")</f>
        <v/>
      </c>
      <c r="AD151">
        <f>HYPERLINK("https://klasma.github.io/Logging_0581/tillsynsmail/A 9790-2024 tillsynsbegäran mail.docx", "A 9790-2024")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46295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46295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46295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46295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46295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46295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Svedjenäva</t>
        </is>
      </c>
      <c r="W157">
        <f>HYPERLINK("https://klasma.github.io/Logging_0581/artfynd/A 8245-2023 artfynd.xlsx", "A 8245-2023")</f>
        <v/>
      </c>
      <c r="X157">
        <f>HYPERLINK("https://klasma.github.io/Logging_0581/kartor/A 8245-2023 karta.png", "A 8245-2023")</f>
        <v/>
      </c>
      <c r="Y157">
        <f>HYPERLINK("https://klasma.github.io/Logging_0581/kartor_geotiff/A 8245-2023 georefererad karta.tif", "A 8245-2023")</f>
        <v/>
      </c>
      <c r="AA157">
        <f>HYPERLINK("https://klasma.github.io/Logging_0581/klagomål/A 8245-2023 FSC-klagomål.docx", "A 8245-2023")</f>
        <v/>
      </c>
      <c r="AB157">
        <f>HYPERLINK("https://klasma.github.io/Logging_0581/klagomålsmail/A 8245-2023 FSC-klagomål mail.docx", "A 8245-2023")</f>
        <v/>
      </c>
      <c r="AC157">
        <f>HYPERLINK("https://klasma.github.io/Logging_0581/tillsyn/A 8245-2023 tillsynsbegäran.docx", "A 8245-2023")</f>
        <v/>
      </c>
      <c r="AD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46295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Grönpyrola</t>
        </is>
      </c>
      <c r="W158">
        <f>HYPERLINK("https://klasma.github.io/Logging_0581/artfynd/A 31897-2022 artfynd.xlsx", "A 31897-2022")</f>
        <v/>
      </c>
      <c r="X158">
        <f>HYPERLINK("https://klasma.github.io/Logging_0581/kartor/A 31897-2022 karta.png", "A 31897-2022")</f>
        <v/>
      </c>
      <c r="Y158">
        <f>HYPERLINK("https://klasma.github.io/Logging_0581/kartor_geotiff/A 31897-2022 georefererad karta.tif", "A 31897-2022")</f>
        <v/>
      </c>
      <c r="AA158">
        <f>HYPERLINK("https://klasma.github.io/Logging_0581/klagomål/A 31897-2022 FSC-klagomål.docx", "A 31897-2022")</f>
        <v/>
      </c>
      <c r="AB158">
        <f>HYPERLINK("https://klasma.github.io/Logging_0581/klagomålsmail/A 31897-2022 FSC-klagomål mail.docx", "A 31897-2022")</f>
        <v/>
      </c>
      <c r="AC158">
        <f>HYPERLINK("https://klasma.github.io/Logging_0581/tillsyn/A 31897-2022 tillsynsbegäran.docx", "A 31897-2022")</f>
        <v/>
      </c>
      <c r="AD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46295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57772-2022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46295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Fällmossa</t>
        </is>
      </c>
      <c r="W160">
        <f>HYPERLINK("https://klasma.github.io/Logging_0581/artfynd/A 57772-2022 artfynd.xlsx", "A 57772-2022")</f>
        <v/>
      </c>
      <c r="X160">
        <f>HYPERLINK("https://klasma.github.io/Logging_0581/kartor/A 57772-2022 karta.png", "A 57772-2022")</f>
        <v/>
      </c>
      <c r="Y160">
        <f>HYPERLINK("https://klasma.github.io/Logging_0581/kartor_geotiff/A 57772-2022 georefererad karta.tif", "A 57772-2022")</f>
        <v/>
      </c>
      <c r="AA160">
        <f>HYPERLINK("https://klasma.github.io/Logging_0581/klagomål/A 57772-2022 FSC-klagomål.docx", "A 57772-2022")</f>
        <v/>
      </c>
      <c r="AB160">
        <f>HYPERLINK("https://klasma.github.io/Logging_0581/klagomålsmail/A 57772-2022 FSC-klagomål mail.docx", "A 57772-2022")</f>
        <v/>
      </c>
      <c r="AC160">
        <f>HYPERLINK("https://klasma.github.io/Logging_0581/tillsyn/A 57772-2022 tillsynsbegäran.docx", "A 57772-2022")</f>
        <v/>
      </c>
      <c r="AD160">
        <f>HYPERLINK("https://klasma.github.io/Logging_0581/tillsynsmail/A 57772-2022 tillsynsbegäran mail.docx", "A 57772-2022")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46295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Tibast</t>
        </is>
      </c>
      <c r="W161">
        <f>HYPERLINK("https://klasma.github.io/Logging_0581/artfynd/A 29202-2026 artfynd.xlsx", "A 29202-2026")</f>
        <v/>
      </c>
      <c r="X161">
        <f>HYPERLINK("https://klasma.github.io/Logging_0581/kartor/A 29202-2026 karta.png", "A 29202-2026")</f>
        <v/>
      </c>
      <c r="Y161">
        <f>HYPERLINK("https://klasma.github.io/Logging_0581/kartor_geotiff/A 29202-2026 georefererad karta.tif", "A 29202-2026")</f>
        <v/>
      </c>
      <c r="AA161">
        <f>HYPERLINK("https://klasma.github.io/Logging_0581/klagomål/A 29202-2026 FSC-klagomål.docx", "A 29202-2026")</f>
        <v/>
      </c>
      <c r="AB161">
        <f>HYPERLINK("https://klasma.github.io/Logging_0581/klagomålsmail/A 29202-2026 FSC-klagomål mail.docx", "A 29202-2026")</f>
        <v/>
      </c>
      <c r="AC161">
        <f>HYPERLINK("https://klasma.github.io/Logging_0581/tillsyn/A 29202-2026 tillsynsbegäran.docx", "A 29202-2026")</f>
        <v/>
      </c>
      <c r="AD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41369-2023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46295</v>
      </c>
      <c r="F162" t="inlineStr">
        <is>
          <t>ÖSTERGÖTLANDS LÄN</t>
        </is>
      </c>
      <c r="G162" t="inlineStr">
        <is>
          <t>NORRKÖPING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Tallticka</t>
        </is>
      </c>
      <c r="W162">
        <f>HYPERLINK("https://klasma.github.io/Logging_0581/artfynd/A 41369-2023 artfynd.xlsx", "A 41369-2023")</f>
        <v/>
      </c>
      <c r="X162">
        <f>HYPERLINK("https://klasma.github.io/Logging_0581/kartor/A 41369-2023 karta.png", "A 41369-2023")</f>
        <v/>
      </c>
      <c r="Y162">
        <f>HYPERLINK("https://klasma.github.io/Logging_0581/kartor_geotiff/A 41369-2023 georefererad karta.tif", "A 41369-2023")</f>
        <v/>
      </c>
      <c r="AA162">
        <f>HYPERLINK("https://klasma.github.io/Logging_0581/klagomål/A 41369-2023 FSC-klagomål.docx", "A 41369-2023")</f>
        <v/>
      </c>
      <c r="AB162">
        <f>HYPERLINK("https://klasma.github.io/Logging_0581/klagomålsmail/A 41369-2023 FSC-klagomål mail.docx", "A 41369-2023")</f>
        <v/>
      </c>
      <c r="AC162">
        <f>HYPERLINK("https://klasma.github.io/Logging_0581/tillsyn/A 41369-2023 tillsynsbegäran.docx", "A 41369-2023")</f>
        <v/>
      </c>
      <c r="AD162">
        <f>HYPERLINK("https://klasma.github.io/Logging_0581/tillsynsmail/A 41369-2023 tillsynsbegäran mail.docx", "A 41369-2023")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46295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31254-2026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46295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Raggbock</t>
        </is>
      </c>
      <c r="W164">
        <f>HYPERLINK("https://klasma.github.io/Logging_0581/artfynd/A 31254-2026 artfynd.xlsx", "A 31254-2026")</f>
        <v/>
      </c>
      <c r="X164">
        <f>HYPERLINK("https://klasma.github.io/Logging_0581/kartor/A 31254-2026 karta.png", "A 31254-2026")</f>
        <v/>
      </c>
      <c r="Y164">
        <f>HYPERLINK("https://klasma.github.io/Logging_0581/kartor_geotiff/A 31254-2026 georefererad karta.tif", "A 31254-2026")</f>
        <v/>
      </c>
      <c r="AA164">
        <f>HYPERLINK("https://klasma.github.io/Logging_0581/klagomål/A 31254-2026 FSC-klagomål.docx", "A 31254-2026")</f>
        <v/>
      </c>
      <c r="AB164">
        <f>HYPERLINK("https://klasma.github.io/Logging_0581/klagomålsmail/A 31254-2026 FSC-klagomål mail.docx", "A 31254-2026")</f>
        <v/>
      </c>
      <c r="AC164">
        <f>HYPERLINK("https://klasma.github.io/Logging_0581/tillsyn/A 31254-2026 tillsynsbegäran.docx", "A 31254-2026")</f>
        <v/>
      </c>
      <c r="AD164">
        <f>HYPERLINK("https://klasma.github.io/Logging_0581/tillsynsmail/A 31254-2026 tillsynsbegäran mail.docx", "A 31254-2026")</f>
        <v/>
      </c>
    </row>
    <row r="165" ht="15" customHeight="1">
      <c r="A165" t="inlineStr">
        <is>
          <t>A 31325-2026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46219</v>
      </c>
      <c r="E165" s="1" t="n">
        <v>46295</v>
      </c>
      <c r="F165" t="inlineStr">
        <is>
          <t>ÖSTERGÖTLANDS LÄN</t>
        </is>
      </c>
      <c r="G165" t="inlineStr">
        <is>
          <t>NORRKÖPING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Bergsslok</t>
        </is>
      </c>
      <c r="W165">
        <f>HYPERLINK("https://klasma.github.io/Logging_0581/artfynd/A 31325-2026 artfynd.xlsx", "A 31325-2026")</f>
        <v/>
      </c>
      <c r="X165">
        <f>HYPERLINK("https://klasma.github.io/Logging_0581/kartor/A 31325-2026 karta.png", "A 31325-2026")</f>
        <v/>
      </c>
      <c r="Y165">
        <f>HYPERLINK("https://klasma.github.io/Logging_0581/kartor_geotiff/A 31325-2026 georefererad karta.tif", "A 31325-2026")</f>
        <v/>
      </c>
      <c r="AA165">
        <f>HYPERLINK("https://klasma.github.io/Logging_0581/klagomål/A 31325-2026 FSC-klagomål.docx", "A 31325-2026")</f>
        <v/>
      </c>
      <c r="AB165">
        <f>HYPERLINK("https://klasma.github.io/Logging_0581/klagomålsmail/A 31325-2026 FSC-klagomål mail.docx", "A 31325-2026")</f>
        <v/>
      </c>
      <c r="AC165">
        <f>HYPERLINK("https://klasma.github.io/Logging_0581/tillsyn/A 31325-2026 tillsynsbegäran.docx", "A 31325-2026")</f>
        <v/>
      </c>
      <c r="AD165">
        <f>HYPERLINK("https://klasma.github.io/Logging_0581/tillsynsmail/A 31325-2026 tillsynsbegäran mail.docx", "A 31325-2026")</f>
        <v/>
      </c>
    </row>
    <row r="166" ht="15" customHeight="1">
      <c r="A166" t="inlineStr">
        <is>
          <t>A 14329-2022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44652</v>
      </c>
      <c r="E166" s="1" t="n">
        <v>46295</v>
      </c>
      <c r="F166" t="inlineStr">
        <is>
          <t>ÖSTERGÖTLANDS LÄN</t>
        </is>
      </c>
      <c r="G166" t="inlineStr">
        <is>
          <t>NORRKÖPING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skogslilja</t>
        </is>
      </c>
      <c r="W166">
        <f>HYPERLINK("https://klasma.github.io/Logging_0581/artfynd/A 14329-2022 artfynd.xlsx", "A 14329-2022")</f>
        <v/>
      </c>
      <c r="X166">
        <f>HYPERLINK("https://klasma.github.io/Logging_0581/kartor/A 14329-2022 karta.png", "A 14329-2022")</f>
        <v/>
      </c>
      <c r="Y166">
        <f>HYPERLINK("https://klasma.github.io/Logging_0581/kartor_geotiff/A 14329-2022 georefererad karta.tif", "A 14329-2022")</f>
        <v/>
      </c>
      <c r="AA166">
        <f>HYPERLINK("https://klasma.github.io/Logging_0581/klagomål/A 14329-2022 FSC-klagomål.docx", "A 14329-2022")</f>
        <v/>
      </c>
      <c r="AB166">
        <f>HYPERLINK("https://klasma.github.io/Logging_0581/klagomålsmail/A 14329-2022 FSC-klagomål mail.docx", "A 14329-2022")</f>
        <v/>
      </c>
      <c r="AC166">
        <f>HYPERLINK("https://klasma.github.io/Logging_0581/tillsyn/A 14329-2022 tillsynsbegäran.docx", "A 14329-2022")</f>
        <v/>
      </c>
      <c r="AD166">
        <f>HYPERLINK("https://klasma.github.io/Logging_0581/tillsynsmail/A 14329-2022 tillsynsbegäran mail.docx", "A 14329-2022")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46295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15124-2025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46295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Vedskivlav</t>
        </is>
      </c>
      <c r="W168">
        <f>HYPERLINK("https://klasma.github.io/Logging_0581/artfynd/A 15124-2025 artfynd.xlsx", "A 15124-2025")</f>
        <v/>
      </c>
      <c r="X168">
        <f>HYPERLINK("https://klasma.github.io/Logging_0581/kartor/A 15124-2025 karta.png", "A 15124-2025")</f>
        <v/>
      </c>
      <c r="Y168">
        <f>HYPERLINK("https://klasma.github.io/Logging_0581/kartor_geotiff/A 15124-2025 georefererad karta.tif", "A 15124-2025")</f>
        <v/>
      </c>
      <c r="AA168">
        <f>HYPERLINK("https://klasma.github.io/Logging_0581/klagomål/A 15124-2025 FSC-klagomål.docx", "A 15124-2025")</f>
        <v/>
      </c>
      <c r="AB168">
        <f>HYPERLINK("https://klasma.github.io/Logging_0581/klagomålsmail/A 15124-2025 FSC-klagomål mail.docx", "A 15124-2025")</f>
        <v/>
      </c>
      <c r="AC168">
        <f>HYPERLINK("https://klasma.github.io/Logging_0581/tillsyn/A 15124-2025 tillsynsbegäran.docx", "A 15124-2025")</f>
        <v/>
      </c>
      <c r="AD168">
        <f>HYPERLINK("https://klasma.github.io/Logging_0581/tillsynsmail/A 15124-2025 tillsynsbegäran mail.docx", "A 15124-2025")</f>
        <v/>
      </c>
    </row>
    <row r="169" ht="15" customHeight="1">
      <c r="A169" t="inlineStr">
        <is>
          <t>A 15143-2025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46295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Vedskivlav</t>
        </is>
      </c>
      <c r="W169">
        <f>HYPERLINK("https://klasma.github.io/Logging_0581/artfynd/A 15143-2025 artfynd.xlsx", "A 15143-2025")</f>
        <v/>
      </c>
      <c r="X169">
        <f>HYPERLINK("https://klasma.github.io/Logging_0581/kartor/A 15143-2025 karta.png", "A 15143-2025")</f>
        <v/>
      </c>
      <c r="Y169">
        <f>HYPERLINK("https://klasma.github.io/Logging_0581/kartor_geotiff/A 15143-2025 georefererad karta.tif", "A 15143-2025")</f>
        <v/>
      </c>
      <c r="AA169">
        <f>HYPERLINK("https://klasma.github.io/Logging_0581/klagomål/A 15143-2025 FSC-klagomål.docx", "A 15143-2025")</f>
        <v/>
      </c>
      <c r="AB169">
        <f>HYPERLINK("https://klasma.github.io/Logging_0581/klagomålsmail/A 15143-2025 FSC-klagomål mail.docx", "A 15143-2025")</f>
        <v/>
      </c>
      <c r="AC169">
        <f>HYPERLINK("https://klasma.github.io/Logging_0581/tillsyn/A 15143-2025 tillsynsbegäran.docx", "A 15143-2025")</f>
        <v/>
      </c>
      <c r="AD169">
        <f>HYPERLINK("https://klasma.github.io/Logging_0581/tillsynsmail/A 15143-2025 tillsynsbegäran mail.docx", "A 15143-2025")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46295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32070-2026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46295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32070-2026 artfynd.xlsx", "A 32070-2026")</f>
        <v/>
      </c>
      <c r="X171">
        <f>HYPERLINK("https://klasma.github.io/Logging_0581/kartor/A 32070-2026 karta.png", "A 32070-2026")</f>
        <v/>
      </c>
      <c r="Y171">
        <f>HYPERLINK("https://klasma.github.io/Logging_0581/kartor_geotiff/A 32070-2026 georefererad karta.tif", "A 32070-2026")</f>
        <v/>
      </c>
      <c r="AA171">
        <f>HYPERLINK("https://klasma.github.io/Logging_0581/klagomål/A 32070-2026 FSC-klagomål.docx", "A 32070-2026")</f>
        <v/>
      </c>
      <c r="AB171">
        <f>HYPERLINK("https://klasma.github.io/Logging_0581/klagomålsmail/A 32070-2026 FSC-klagomål mail.docx", "A 32070-2026")</f>
        <v/>
      </c>
      <c r="AC171">
        <f>HYPERLINK("https://klasma.github.io/Logging_0581/tillsyn/A 32070-2026 tillsynsbegäran.docx", "A 32070-2026")</f>
        <v/>
      </c>
      <c r="AD171">
        <f>HYPERLINK("https://klasma.github.io/Logging_0581/tillsynsmail/A 32070-2026 tillsynsbegäran mail.docx", "A 32070-2026")</f>
        <v/>
      </c>
    </row>
    <row r="172" ht="15" customHeight="1">
      <c r="A172" t="inlineStr">
        <is>
          <t>A 32075-2026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46295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Grönpyrola</t>
        </is>
      </c>
      <c r="W172">
        <f>HYPERLINK("https://klasma.github.io/Logging_0581/artfynd/A 32075-2026 artfynd.xlsx", "A 32075-2026")</f>
        <v/>
      </c>
      <c r="X172">
        <f>HYPERLINK("https://klasma.github.io/Logging_0581/kartor/A 32075-2026 karta.png", "A 32075-2026")</f>
        <v/>
      </c>
      <c r="Y172">
        <f>HYPERLINK("https://klasma.github.io/Logging_0581/kartor_geotiff/A 32075-2026 georefererad karta.tif", "A 32075-2026")</f>
        <v/>
      </c>
      <c r="AA172">
        <f>HYPERLINK("https://klasma.github.io/Logging_0581/klagomål/A 32075-2026 FSC-klagomål.docx", "A 32075-2026")</f>
        <v/>
      </c>
      <c r="AB172">
        <f>HYPERLINK("https://klasma.github.io/Logging_0581/klagomålsmail/A 32075-2026 FSC-klagomål mail.docx", "A 32075-2026")</f>
        <v/>
      </c>
      <c r="AC172">
        <f>HYPERLINK("https://klasma.github.io/Logging_0581/tillsyn/A 32075-2026 tillsynsbegäran.docx", "A 32075-2026")</f>
        <v/>
      </c>
      <c r="AD172">
        <f>HYPERLINK("https://klasma.github.io/Logging_0581/tillsynsmail/A 32075-2026 tillsynsbegäran mail.docx", "A 32075-2026")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46295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32815-2026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46295</v>
      </c>
      <c r="F174" t="inlineStr">
        <is>
          <t>ÖSTERGÖTLANDS LÄN</t>
        </is>
      </c>
      <c r="G174" t="inlineStr">
        <is>
          <t>NORRKÖPING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Ärtsångare</t>
        </is>
      </c>
      <c r="W174">
        <f>HYPERLINK("https://klasma.github.io/Logging_0581/artfynd/A 32815-2026 artfynd.xlsx", "A 32815-2026")</f>
        <v/>
      </c>
      <c r="X174">
        <f>HYPERLINK("https://klasma.github.io/Logging_0581/kartor/A 32815-2026 karta.png", "A 32815-2026")</f>
        <v/>
      </c>
      <c r="Y174">
        <f>HYPERLINK("https://klasma.github.io/Logging_0581/kartor_geotiff/A 32815-2026 georefererad karta.tif", "A 32815-2026")</f>
        <v/>
      </c>
      <c r="AA174">
        <f>HYPERLINK("https://klasma.github.io/Logging_0581/klagomål/A 32815-2026 FSC-klagomål.docx", "A 32815-2026")</f>
        <v/>
      </c>
      <c r="AB174">
        <f>HYPERLINK("https://klasma.github.io/Logging_0581/klagomålsmail/A 32815-2026 FSC-klagomål mail.docx", "A 32815-2026")</f>
        <v/>
      </c>
      <c r="AC174">
        <f>HYPERLINK("https://klasma.github.io/Logging_0581/tillsyn/A 32815-2026 tillsynsbegäran.docx", "A 32815-2026")</f>
        <v/>
      </c>
      <c r="AD174">
        <f>HYPERLINK("https://klasma.github.io/Logging_0581/tillsynsmail/A 32815-2026 tillsynsbegäran mail.docx", "A 32815-2026")</f>
        <v/>
      </c>
    </row>
    <row r="175" ht="15" customHeight="1">
      <c r="A175" t="inlineStr">
        <is>
          <t>A 58318-2023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45250</v>
      </c>
      <c r="E175" s="1" t="n">
        <v>46295</v>
      </c>
      <c r="F175" t="inlineStr">
        <is>
          <t>ÖSTERGÖTLANDS LÄN</t>
        </is>
      </c>
      <c r="G175" t="inlineStr">
        <is>
          <t>NORRKÖPING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Havsörn</t>
        </is>
      </c>
      <c r="W175">
        <f>HYPERLINK("https://klasma.github.io/Logging_0581/artfynd/A 58318-2023 artfynd.xlsx", "A 58318-2023")</f>
        <v/>
      </c>
      <c r="X175">
        <f>HYPERLINK("https://klasma.github.io/Logging_0581/kartor/A 58318-2023 karta.png", "A 58318-2023")</f>
        <v/>
      </c>
      <c r="Y175">
        <f>HYPERLINK("https://klasma.github.io/Logging_0581/kartor_geotiff/A 58318-2023 georefererad karta.tif", "A 58318-2023")</f>
        <v/>
      </c>
      <c r="AA175">
        <f>HYPERLINK("https://klasma.github.io/Logging_0581/klagomål/A 58318-2023 FSC-klagomål.docx", "A 58318-2023")</f>
        <v/>
      </c>
      <c r="AB175">
        <f>HYPERLINK("https://klasma.github.io/Logging_0581/klagomålsmail/A 58318-2023 FSC-klagomål mail.docx", "A 58318-2023")</f>
        <v/>
      </c>
      <c r="AC175">
        <f>HYPERLINK("https://klasma.github.io/Logging_0581/tillsyn/A 58318-2023 tillsynsbegäran.docx", "A 58318-2023")</f>
        <v/>
      </c>
      <c r="AD175">
        <f>HYPERLINK("https://klasma.github.io/Logging_0581/tillsynsmail/A 58318-2023 tillsynsbegäran mail.docx", "A 58318-2023")</f>
        <v/>
      </c>
      <c r="AE175">
        <f>HYPERLINK("https://klasma.github.io/Logging_0581/fåglar/A 58318-2023 prioriterade fågelarter.docx", "A 58318-2023")</f>
        <v/>
      </c>
    </row>
    <row r="176" ht="15" customHeight="1">
      <c r="A176" t="inlineStr">
        <is>
          <t>A 15870-2024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46295</v>
      </c>
      <c r="F176" t="inlineStr">
        <is>
          <t>ÖSTERGÖTLANDS LÄN</t>
        </is>
      </c>
      <c r="G176" t="inlineStr">
        <is>
          <t>NORRKÖPING</t>
        </is>
      </c>
      <c r="I176" t="n">
        <v>1.3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Mörk dunört</t>
        </is>
      </c>
      <c r="W176">
        <f>HYPERLINK("https://klasma.github.io/Logging_0581/artfynd/A 15870-2024 artfynd.xlsx", "A 15870-2024")</f>
        <v/>
      </c>
      <c r="X176">
        <f>HYPERLINK("https://klasma.github.io/Logging_0581/kartor/A 15870-2024 karta.png", "A 15870-2024")</f>
        <v/>
      </c>
      <c r="Y176">
        <f>HYPERLINK("https://klasma.github.io/Logging_0581/kartor_geotiff/A 15870-2024 georefererad karta.tif", "A 15870-2024")</f>
        <v/>
      </c>
      <c r="AA176">
        <f>HYPERLINK("https://klasma.github.io/Logging_0581/klagomål/A 15870-2024 FSC-klagomål.docx", "A 15870-2024")</f>
        <v/>
      </c>
      <c r="AB176">
        <f>HYPERLINK("https://klasma.github.io/Logging_0581/klagomålsmail/A 15870-2024 FSC-klagomål mail.docx", "A 15870-2024")</f>
        <v/>
      </c>
      <c r="AC176">
        <f>HYPERLINK("https://klasma.github.io/Logging_0581/tillsyn/A 15870-2024 tillsynsbegäran.docx", "A 15870-2024")</f>
        <v/>
      </c>
      <c r="AD176">
        <f>HYPERLINK("https://klasma.github.io/Logging_0581/tillsynsmail/A 15870-2024 tillsynsbegäran mail.docx", "A 15870-2024")</f>
        <v/>
      </c>
    </row>
    <row r="177" ht="15" customHeight="1">
      <c r="A177" t="inlineStr">
        <is>
          <t>A 39427-2026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46295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9.800000000000001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Sångsvan</t>
        </is>
      </c>
      <c r="W177">
        <f>HYPERLINK("https://klasma.github.io/Logging_0581/artfynd/A 39427-2026 artfynd.xlsx", "A 39427-2026")</f>
        <v/>
      </c>
      <c r="X177">
        <f>HYPERLINK("https://klasma.github.io/Logging_0581/kartor/A 39427-2026 karta.png", "A 39427-2026")</f>
        <v/>
      </c>
      <c r="Y177">
        <f>HYPERLINK("https://klasma.github.io/Logging_0581/kartor_geotiff/A 39427-2026 georefererad karta.tif", "A 39427-2026")</f>
        <v/>
      </c>
      <c r="AA177">
        <f>HYPERLINK("https://klasma.github.io/Logging_0581/klagomål/A 39427-2026 FSC-klagomål.docx", "A 39427-2026")</f>
        <v/>
      </c>
      <c r="AB177">
        <f>HYPERLINK("https://klasma.github.io/Logging_0581/klagomålsmail/A 39427-2026 FSC-klagomål mail.docx", "A 39427-2026")</f>
        <v/>
      </c>
      <c r="AC177">
        <f>HYPERLINK("https://klasma.github.io/Logging_0581/tillsyn/A 39427-2026 tillsynsbegäran.docx", "A 39427-2026")</f>
        <v/>
      </c>
      <c r="AD177">
        <f>HYPERLINK("https://klasma.github.io/Logging_0581/tillsynsmail/A 39427-2026 tillsynsbegäran mail.docx", "A 39427-2026")</f>
        <v/>
      </c>
      <c r="AE177">
        <f>HYPERLINK("https://klasma.github.io/Logging_0581/fåglar/A 39427-2026 prioriterade fågelarter.docx", "A 39427-2026")</f>
        <v/>
      </c>
    </row>
    <row r="178" ht="15" customHeight="1">
      <c r="A178" t="inlineStr">
        <is>
          <t>A 11520-2025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46295</v>
      </c>
      <c r="F178" t="inlineStr">
        <is>
          <t>ÖSTERGÖTLANDS LÄN</t>
        </is>
      </c>
      <c r="G178" t="inlineStr">
        <is>
          <t>NORRKÖPING</t>
        </is>
      </c>
      <c r="I178" t="n">
        <v>1.7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Myskbock</t>
        </is>
      </c>
      <c r="W178">
        <f>HYPERLINK("https://klasma.github.io/Logging_0581/artfynd/A 11520-2025 artfynd.xlsx", "A 11520-2025")</f>
        <v/>
      </c>
      <c r="X178">
        <f>HYPERLINK("https://klasma.github.io/Logging_0581/kartor/A 11520-2025 karta.png", "A 11520-2025")</f>
        <v/>
      </c>
      <c r="Y178">
        <f>HYPERLINK("https://klasma.github.io/Logging_0581/kartor_geotiff/A 11520-2025 georefererad karta.tif", "A 11520-2025")</f>
        <v/>
      </c>
      <c r="AA178">
        <f>HYPERLINK("https://klasma.github.io/Logging_0581/klagomål/A 11520-2025 FSC-klagomål.docx", "A 11520-2025")</f>
        <v/>
      </c>
      <c r="AB178">
        <f>HYPERLINK("https://klasma.github.io/Logging_0581/klagomålsmail/A 11520-2025 FSC-klagomål mail.docx", "A 11520-2025")</f>
        <v/>
      </c>
      <c r="AC178">
        <f>HYPERLINK("https://klasma.github.io/Logging_0581/tillsyn/A 11520-2025 tillsynsbegäran.docx", "A 11520-2025")</f>
        <v/>
      </c>
      <c r="AD178">
        <f>HYPERLINK("https://klasma.github.io/Logging_0581/tillsynsmail/A 11520-2025 tillsynsbegäran mail.docx", "A 11520-2025")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46295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46295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46295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46295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46295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46295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46295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46295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46295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46295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46295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46295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46295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46295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46295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46295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46295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46295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46295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46295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44475</v>
      </c>
      <c r="E199" s="1" t="n">
        <v>46295</v>
      </c>
      <c r="F199" t="inlineStr">
        <is>
          <t>ÖSTERGÖTLANDS LÄN</t>
        </is>
      </c>
      <c r="G199" t="inlineStr">
        <is>
          <t>NORRKÖPING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46295</v>
      </c>
      <c r="F200" t="inlineStr">
        <is>
          <t>ÖSTERGÖTLANDS LÄN</t>
        </is>
      </c>
      <c r="G200" t="inlineStr">
        <is>
          <t>NORRKÖPING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44630</v>
      </c>
      <c r="E201" s="1" t="n">
        <v>46295</v>
      </c>
      <c r="F201" t="inlineStr">
        <is>
          <t>ÖSTERGÖTLANDS LÄN</t>
        </is>
      </c>
      <c r="G201" t="inlineStr">
        <is>
          <t>NORRKÖPING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69038-2021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46295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44503</v>
      </c>
      <c r="E203" s="1" t="n">
        <v>46295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46295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55429-2021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46295</v>
      </c>
      <c r="F205" t="inlineStr">
        <is>
          <t>ÖSTERGÖTLANDS LÄN</t>
        </is>
      </c>
      <c r="G205" t="inlineStr">
        <is>
          <t>NORRKÖPING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46295</v>
      </c>
      <c r="F206" t="inlineStr">
        <is>
          <t>ÖSTERGÖTLANDS LÄN</t>
        </is>
      </c>
      <c r="G206" t="inlineStr">
        <is>
          <t>NORRKÖPING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46295</v>
      </c>
      <c r="F207" t="inlineStr">
        <is>
          <t>ÖSTERGÖTLANDS LÄN</t>
        </is>
      </c>
      <c r="G207" t="inlineStr">
        <is>
          <t>NORRKÖPING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46295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46295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46295</v>
      </c>
      <c r="F210" t="inlineStr">
        <is>
          <t>ÖSTERGÖTLANDS LÄN</t>
        </is>
      </c>
      <c r="G210" t="inlineStr">
        <is>
          <t>NORRKÖPING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46295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46295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46295</v>
      </c>
      <c r="F213" t="inlineStr">
        <is>
          <t>ÖSTERGÖTLANDS LÄN</t>
        </is>
      </c>
      <c r="G213" t="inlineStr">
        <is>
          <t>NORRKÖPING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44730</v>
      </c>
      <c r="E214" s="1" t="n">
        <v>46295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Allmännings- och besparingsskogar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46295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BillerudKorsnäs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46295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44740</v>
      </c>
      <c r="E217" s="1" t="n">
        <v>46295</v>
      </c>
      <c r="F217" t="inlineStr">
        <is>
          <t>ÖSTERGÖTLANDS LÄN</t>
        </is>
      </c>
      <c r="G217" t="inlineStr">
        <is>
          <t>NORRKÖPING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46295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44726</v>
      </c>
      <c r="E219" s="1" t="n">
        <v>46295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Allmännings- och besparingsskogar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58093-2021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44487</v>
      </c>
      <c r="E220" s="1" t="n">
        <v>46295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44596</v>
      </c>
      <c r="E221" s="1" t="n">
        <v>46295</v>
      </c>
      <c r="F221" t="inlineStr">
        <is>
          <t>ÖSTERGÖTLANDS LÄN</t>
        </is>
      </c>
      <c r="G221" t="inlineStr">
        <is>
          <t>NORRKÖPING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44630</v>
      </c>
      <c r="E222" s="1" t="n">
        <v>46295</v>
      </c>
      <c r="F222" t="inlineStr">
        <is>
          <t>ÖSTERGÖTLANDS LÄN</t>
        </is>
      </c>
      <c r="G222" t="inlineStr">
        <is>
          <t>NORRKÖPING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46295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46295</v>
      </c>
      <c r="F224" t="inlineStr">
        <is>
          <t>ÖSTERGÖTLANDS LÄN</t>
        </is>
      </c>
      <c r="G224" t="inlineStr">
        <is>
          <t>NORRKÖPING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45043</v>
      </c>
      <c r="E225" s="1" t="n">
        <v>46295</v>
      </c>
      <c r="F225" t="inlineStr">
        <is>
          <t>ÖSTERGÖTLANDS LÄN</t>
        </is>
      </c>
      <c r="G225" t="inlineStr">
        <is>
          <t>NORRKÖPING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46295</v>
      </c>
      <c r="F226" t="inlineStr">
        <is>
          <t>ÖSTERGÖTLANDS LÄN</t>
        </is>
      </c>
      <c r="G226" t="inlineStr">
        <is>
          <t>NORRKÖPING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46295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46295</v>
      </c>
      <c r="F228" t="inlineStr">
        <is>
          <t>ÖSTERGÖTLANDS LÄN</t>
        </is>
      </c>
      <c r="G228" t="inlineStr">
        <is>
          <t>NORRKÖPING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44825</v>
      </c>
      <c r="E229" s="1" t="n">
        <v>46295</v>
      </c>
      <c r="F229" t="inlineStr">
        <is>
          <t>ÖSTERGÖTLANDS LÄN</t>
        </is>
      </c>
      <c r="G229" t="inlineStr">
        <is>
          <t>NORRKÖPING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50157-2022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44865</v>
      </c>
      <c r="E230" s="1" t="n">
        <v>46295</v>
      </c>
      <c r="F230" t="inlineStr">
        <is>
          <t>ÖSTERGÖTLANDS LÄN</t>
        </is>
      </c>
      <c r="G230" t="inlineStr">
        <is>
          <t>NORRKÖPING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46295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46295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44862</v>
      </c>
      <c r="E233" s="1" t="n">
        <v>46295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35701-2024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45532</v>
      </c>
      <c r="E234" s="1" t="n">
        <v>46295</v>
      </c>
      <c r="F234" t="inlineStr">
        <is>
          <t>ÖSTERGÖTLANDS LÄN</t>
        </is>
      </c>
      <c r="G234" t="inlineStr">
        <is>
          <t>NORRKÖPING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46295</v>
      </c>
      <c r="F235" t="inlineStr">
        <is>
          <t>ÖSTERGÖTLANDS LÄN</t>
        </is>
      </c>
      <c r="G235" t="inlineStr">
        <is>
          <t>NORRKÖPING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44805</v>
      </c>
      <c r="E236" s="1" t="n">
        <v>46295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Allmännings- och besparingsskogar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45118</v>
      </c>
      <c r="E237" s="1" t="n">
        <v>46295</v>
      </c>
      <c r="F237" t="inlineStr">
        <is>
          <t>ÖSTERGÖTLANDS LÄN</t>
        </is>
      </c>
      <c r="G237" t="inlineStr">
        <is>
          <t>NORRKÖPING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10798-2024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45369</v>
      </c>
      <c r="E238" s="1" t="n">
        <v>46295</v>
      </c>
      <c r="F238" t="inlineStr">
        <is>
          <t>ÖSTERGÖTLANDS LÄN</t>
        </is>
      </c>
      <c r="G238" t="inlineStr">
        <is>
          <t>NORRKÖPING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45336</v>
      </c>
      <c r="E239" s="1" t="n">
        <v>46295</v>
      </c>
      <c r="F239" t="inlineStr">
        <is>
          <t>ÖSTERGÖTLANDS LÄN</t>
        </is>
      </c>
      <c r="G239" t="inlineStr">
        <is>
          <t>NORRKÖPING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46295</v>
      </c>
      <c r="F240" t="inlineStr">
        <is>
          <t>ÖSTERGÖTLANDS LÄN</t>
        </is>
      </c>
      <c r="G240" t="inlineStr">
        <is>
          <t>NORRKÖPING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46295</v>
      </c>
      <c r="F241" t="inlineStr">
        <is>
          <t>ÖSTERGÖTLANDS LÄN</t>
        </is>
      </c>
      <c r="G241" t="inlineStr">
        <is>
          <t>NORRKÖPING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49062-2022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44860</v>
      </c>
      <c r="E242" s="1" t="n">
        <v>46295</v>
      </c>
      <c r="F242" t="inlineStr">
        <is>
          <t>ÖSTERGÖTLANDS LÄN</t>
        </is>
      </c>
      <c r="G242" t="inlineStr">
        <is>
          <t>NORRKÖPING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49617-2022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44862</v>
      </c>
      <c r="E243" s="1" t="n">
        <v>46295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45386</v>
      </c>
      <c r="E244" s="1" t="n">
        <v>46295</v>
      </c>
      <c r="F244" t="inlineStr">
        <is>
          <t>ÖSTERGÖTLANDS LÄN</t>
        </is>
      </c>
      <c r="G244" t="inlineStr">
        <is>
          <t>NORRKÖPING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45317</v>
      </c>
      <c r="E245" s="1" t="n">
        <v>46295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45425</v>
      </c>
      <c r="E246" s="1" t="n">
        <v>46295</v>
      </c>
      <c r="F246" t="inlineStr">
        <is>
          <t>ÖSTERGÖTLANDS LÄN</t>
        </is>
      </c>
      <c r="G246" t="inlineStr">
        <is>
          <t>NORRKÖPING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46295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46295</v>
      </c>
      <c r="F248" t="inlineStr">
        <is>
          <t>ÖSTERGÖTLANDS LÄN</t>
        </is>
      </c>
      <c r="G248" t="inlineStr">
        <is>
          <t>NORRKÖPING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46295</v>
      </c>
      <c r="F249" t="inlineStr">
        <is>
          <t>ÖSTERGÖTLANDS LÄN</t>
        </is>
      </c>
      <c r="G249" t="inlineStr">
        <is>
          <t>NORRKÖPING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45317</v>
      </c>
      <c r="E250" s="1" t="n">
        <v>46295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45128</v>
      </c>
      <c r="E251" s="1" t="n">
        <v>46295</v>
      </c>
      <c r="F251" t="inlineStr">
        <is>
          <t>ÖSTERGÖTLANDS LÄN</t>
        </is>
      </c>
      <c r="G251" t="inlineStr">
        <is>
          <t>NORRKÖPING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46295</v>
      </c>
      <c r="F252" t="inlineStr">
        <is>
          <t>ÖSTERGÖTLANDS LÄN</t>
        </is>
      </c>
      <c r="G252" t="inlineStr">
        <is>
          <t>NORRKÖPING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1914-2023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44939</v>
      </c>
      <c r="E253" s="1" t="n">
        <v>46295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Naturvårdsverket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46295</v>
      </c>
      <c r="F254" t="inlineStr">
        <is>
          <t>ÖSTERGÖTLANDS LÄN</t>
        </is>
      </c>
      <c r="G254" t="inlineStr">
        <is>
          <t>NORRKÖPING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44858</v>
      </c>
      <c r="E255" s="1" t="n">
        <v>46295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45678</v>
      </c>
      <c r="E256" s="1" t="n">
        <v>46295</v>
      </c>
      <c r="F256" t="inlineStr">
        <is>
          <t>ÖSTERGÖTLANDS LÄN</t>
        </is>
      </c>
      <c r="G256" t="inlineStr">
        <is>
          <t>NORRKÖPING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46295</v>
      </c>
      <c r="F257" t="inlineStr">
        <is>
          <t>ÖSTERGÖTLANDS LÄN</t>
        </is>
      </c>
      <c r="G257" t="inlineStr">
        <is>
          <t>NORRKÖPING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46295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46295</v>
      </c>
      <c r="F259" t="inlineStr">
        <is>
          <t>ÖSTERGÖTLANDS LÄN</t>
        </is>
      </c>
      <c r="G259" t="inlineStr">
        <is>
          <t>NORRKÖPING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46295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45259</v>
      </c>
      <c r="E261" s="1" t="n">
        <v>46295</v>
      </c>
      <c r="F261" t="inlineStr">
        <is>
          <t>ÖSTERGÖTLANDS LÄN</t>
        </is>
      </c>
      <c r="G261" t="inlineStr">
        <is>
          <t>NORRKÖPING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58525-2021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44488</v>
      </c>
      <c r="E262" s="1" t="n">
        <v>46295</v>
      </c>
      <c r="F262" t="inlineStr">
        <is>
          <t>ÖSTERGÖTLANDS LÄN</t>
        </is>
      </c>
      <c r="G262" t="inlineStr">
        <is>
          <t>NORRKÖPING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46295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46295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46010</v>
      </c>
      <c r="E265" s="1" t="n">
        <v>46295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46295</v>
      </c>
      <c r="F266" t="inlineStr">
        <is>
          <t>ÖSTERGÖTLANDS LÄN</t>
        </is>
      </c>
      <c r="G266" t="inlineStr">
        <is>
          <t>NORRKÖPING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45490</v>
      </c>
      <c r="E267" s="1" t="n">
        <v>46295</v>
      </c>
      <c r="F267" t="inlineStr">
        <is>
          <t>ÖSTERGÖTLANDS LÄN</t>
        </is>
      </c>
      <c r="G267" t="inlineStr">
        <is>
          <t>NORRKÖPING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44930</v>
      </c>
      <c r="E268" s="1" t="n">
        <v>46295</v>
      </c>
      <c r="F268" t="inlineStr">
        <is>
          <t>ÖSTERGÖTLANDS LÄN</t>
        </is>
      </c>
      <c r="G268" t="inlineStr">
        <is>
          <t>NORRKÖPING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46295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46295</v>
      </c>
      <c r="F270" t="inlineStr">
        <is>
          <t>ÖSTERGÖTLANDS LÄN</t>
        </is>
      </c>
      <c r="G270" t="inlineStr">
        <is>
          <t>NORRKÖPING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46295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46295</v>
      </c>
      <c r="F272" t="inlineStr">
        <is>
          <t>ÖSTERGÖTLANDS LÄN</t>
        </is>
      </c>
      <c r="G272" t="inlineStr">
        <is>
          <t>NORRKÖPING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46295</v>
      </c>
      <c r="F273" t="inlineStr">
        <is>
          <t>ÖSTERGÖTLANDS LÄN</t>
        </is>
      </c>
      <c r="G273" t="inlineStr">
        <is>
          <t>NORRKÖPING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46295</v>
      </c>
      <c r="F274" t="inlineStr">
        <is>
          <t>ÖSTERGÖTLANDS LÄN</t>
        </is>
      </c>
      <c r="G274" t="inlineStr">
        <is>
          <t>NORRKÖPING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46295</v>
      </c>
      <c r="F275" t="inlineStr">
        <is>
          <t>ÖSTERGÖTLANDS LÄN</t>
        </is>
      </c>
      <c r="G275" t="inlineStr">
        <is>
          <t>NORRKÖPING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45565</v>
      </c>
      <c r="E276" s="1" t="n">
        <v>46295</v>
      </c>
      <c r="F276" t="inlineStr">
        <is>
          <t>ÖSTERGÖTLANDS LÄN</t>
        </is>
      </c>
      <c r="G276" t="inlineStr">
        <is>
          <t>NORRKÖPING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45408</v>
      </c>
      <c r="E277" s="1" t="n">
        <v>46295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46295</v>
      </c>
      <c r="F278" t="inlineStr">
        <is>
          <t>ÖSTERGÖTLANDS LÄN</t>
        </is>
      </c>
      <c r="G278" t="inlineStr">
        <is>
          <t>NORRKÖPING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46295</v>
      </c>
      <c r="F279" t="inlineStr">
        <is>
          <t>ÖSTERGÖTLANDS LÄN</t>
        </is>
      </c>
      <c r="G279" t="inlineStr">
        <is>
          <t>NORRKÖPING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46295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46295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46295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46295</v>
      </c>
      <c r="F283" t="inlineStr">
        <is>
          <t>ÖSTERGÖTLANDS LÄN</t>
        </is>
      </c>
      <c r="G283" t="inlineStr">
        <is>
          <t>NORRKÖPING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46295</v>
      </c>
      <c r="F284" t="inlineStr">
        <is>
          <t>ÖSTERGÖTLANDS LÄN</t>
        </is>
      </c>
      <c r="G284" t="inlineStr">
        <is>
          <t>NORRKÖPING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46295</v>
      </c>
      <c r="F285" t="inlineStr">
        <is>
          <t>ÖSTERGÖTLANDS LÄN</t>
        </is>
      </c>
      <c r="G285" t="inlineStr">
        <is>
          <t>NORRKÖPING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46295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45895</v>
      </c>
      <c r="E287" s="1" t="n">
        <v>46295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46295</v>
      </c>
      <c r="F288" t="inlineStr">
        <is>
          <t>ÖSTERGÖTLANDS LÄN</t>
        </is>
      </c>
      <c r="G288" t="inlineStr">
        <is>
          <t>NORRKÖPING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46295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Kommuner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46295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45762</v>
      </c>
      <c r="E291" s="1" t="n">
        <v>46295</v>
      </c>
      <c r="F291" t="inlineStr">
        <is>
          <t>ÖSTERGÖTLANDS LÄN</t>
        </is>
      </c>
      <c r="G291" t="inlineStr">
        <is>
          <t>NORRKÖPING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46295</v>
      </c>
      <c r="F292" t="inlineStr">
        <is>
          <t>ÖSTERGÖTLANDS LÄN</t>
        </is>
      </c>
      <c r="G292" t="inlineStr">
        <is>
          <t>NORRKÖPING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46295</v>
      </c>
      <c r="F293" t="inlineStr">
        <is>
          <t>ÖSTERGÖTLANDS LÄN</t>
        </is>
      </c>
      <c r="G293" t="inlineStr">
        <is>
          <t>NORRKÖPING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45903</v>
      </c>
      <c r="E294" s="1" t="n">
        <v>46295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46295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46295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44582</v>
      </c>
      <c r="E297" s="1" t="n">
        <v>46295</v>
      </c>
      <c r="F297" t="inlineStr">
        <is>
          <t>ÖSTERGÖTLANDS LÄN</t>
        </is>
      </c>
      <c r="G297" t="inlineStr">
        <is>
          <t>NORRKÖPING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46295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46295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46295</v>
      </c>
      <c r="F300" t="inlineStr">
        <is>
          <t>ÖSTERGÖTLANDS LÄN</t>
        </is>
      </c>
      <c r="G300" t="inlineStr">
        <is>
          <t>NORRKÖPING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10393-2024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45365</v>
      </c>
      <c r="E301" s="1" t="n">
        <v>46295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Kommuner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46295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12.4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45442</v>
      </c>
      <c r="E303" s="1" t="n">
        <v>46295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46295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46295</v>
      </c>
      <c r="F305" t="inlineStr">
        <is>
          <t>ÖSTERGÖTLANDS LÄN</t>
        </is>
      </c>
      <c r="G305" t="inlineStr">
        <is>
          <t>NORRKÖPING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46295</v>
      </c>
      <c r="F306" t="inlineStr">
        <is>
          <t>ÖSTERGÖTLANDS LÄN</t>
        </is>
      </c>
      <c r="G306" t="inlineStr">
        <is>
          <t>NORRKÖPING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44936</v>
      </c>
      <c r="E307" s="1" t="n">
        <v>46295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46295</v>
      </c>
      <c r="F308" t="inlineStr">
        <is>
          <t>ÖSTERGÖTLANDS LÄN</t>
        </is>
      </c>
      <c r="G308" t="inlineStr">
        <is>
          <t>NORRKÖPING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46295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45030</v>
      </c>
      <c r="E310" s="1" t="n">
        <v>46295</v>
      </c>
      <c r="F310" t="inlineStr">
        <is>
          <t>ÖSTERGÖTLANDS LÄN</t>
        </is>
      </c>
      <c r="G310" t="inlineStr">
        <is>
          <t>NORRKÖPING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55941-2022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44889</v>
      </c>
      <c r="E311" s="1" t="n">
        <v>46295</v>
      </c>
      <c r="F311" t="inlineStr">
        <is>
          <t>ÖSTERGÖTLANDS LÄN</t>
        </is>
      </c>
      <c r="G311" t="inlineStr">
        <is>
          <t>NORRKÖPING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46295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45028</v>
      </c>
      <c r="E313" s="1" t="n">
        <v>46295</v>
      </c>
      <c r="F313" t="inlineStr">
        <is>
          <t>ÖSTERGÖTLANDS LÄN</t>
        </is>
      </c>
      <c r="G313" t="inlineStr">
        <is>
          <t>NORRKÖPING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60233-2022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44910</v>
      </c>
      <c r="E314" s="1" t="n">
        <v>46295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46295</v>
      </c>
      <c r="F315" t="inlineStr">
        <is>
          <t>ÖSTERGÖTLANDS LÄN</t>
        </is>
      </c>
      <c r="G315" t="inlineStr">
        <is>
          <t>NORRKÖPING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46295</v>
      </c>
      <c r="F316" t="inlineStr">
        <is>
          <t>ÖSTERGÖTLANDS LÄN</t>
        </is>
      </c>
      <c r="G316" t="inlineStr">
        <is>
          <t>NORRKÖPING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46295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46295</v>
      </c>
      <c r="F318" t="inlineStr">
        <is>
          <t>ÖSTERGÖTLANDS LÄN</t>
        </is>
      </c>
      <c r="G318" t="inlineStr">
        <is>
          <t>NORRKÖPING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45538-2025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45922</v>
      </c>
      <c r="E319" s="1" t="n">
        <v>46295</v>
      </c>
      <c r="F319" t="inlineStr">
        <is>
          <t>ÖSTERGÖTLANDS LÄN</t>
        </is>
      </c>
      <c r="G319" t="inlineStr">
        <is>
          <t>NORRKÖPING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45922</v>
      </c>
      <c r="E320" s="1" t="n">
        <v>46295</v>
      </c>
      <c r="F320" t="inlineStr">
        <is>
          <t>ÖSTERGÖTLANDS LÄN</t>
        </is>
      </c>
      <c r="G320" t="inlineStr">
        <is>
          <t>NORRKÖPING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46295</v>
      </c>
      <c r="F321" t="inlineStr">
        <is>
          <t>ÖSTERGÖTLANDS LÄN</t>
        </is>
      </c>
      <c r="G321" t="inlineStr">
        <is>
          <t>NORRKÖPING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46295</v>
      </c>
      <c r="F322" t="inlineStr">
        <is>
          <t>ÖSTERGÖTLANDS LÄN</t>
        </is>
      </c>
      <c r="G322" t="inlineStr">
        <is>
          <t>NORRKÖPING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46295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46295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46295</v>
      </c>
      <c r="F325" t="inlineStr">
        <is>
          <t>ÖSTERGÖTLANDS LÄN</t>
        </is>
      </c>
      <c r="G325" t="inlineStr">
        <is>
          <t>NORRKÖPING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46295</v>
      </c>
      <c r="F326" t="inlineStr">
        <is>
          <t>ÖSTERGÖTLANDS LÄN</t>
        </is>
      </c>
      <c r="G326" t="inlineStr">
        <is>
          <t>NORRKÖPING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46295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46295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Kommuner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46295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46295</v>
      </c>
      <c r="F330" t="inlineStr">
        <is>
          <t>ÖSTERGÖTLANDS LÄN</t>
        </is>
      </c>
      <c r="G330" t="inlineStr">
        <is>
          <t>NORRKÖPING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47202-2025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46295</v>
      </c>
      <c r="F331" t="inlineStr">
        <is>
          <t>ÖSTERGÖTLANDS LÄN</t>
        </is>
      </c>
      <c r="G331" t="inlineStr">
        <is>
          <t>NORRKÖPING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45369</v>
      </c>
      <c r="E332" s="1" t="n">
        <v>46295</v>
      </c>
      <c r="F332" t="inlineStr">
        <is>
          <t>ÖSTERGÖTLANDS LÄN</t>
        </is>
      </c>
      <c r="G332" t="inlineStr">
        <is>
          <t>NORRKÖPING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46295</v>
      </c>
      <c r="F333" t="inlineStr">
        <is>
          <t>ÖSTERGÖTLANDS LÄN</t>
        </is>
      </c>
      <c r="G333" t="inlineStr">
        <is>
          <t>NORRKÖPING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46295</v>
      </c>
      <c r="F334" t="inlineStr">
        <is>
          <t>ÖSTERGÖTLANDS LÄN</t>
        </is>
      </c>
      <c r="G334" t="inlineStr">
        <is>
          <t>NORRKÖPING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44936</v>
      </c>
      <c r="E335" s="1" t="n">
        <v>46295</v>
      </c>
      <c r="F335" t="inlineStr">
        <is>
          <t>ÖSTERGÖTLANDS LÄN</t>
        </is>
      </c>
      <c r="G335" t="inlineStr">
        <is>
          <t>NORRKÖPING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46295</v>
      </c>
      <c r="F336" t="inlineStr">
        <is>
          <t>ÖSTERGÖTLANDS LÄN</t>
        </is>
      </c>
      <c r="G336" t="inlineStr">
        <is>
          <t>NORRKÖPING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8292-2023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44974</v>
      </c>
      <c r="E337" s="1" t="n">
        <v>46295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46295</v>
      </c>
      <c r="F338" t="inlineStr">
        <is>
          <t>ÖSTERGÖTLANDS LÄN</t>
        </is>
      </c>
      <c r="G338" t="inlineStr">
        <is>
          <t>NORRKÖPING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46295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45678</v>
      </c>
      <c r="E340" s="1" t="n">
        <v>46295</v>
      </c>
      <c r="F340" t="inlineStr">
        <is>
          <t>ÖSTERGÖTLANDS LÄN</t>
        </is>
      </c>
      <c r="G340" t="inlineStr">
        <is>
          <t>NORRKÖPING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46295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45845</v>
      </c>
      <c r="E342" s="1" t="n">
        <v>46295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45873</v>
      </c>
      <c r="E343" s="1" t="n">
        <v>46295</v>
      </c>
      <c r="F343" t="inlineStr">
        <is>
          <t>ÖSTERGÖTLANDS LÄN</t>
        </is>
      </c>
      <c r="G343" t="inlineStr">
        <is>
          <t>NORRKÖPING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45174</v>
      </c>
      <c r="E344" s="1" t="n">
        <v>46295</v>
      </c>
      <c r="F344" t="inlineStr">
        <is>
          <t>ÖSTERGÖTLANDS LÄN</t>
        </is>
      </c>
      <c r="G344" t="inlineStr">
        <is>
          <t>NORRKÖPING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45174</v>
      </c>
      <c r="E345" s="1" t="n">
        <v>46295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46295</v>
      </c>
      <c r="F346" t="inlineStr">
        <is>
          <t>ÖSTERGÖTLANDS LÄN</t>
        </is>
      </c>
      <c r="G346" t="inlineStr">
        <is>
          <t>NORRKÖPING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45453</v>
      </c>
      <c r="E347" s="1" t="n">
        <v>46295</v>
      </c>
      <c r="F347" t="inlineStr">
        <is>
          <t>ÖSTERGÖTLANDS LÄN</t>
        </is>
      </c>
      <c r="G347" t="inlineStr">
        <is>
          <t>NORRKÖPING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46295</v>
      </c>
      <c r="F348" t="inlineStr">
        <is>
          <t>ÖSTERGÖTLANDS LÄN</t>
        </is>
      </c>
      <c r="G348" t="inlineStr">
        <is>
          <t>NORRKÖPING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45238</v>
      </c>
      <c r="E349" s="1" t="n">
        <v>46295</v>
      </c>
      <c r="F349" t="inlineStr">
        <is>
          <t>ÖSTERGÖTLANDS LÄN</t>
        </is>
      </c>
      <c r="G349" t="inlineStr">
        <is>
          <t>NORRKÖPING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46046</v>
      </c>
      <c r="E350" s="1" t="n">
        <v>46295</v>
      </c>
      <c r="F350" t="inlineStr">
        <is>
          <t>ÖSTERGÖTLANDS LÄN</t>
        </is>
      </c>
      <c r="G350" t="inlineStr">
        <is>
          <t>NORRKÖPING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45706</v>
      </c>
      <c r="E351" s="1" t="n">
        <v>46295</v>
      </c>
      <c r="F351" t="inlineStr">
        <is>
          <t>ÖSTERGÖTLANDS LÄN</t>
        </is>
      </c>
      <c r="G351" t="inlineStr">
        <is>
          <t>NORRKÖPING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46295</v>
      </c>
      <c r="F352" t="inlineStr">
        <is>
          <t>ÖSTERGÖTLANDS LÄN</t>
        </is>
      </c>
      <c r="G352" t="inlineStr">
        <is>
          <t>NORRKÖPING</t>
        </is>
      </c>
      <c r="I352" t="n">
        <v>7.5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46295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Allmännings- och besparingsskogar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46046</v>
      </c>
      <c r="E354" s="1" t="n">
        <v>46295</v>
      </c>
      <c r="F354" t="inlineStr">
        <is>
          <t>ÖSTERGÖTLANDS LÄN</t>
        </is>
      </c>
      <c r="G354" t="inlineStr">
        <is>
          <t>NORRKÖPING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46295</v>
      </c>
      <c r="F355" t="inlineStr">
        <is>
          <t>ÖSTERGÖTLANDS LÄN</t>
        </is>
      </c>
      <c r="G355" t="inlineStr">
        <is>
          <t>NORRKÖPING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46295</v>
      </c>
      <c r="F356" t="inlineStr">
        <is>
          <t>ÖSTERGÖTLANDS LÄN</t>
        </is>
      </c>
      <c r="G356" t="inlineStr">
        <is>
          <t>NORRKÖPING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46295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Allmännings- och besparingsskogar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46295</v>
      </c>
      <c r="F358" t="inlineStr">
        <is>
          <t>ÖSTERGÖTLANDS LÄN</t>
        </is>
      </c>
      <c r="G358" t="inlineStr">
        <is>
          <t>NORRKÖPING</t>
        </is>
      </c>
      <c r="I358" t="n">
        <v>10.1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45112</v>
      </c>
      <c r="E359" s="1" t="n">
        <v>46295</v>
      </c>
      <c r="F359" t="inlineStr">
        <is>
          <t>ÖSTERGÖTLANDS LÄN</t>
        </is>
      </c>
      <c r="G359" t="inlineStr">
        <is>
          <t>NORRKÖPING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44677</v>
      </c>
      <c r="E360" s="1" t="n">
        <v>46295</v>
      </c>
      <c r="F360" t="inlineStr">
        <is>
          <t>ÖSTERGÖTLANDS LÄN</t>
        </is>
      </c>
      <c r="G360" t="inlineStr">
        <is>
          <t>NORRKÖPING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46295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46295</v>
      </c>
      <c r="F362" t="inlineStr">
        <is>
          <t>ÖSTERGÖTLANDS LÄN</t>
        </is>
      </c>
      <c r="G362" t="inlineStr">
        <is>
          <t>NORRKÖPING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46295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Kommuner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44834</v>
      </c>
      <c r="E364" s="1" t="n">
        <v>46295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46295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44741</v>
      </c>
      <c r="E366" s="1" t="n">
        <v>46295</v>
      </c>
      <c r="F366" t="inlineStr">
        <is>
          <t>ÖSTERGÖTLANDS LÄN</t>
        </is>
      </c>
      <c r="G366" t="inlineStr">
        <is>
          <t>NORRKÖPING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53694-2025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46295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53702-2025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45960</v>
      </c>
      <c r="E368" s="1" t="n">
        <v>46295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46295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44965</v>
      </c>
      <c r="E370" s="1" t="n">
        <v>46295</v>
      </c>
      <c r="F370" t="inlineStr">
        <is>
          <t>ÖSTERGÖTLANDS LÄN</t>
        </is>
      </c>
      <c r="G370" t="inlineStr">
        <is>
          <t>NORRKÖPING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45014</v>
      </c>
      <c r="E371" s="1" t="n">
        <v>46295</v>
      </c>
      <c r="F371" t="inlineStr">
        <is>
          <t>ÖSTERGÖTLANDS LÄN</t>
        </is>
      </c>
      <c r="G371" t="inlineStr">
        <is>
          <t>NORRKÖPING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45961</v>
      </c>
      <c r="E372" s="1" t="n">
        <v>46295</v>
      </c>
      <c r="F372" t="inlineStr">
        <is>
          <t>ÖSTERGÖTLANDS LÄN</t>
        </is>
      </c>
      <c r="G372" t="inlineStr">
        <is>
          <t>NORRKÖPING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44956</v>
      </c>
      <c r="E373" s="1" t="n">
        <v>46295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8805-2024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46295</v>
      </c>
      <c r="F374" t="inlineStr">
        <is>
          <t>ÖSTERGÖTLANDS LÄN</t>
        </is>
      </c>
      <c r="G374" t="inlineStr">
        <is>
          <t>NORRKÖPING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46295</v>
      </c>
      <c r="F375" t="inlineStr">
        <is>
          <t>ÖSTERGÖTLANDS LÄN</t>
        </is>
      </c>
      <c r="G375" t="inlineStr">
        <is>
          <t>NORRKÖPING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46295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Allmännings- och besparingsskogar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46295</v>
      </c>
      <c r="F377" t="inlineStr">
        <is>
          <t>ÖSTERGÖTLANDS LÄN</t>
        </is>
      </c>
      <c r="G377" t="inlineStr">
        <is>
          <t>NORRKÖPING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44719</v>
      </c>
      <c r="E378" s="1" t="n">
        <v>46295</v>
      </c>
      <c r="F378" t="inlineStr">
        <is>
          <t>ÖSTERGÖTLANDS LÄN</t>
        </is>
      </c>
      <c r="G378" t="inlineStr">
        <is>
          <t>NORRKÖPING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45581</v>
      </c>
      <c r="E379" s="1" t="n">
        <v>46295</v>
      </c>
      <c r="F379" t="inlineStr">
        <is>
          <t>ÖSTERGÖTLANDS LÄN</t>
        </is>
      </c>
      <c r="G379" t="inlineStr">
        <is>
          <t>NORRKÖPING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44573</v>
      </c>
      <c r="E380" s="1" t="n">
        <v>46295</v>
      </c>
      <c r="F380" t="inlineStr">
        <is>
          <t>ÖSTERGÖTLANDS LÄN</t>
        </is>
      </c>
      <c r="G380" t="inlineStr">
        <is>
          <t>NORRKÖPING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45414</v>
      </c>
      <c r="E381" s="1" t="n">
        <v>46295</v>
      </c>
      <c r="F381" t="inlineStr">
        <is>
          <t>ÖSTERGÖTLANDS LÄN</t>
        </is>
      </c>
      <c r="G381" t="inlineStr">
        <is>
          <t>NORRKÖPING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46295</v>
      </c>
      <c r="F382" t="inlineStr">
        <is>
          <t>ÖSTERGÖTLANDS LÄN</t>
        </is>
      </c>
      <c r="G382" t="inlineStr">
        <is>
          <t>NORRKÖPING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56589-2025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46295</v>
      </c>
      <c r="F383" t="inlineStr">
        <is>
          <t>ÖSTERGÖTLANDS LÄN</t>
        </is>
      </c>
      <c r="G383" t="inlineStr">
        <is>
          <t>NORRKÖPING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64898-2021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44512</v>
      </c>
      <c r="E384" s="1" t="n">
        <v>46295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46295</v>
      </c>
      <c r="F385" t="inlineStr">
        <is>
          <t>ÖSTERGÖTLANDS LÄN</t>
        </is>
      </c>
      <c r="G385" t="inlineStr">
        <is>
          <t>NORRKÖPING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45976</v>
      </c>
      <c r="E386" s="1" t="n">
        <v>46295</v>
      </c>
      <c r="F386" t="inlineStr">
        <is>
          <t>ÖSTERGÖTLANDS LÄN</t>
        </is>
      </c>
      <c r="G386" t="inlineStr">
        <is>
          <t>NORRKÖPING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46295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46072</v>
      </c>
      <c r="E388" s="1" t="n">
        <v>46295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Kyrkan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45386</v>
      </c>
      <c r="E389" s="1" t="n">
        <v>46295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46072</v>
      </c>
      <c r="E390" s="1" t="n">
        <v>46295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Kyrkan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44721</v>
      </c>
      <c r="E391" s="1" t="n">
        <v>46295</v>
      </c>
      <c r="F391" t="inlineStr">
        <is>
          <t>ÖSTERGÖTLANDS LÄN</t>
        </is>
      </c>
      <c r="G391" t="inlineStr">
        <is>
          <t>NORRKÖPING</t>
        </is>
      </c>
      <c r="I391" t="n">
        <v>11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31362-2023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45114</v>
      </c>
      <c r="E392" s="1" t="n">
        <v>46295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46295</v>
      </c>
      <c r="F393" t="inlineStr">
        <is>
          <t>ÖSTERGÖTLANDS LÄN</t>
        </is>
      </c>
      <c r="G393" t="inlineStr">
        <is>
          <t>NORRKÖPING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45986</v>
      </c>
      <c r="E394" s="1" t="n">
        <v>46295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46295</v>
      </c>
      <c r="F395" t="inlineStr">
        <is>
          <t>ÖSTERGÖTLANDS LÄN</t>
        </is>
      </c>
      <c r="G395" t="inlineStr">
        <is>
          <t>NORRKÖPING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46295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46295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46295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46295</v>
      </c>
      <c r="F399" t="inlineStr">
        <is>
          <t>ÖSTERGÖTLANDS LÄN</t>
        </is>
      </c>
      <c r="G399" t="inlineStr">
        <is>
          <t>NORRKÖPING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45098</v>
      </c>
      <c r="E400" s="1" t="n">
        <v>46295</v>
      </c>
      <c r="F400" t="inlineStr">
        <is>
          <t>ÖSTERGÖTLANDS LÄN</t>
        </is>
      </c>
      <c r="G400" t="inlineStr">
        <is>
          <t>NORRKÖPING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44805</v>
      </c>
      <c r="E401" s="1" t="n">
        <v>46295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Allmännings- och besparingsskogar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46295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46295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Allmännings- och besparingsskogar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45597</v>
      </c>
      <c r="E404" s="1" t="n">
        <v>46295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46295</v>
      </c>
      <c r="F405" t="inlineStr">
        <is>
          <t>ÖSTERGÖTLANDS LÄN</t>
        </is>
      </c>
      <c r="G405" t="inlineStr">
        <is>
          <t>NORRKÖPING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46295</v>
      </c>
      <c r="F406" t="inlineStr">
        <is>
          <t>ÖSTERGÖTLANDS LÄN</t>
        </is>
      </c>
      <c r="G406" t="inlineStr">
        <is>
          <t>NORRKÖPING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44713</v>
      </c>
      <c r="E407" s="1" t="n">
        <v>46295</v>
      </c>
      <c r="F407" t="inlineStr">
        <is>
          <t>ÖSTERGÖTLANDS LÄN</t>
        </is>
      </c>
      <c r="G407" t="inlineStr">
        <is>
          <t>NORRKÖPING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46295</v>
      </c>
      <c r="F408" t="inlineStr">
        <is>
          <t>ÖSTERGÖTLANDS LÄN</t>
        </is>
      </c>
      <c r="G408" t="inlineStr">
        <is>
          <t>NORRKÖPING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46295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46295</v>
      </c>
      <c r="F410" t="inlineStr">
        <is>
          <t>ÖSTERGÖTLANDS LÄN</t>
        </is>
      </c>
      <c r="G410" t="inlineStr">
        <is>
          <t>NORRKÖPING</t>
        </is>
      </c>
      <c r="I410" t="n">
        <v>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45747</v>
      </c>
      <c r="E411" s="1" t="n">
        <v>46295</v>
      </c>
      <c r="F411" t="inlineStr">
        <is>
          <t>ÖSTERGÖTLANDS LÄN</t>
        </is>
      </c>
      <c r="G411" t="inlineStr">
        <is>
          <t>NORRKÖPING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47051-2023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45201</v>
      </c>
      <c r="E412" s="1" t="n">
        <v>46295</v>
      </c>
      <c r="F412" t="inlineStr">
        <is>
          <t>ÖSTERGÖTLANDS LÄN</t>
        </is>
      </c>
      <c r="G412" t="inlineStr">
        <is>
          <t>NORRKÖPING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46295</v>
      </c>
      <c r="F413" t="inlineStr">
        <is>
          <t>ÖSTERGÖTLANDS LÄN</t>
        </is>
      </c>
      <c r="G413" t="inlineStr">
        <is>
          <t>NORRKÖPING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46295</v>
      </c>
      <c r="F414" t="inlineStr">
        <is>
          <t>ÖSTERGÖTLANDS LÄN</t>
        </is>
      </c>
      <c r="G414" t="inlineStr">
        <is>
          <t>NORRKÖPING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44853</v>
      </c>
      <c r="E415" s="1" t="n">
        <v>46295</v>
      </c>
      <c r="F415" t="inlineStr">
        <is>
          <t>ÖSTERGÖTLANDS LÄN</t>
        </is>
      </c>
      <c r="G415" t="inlineStr">
        <is>
          <t>NORRKÖPING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44999</v>
      </c>
      <c r="E416" s="1" t="n">
        <v>46295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46295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44826</v>
      </c>
      <c r="E418" s="1" t="n">
        <v>46295</v>
      </c>
      <c r="F418" t="inlineStr">
        <is>
          <t>ÖSTERGÖTLANDS LÄN</t>
        </is>
      </c>
      <c r="G418" t="inlineStr">
        <is>
          <t>NORRKÖPING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45442</v>
      </c>
      <c r="E419" s="1" t="n">
        <v>46295</v>
      </c>
      <c r="F419" t="inlineStr">
        <is>
          <t>ÖSTERGÖTLANDS LÄN</t>
        </is>
      </c>
      <c r="G419" t="inlineStr">
        <is>
          <t>NORRKÖPING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21772-2024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45442</v>
      </c>
      <c r="E420" s="1" t="n">
        <v>46295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45008</v>
      </c>
      <c r="E421" s="1" t="n">
        <v>46295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46295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46295</v>
      </c>
      <c r="F423" t="inlineStr">
        <is>
          <t>ÖSTERGÖTLANDS LÄN</t>
        </is>
      </c>
      <c r="G423" t="inlineStr">
        <is>
          <t>NORRKÖPING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46295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46295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62112-2025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46006</v>
      </c>
      <c r="E426" s="1" t="n">
        <v>46295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46295</v>
      </c>
      <c r="F427" t="inlineStr">
        <is>
          <t>ÖSTERGÖTLANDS LÄN</t>
        </is>
      </c>
      <c r="G427" t="inlineStr">
        <is>
          <t>NORRKÖPING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9806-2026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46295</v>
      </c>
      <c r="F428" t="inlineStr">
        <is>
          <t>ÖSTERGÖTLANDS LÄN</t>
        </is>
      </c>
      <c r="G428" t="inlineStr">
        <is>
          <t>NORRKÖPING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46295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46295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46295</v>
      </c>
      <c r="F431" t="inlineStr">
        <is>
          <t>ÖSTERGÖTLANDS LÄN</t>
        </is>
      </c>
      <c r="G431" t="inlineStr">
        <is>
          <t>NORRKÖPING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46295</v>
      </c>
      <c r="F432" t="inlineStr">
        <is>
          <t>ÖSTERGÖTLANDS LÄN</t>
        </is>
      </c>
      <c r="G432" t="inlineStr">
        <is>
          <t>NORRKÖPING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46007</v>
      </c>
      <c r="E433" s="1" t="n">
        <v>46295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46295</v>
      </c>
      <c r="F434" t="inlineStr">
        <is>
          <t>ÖSTERGÖTLANDS LÄN</t>
        </is>
      </c>
      <c r="G434" t="inlineStr">
        <is>
          <t>NORRKÖPING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62473-2025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46007</v>
      </c>
      <c r="E435" s="1" t="n">
        <v>46295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46295</v>
      </c>
      <c r="F436" t="inlineStr">
        <is>
          <t>ÖSTERGÖTLANDS LÄN</t>
        </is>
      </c>
      <c r="G436" t="inlineStr">
        <is>
          <t>NORRKÖPING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46295</v>
      </c>
      <c r="F437" t="inlineStr">
        <is>
          <t>ÖSTERGÖTLANDS LÄN</t>
        </is>
      </c>
      <c r="G437" t="inlineStr">
        <is>
          <t>NORRKÖPING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46295</v>
      </c>
      <c r="F438" t="inlineStr">
        <is>
          <t>ÖSTERGÖTLANDS LÄN</t>
        </is>
      </c>
      <c r="G438" t="inlineStr">
        <is>
          <t>NORRKÖPING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63229-2025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46295</v>
      </c>
      <c r="F439" t="inlineStr">
        <is>
          <t>ÖSTERGÖTLANDS LÄN</t>
        </is>
      </c>
      <c r="G439" t="inlineStr">
        <is>
          <t>NORRKÖPING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46295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46295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46295</v>
      </c>
      <c r="F442" t="inlineStr">
        <is>
          <t>ÖSTERGÖTLANDS LÄN</t>
        </is>
      </c>
      <c r="G442" t="inlineStr">
        <is>
          <t>NORRKÖPING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46295</v>
      </c>
      <c r="F443" t="inlineStr">
        <is>
          <t>ÖSTERGÖTLANDS LÄN</t>
        </is>
      </c>
      <c r="G443" t="inlineStr">
        <is>
          <t>NORRKÖPING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46295</v>
      </c>
      <c r="F444" t="inlineStr">
        <is>
          <t>ÖSTERGÖTLANDS LÄN</t>
        </is>
      </c>
      <c r="G444" t="inlineStr">
        <is>
          <t>NORRKÖPING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46295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53278-2023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45229</v>
      </c>
      <c r="E446" s="1" t="n">
        <v>46295</v>
      </c>
      <c r="F446" t="inlineStr">
        <is>
          <t>ÖSTERGÖTLANDS LÄN</t>
        </is>
      </c>
      <c r="G446" t="inlineStr">
        <is>
          <t>NORRKÖPING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45764</v>
      </c>
      <c r="E447" s="1" t="n">
        <v>46295</v>
      </c>
      <c r="F447" t="inlineStr">
        <is>
          <t>ÖSTERGÖTLANDS LÄN</t>
        </is>
      </c>
      <c r="G447" t="inlineStr">
        <is>
          <t>NORRKÖPING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9532-2025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46295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14674-2026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46295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14645-2026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46101</v>
      </c>
      <c r="E450" s="1" t="n">
        <v>46295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44992</v>
      </c>
      <c r="E451" s="1" t="n">
        <v>46295</v>
      </c>
      <c r="F451" t="inlineStr">
        <is>
          <t>ÖSTERGÖTLANDS LÄN</t>
        </is>
      </c>
      <c r="G451" t="inlineStr">
        <is>
          <t>NORRKÖPING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44575</v>
      </c>
      <c r="E452" s="1" t="n">
        <v>46295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44957</v>
      </c>
      <c r="E453" s="1" t="n">
        <v>46295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44945</v>
      </c>
      <c r="E454" s="1" t="n">
        <v>46295</v>
      </c>
      <c r="F454" t="inlineStr">
        <is>
          <t>ÖSTERGÖTLANDS LÄN</t>
        </is>
      </c>
      <c r="G454" t="inlineStr">
        <is>
          <t>NORRKÖPING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45093</v>
      </c>
      <c r="E455" s="1" t="n">
        <v>46295</v>
      </c>
      <c r="F455" t="inlineStr">
        <is>
          <t>ÖSTERGÖTLANDS LÄN</t>
        </is>
      </c>
      <c r="G455" t="inlineStr">
        <is>
          <t>NORRKÖPING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30062-2023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46295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45274</v>
      </c>
      <c r="E457" s="1" t="n">
        <v>46295</v>
      </c>
      <c r="F457" t="inlineStr">
        <is>
          <t>ÖSTERGÖTLANDS LÄN</t>
        </is>
      </c>
      <c r="G457" t="inlineStr">
        <is>
          <t>NORRKÖPING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46295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46295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45077</v>
      </c>
      <c r="E460" s="1" t="n">
        <v>46295</v>
      </c>
      <c r="F460" t="inlineStr">
        <is>
          <t>ÖSTERGÖTLANDS LÄN</t>
        </is>
      </c>
      <c r="G460" t="inlineStr">
        <is>
          <t>NORRKÖPING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45509</v>
      </c>
      <c r="E461" s="1" t="n">
        <v>46295</v>
      </c>
      <c r="F461" t="inlineStr">
        <is>
          <t>ÖSTERGÖTLANDS LÄN</t>
        </is>
      </c>
      <c r="G461" t="inlineStr">
        <is>
          <t>NORRKÖPING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18658-2023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45043</v>
      </c>
      <c r="E462" s="1" t="n">
        <v>46295</v>
      </c>
      <c r="F462" t="inlineStr">
        <is>
          <t>ÖSTERGÖTLANDS LÄN</t>
        </is>
      </c>
      <c r="G462" t="inlineStr">
        <is>
          <t>NORRKÖPING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46295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43277-2023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46295</v>
      </c>
      <c r="F464" t="inlineStr">
        <is>
          <t>ÖSTERGÖTLANDS LÄN</t>
        </is>
      </c>
      <c r="G464" t="inlineStr">
        <is>
          <t>NORRKÖPING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46295</v>
      </c>
      <c r="F465" t="inlineStr">
        <is>
          <t>ÖSTERGÖTLANDS LÄN</t>
        </is>
      </c>
      <c r="G465" t="inlineStr">
        <is>
          <t>NORRKÖPING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46295</v>
      </c>
      <c r="F466" t="inlineStr">
        <is>
          <t>ÖSTERGÖTLANDS LÄN</t>
        </is>
      </c>
      <c r="G466" t="inlineStr">
        <is>
          <t>NORRKÖPING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45049</v>
      </c>
      <c r="E467" s="1" t="n">
        <v>46295</v>
      </c>
      <c r="F467" t="inlineStr">
        <is>
          <t>ÖSTERGÖTLANDS LÄN</t>
        </is>
      </c>
      <c r="G467" t="inlineStr">
        <is>
          <t>NORRKÖPING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44939</v>
      </c>
      <c r="E468" s="1" t="n">
        <v>46295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46295</v>
      </c>
      <c r="F469" t="inlineStr">
        <is>
          <t>ÖSTERGÖTLANDS LÄN</t>
        </is>
      </c>
      <c r="G469" t="inlineStr">
        <is>
          <t>NORRKÖPING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55063-2023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45237</v>
      </c>
      <c r="E470" s="1" t="n">
        <v>46295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Kyrkan</t>
        </is>
      </c>
      <c r="I470" t="n">
        <v>9.699999999999999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46295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45769</v>
      </c>
      <c r="E472" s="1" t="n">
        <v>46295</v>
      </c>
      <c r="F472" t="inlineStr">
        <is>
          <t>ÖSTERGÖTLANDS LÄN</t>
        </is>
      </c>
      <c r="G472" t="inlineStr">
        <is>
          <t>NORRKÖPING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46295</v>
      </c>
      <c r="F473" t="inlineStr">
        <is>
          <t>ÖSTERGÖTLANDS LÄN</t>
        </is>
      </c>
      <c r="G473" t="inlineStr">
        <is>
          <t>NORRKÖPING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46295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49060-2022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44860</v>
      </c>
      <c r="E475" s="1" t="n">
        <v>46295</v>
      </c>
      <c r="F475" t="inlineStr">
        <is>
          <t>ÖSTERGÖTLANDS LÄN</t>
        </is>
      </c>
      <c r="G475" t="inlineStr">
        <is>
          <t>NORRKÖPING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46295</v>
      </c>
      <c r="F476" t="inlineStr">
        <is>
          <t>ÖSTERGÖTLANDS LÄN</t>
        </is>
      </c>
      <c r="G476" t="inlineStr">
        <is>
          <t>NORRKÖPING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45741</v>
      </c>
      <c r="E477" s="1" t="n">
        <v>46295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17506-2026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46295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17453-2026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46120</v>
      </c>
      <c r="E479" s="1" t="n">
        <v>46295</v>
      </c>
      <c r="F479" t="inlineStr">
        <is>
          <t>ÖSTERGÖTLANDS LÄN</t>
        </is>
      </c>
      <c r="G479" t="inlineStr">
        <is>
          <t>NORRKÖPING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57413-2022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44896</v>
      </c>
      <c r="E480" s="1" t="n">
        <v>46295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57979-2022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44900</v>
      </c>
      <c r="E481" s="1" t="n">
        <v>46295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46295</v>
      </c>
      <c r="F482" t="inlineStr">
        <is>
          <t>ÖSTERGÖTLANDS LÄN</t>
        </is>
      </c>
      <c r="G482" t="inlineStr">
        <is>
          <t>NORRKÖPING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46295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44928</v>
      </c>
      <c r="E484" s="1" t="n">
        <v>46295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44923</v>
      </c>
      <c r="E485" s="1" t="n">
        <v>46295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46128</v>
      </c>
      <c r="E486" s="1" t="n">
        <v>46295</v>
      </c>
      <c r="F486" t="inlineStr">
        <is>
          <t>ÖSTERGÖTLANDS LÄN</t>
        </is>
      </c>
      <c r="G486" t="inlineStr">
        <is>
          <t>NORRKÖPING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46295</v>
      </c>
      <c r="F487" t="inlineStr">
        <is>
          <t>ÖSTERGÖTLANDS LÄN</t>
        </is>
      </c>
      <c r="G487" t="inlineStr">
        <is>
          <t>NORRKÖPING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59586-2022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44907</v>
      </c>
      <c r="E488" s="1" t="n">
        <v>46295</v>
      </c>
      <c r="F488" t="inlineStr">
        <is>
          <t>ÖSTERGÖTLANDS LÄN</t>
        </is>
      </c>
      <c r="G488" t="inlineStr">
        <is>
          <t>NORRKÖPING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4127-2022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44588</v>
      </c>
      <c r="E489" s="1" t="n">
        <v>46295</v>
      </c>
      <c r="F489" t="inlineStr">
        <is>
          <t>ÖSTERGÖTLANDS LÄN</t>
        </is>
      </c>
      <c r="G489" t="inlineStr">
        <is>
          <t>NORRKÖPING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46295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46295</v>
      </c>
      <c r="F491" t="inlineStr">
        <is>
          <t>ÖSTERGÖTLANDS LÄN</t>
        </is>
      </c>
      <c r="G491" t="inlineStr">
        <is>
          <t>NORRKÖPING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45716</v>
      </c>
      <c r="E492" s="1" t="n">
        <v>46295</v>
      </c>
      <c r="F492" t="inlineStr">
        <is>
          <t>ÖSTERGÖTLANDS LÄN</t>
        </is>
      </c>
      <c r="G492" t="inlineStr">
        <is>
          <t>NORRKÖPING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45836</v>
      </c>
      <c r="E493" s="1" t="n">
        <v>46295</v>
      </c>
      <c r="F493" t="inlineStr">
        <is>
          <t>ÖSTERGÖTLANDS LÄN</t>
        </is>
      </c>
      <c r="G493" t="inlineStr">
        <is>
          <t>NORRKÖPING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45884</v>
      </c>
      <c r="E494" s="1" t="n">
        <v>46295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39224-2025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45889</v>
      </c>
      <c r="E495" s="1" t="n">
        <v>46295</v>
      </c>
      <c r="F495" t="inlineStr">
        <is>
          <t>ÖSTERGÖTLANDS LÄN</t>
        </is>
      </c>
      <c r="G495" t="inlineStr">
        <is>
          <t>NORRKÖPING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46205-2025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46295</v>
      </c>
      <c r="F496" t="inlineStr">
        <is>
          <t>ÖSTERGÖTLANDS LÄN</t>
        </is>
      </c>
      <c r="G496" t="inlineStr">
        <is>
          <t>NORRKÖPING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20001-2026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46135</v>
      </c>
      <c r="E497" s="1" t="n">
        <v>46295</v>
      </c>
      <c r="F497" t="inlineStr">
        <is>
          <t>ÖSTERGÖTLANDS LÄN</t>
        </is>
      </c>
      <c r="G497" t="inlineStr">
        <is>
          <t>NORRKÖPING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46135</v>
      </c>
      <c r="E498" s="1" t="n">
        <v>46295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45657</v>
      </c>
      <c r="E499" s="1" t="n">
        <v>46295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46295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45106</v>
      </c>
      <c r="E501" s="1" t="n">
        <v>46295</v>
      </c>
      <c r="F501" t="inlineStr">
        <is>
          <t>ÖSTERGÖTLANDS LÄN</t>
        </is>
      </c>
      <c r="G501" t="inlineStr">
        <is>
          <t>NORRKÖPING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45379</v>
      </c>
      <c r="E502" s="1" t="n">
        <v>46295</v>
      </c>
      <c r="F502" t="inlineStr">
        <is>
          <t>ÖSTERGÖTLANDS LÄN</t>
        </is>
      </c>
      <c r="G502" t="inlineStr">
        <is>
          <t>NORRKÖPING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54851-2025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46295</v>
      </c>
      <c r="F503" t="inlineStr">
        <is>
          <t>ÖSTERGÖTLANDS LÄN</t>
        </is>
      </c>
      <c r="G503" t="inlineStr">
        <is>
          <t>NORRKÖPING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56210-2023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45240</v>
      </c>
      <c r="E504" s="1" t="n">
        <v>46295</v>
      </c>
      <c r="F504" t="inlineStr">
        <is>
          <t>ÖSTERGÖTLANDS LÄN</t>
        </is>
      </c>
      <c r="G504" t="inlineStr">
        <is>
          <t>NORRKÖPING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46295</v>
      </c>
      <c r="F505" t="inlineStr">
        <is>
          <t>ÖSTERGÖTLANDS LÄN</t>
        </is>
      </c>
      <c r="G505" t="inlineStr">
        <is>
          <t>NORRKÖPING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39863-2025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45891</v>
      </c>
      <c r="E506" s="1" t="n">
        <v>46295</v>
      </c>
      <c r="F506" t="inlineStr">
        <is>
          <t>ÖSTERGÖTLANDS LÄN</t>
        </is>
      </c>
      <c r="G506" t="inlineStr">
        <is>
          <t>NORRKÖPING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46295</v>
      </c>
      <c r="F507" t="inlineStr">
        <is>
          <t>ÖSTERGÖTLANDS LÄN</t>
        </is>
      </c>
      <c r="G507" t="inlineStr">
        <is>
          <t>NORRKÖPING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45339</v>
      </c>
      <c r="E508" s="1" t="n">
        <v>46295</v>
      </c>
      <c r="F508" t="inlineStr">
        <is>
          <t>ÖSTERGÖTLANDS LÄN</t>
        </is>
      </c>
      <c r="G508" t="inlineStr">
        <is>
          <t>NORRKÖPING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45408</v>
      </c>
      <c r="E509" s="1" t="n">
        <v>46295</v>
      </c>
      <c r="F509" t="inlineStr">
        <is>
          <t>ÖSTERGÖTLANDS LÄN</t>
        </is>
      </c>
      <c r="G509" t="inlineStr">
        <is>
          <t>NORRKÖPING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59520-2023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46295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BillerudKorsnäs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46139</v>
      </c>
      <c r="E511" s="1" t="n">
        <v>46295</v>
      </c>
      <c r="F511" t="inlineStr">
        <is>
          <t>ÖSTERGÖTLANDS LÄN</t>
        </is>
      </c>
      <c r="G511" t="inlineStr">
        <is>
          <t>NORRKÖPING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45886</v>
      </c>
      <c r="E512" s="1" t="n">
        <v>46295</v>
      </c>
      <c r="F512" t="inlineStr">
        <is>
          <t>ÖSTERGÖTLANDS LÄN</t>
        </is>
      </c>
      <c r="G512" t="inlineStr">
        <is>
          <t>NORRKÖPING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7709-2022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44607</v>
      </c>
      <c r="E513" s="1" t="n">
        <v>46295</v>
      </c>
      <c r="F513" t="inlineStr">
        <is>
          <t>ÖSTERGÖTLANDS LÄN</t>
        </is>
      </c>
      <c r="G513" t="inlineStr">
        <is>
          <t>NORRKÖPING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45178</v>
      </c>
      <c r="E514" s="1" t="n">
        <v>46295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44950</v>
      </c>
      <c r="E515" s="1" t="n">
        <v>46295</v>
      </c>
      <c r="F515" t="inlineStr">
        <is>
          <t>ÖSTERGÖTLANDS LÄN</t>
        </is>
      </c>
      <c r="G515" t="inlineStr">
        <is>
          <t>NORRKÖPING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45092</v>
      </c>
      <c r="E516" s="1" t="n">
        <v>46295</v>
      </c>
      <c r="F516" t="inlineStr">
        <is>
          <t>ÖSTERGÖTLANDS LÄN</t>
        </is>
      </c>
      <c r="G516" t="inlineStr">
        <is>
          <t>NORRKÖPING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13579-2023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45006</v>
      </c>
      <c r="E517" s="1" t="n">
        <v>46295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45030</v>
      </c>
      <c r="E518" s="1" t="n">
        <v>46295</v>
      </c>
      <c r="F518" t="inlineStr">
        <is>
          <t>ÖSTERGÖTLANDS LÄN</t>
        </is>
      </c>
      <c r="G518" t="inlineStr">
        <is>
          <t>NORRKÖPING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45030</v>
      </c>
      <c r="E519" s="1" t="n">
        <v>46295</v>
      </c>
      <c r="F519" t="inlineStr">
        <is>
          <t>ÖSTERGÖTLANDS LÄN</t>
        </is>
      </c>
      <c r="G519" t="inlineStr">
        <is>
          <t>NORRKÖPING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44994</v>
      </c>
      <c r="E520" s="1" t="n">
        <v>46295</v>
      </c>
      <c r="F520" t="inlineStr">
        <is>
          <t>ÖSTERGÖTLANDS LÄN</t>
        </is>
      </c>
      <c r="G520" t="inlineStr">
        <is>
          <t>NORRKÖPING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46295</v>
      </c>
      <c r="F521" t="inlineStr">
        <is>
          <t>ÖSTERGÖTLANDS LÄN</t>
        </is>
      </c>
      <c r="G521" t="inlineStr">
        <is>
          <t>NORRKÖPING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46295</v>
      </c>
      <c r="F522" t="inlineStr">
        <is>
          <t>ÖSTERGÖTLANDS LÄN</t>
        </is>
      </c>
      <c r="G522" t="inlineStr">
        <is>
          <t>NORRKÖPING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34393-2023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45132</v>
      </c>
      <c r="E523" s="1" t="n">
        <v>46295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45796</v>
      </c>
      <c r="E524" s="1" t="n">
        <v>46295</v>
      </c>
      <c r="F524" t="inlineStr">
        <is>
          <t>ÖSTERGÖTLANDS LÄN</t>
        </is>
      </c>
      <c r="G524" t="inlineStr">
        <is>
          <t>NORRKÖPING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45478</v>
      </c>
      <c r="E525" s="1" t="n">
        <v>46295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10989-2024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45370</v>
      </c>
      <c r="E526" s="1" t="n">
        <v>46295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44957</v>
      </c>
      <c r="E527" s="1" t="n">
        <v>46295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59768-2021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44494</v>
      </c>
      <c r="E528" s="1" t="n">
        <v>46295</v>
      </c>
      <c r="F528" t="inlineStr">
        <is>
          <t>ÖSTERGÖTLANDS LÄN</t>
        </is>
      </c>
      <c r="G528" t="inlineStr">
        <is>
          <t>NORRKÖPING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46295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46295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20194-2026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46139</v>
      </c>
      <c r="E531" s="1" t="n">
        <v>46295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20352-2026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46139</v>
      </c>
      <c r="E532" s="1" t="n">
        <v>46295</v>
      </c>
      <c r="F532" t="inlineStr">
        <is>
          <t>ÖSTERGÖTLANDS LÄN</t>
        </is>
      </c>
      <c r="G532" t="inlineStr">
        <is>
          <t>NORRKÖPING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36302-2025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45867</v>
      </c>
      <c r="E533" s="1" t="n">
        <v>46295</v>
      </c>
      <c r="F533" t="inlineStr">
        <is>
          <t>ÖSTERGÖTLANDS LÄN</t>
        </is>
      </c>
      <c r="G533" t="inlineStr">
        <is>
          <t>NORRKÖPING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45637</v>
      </c>
      <c r="E534" s="1" t="n">
        <v>46295</v>
      </c>
      <c r="F534" t="inlineStr">
        <is>
          <t>ÖSTERGÖTLANDS LÄN</t>
        </is>
      </c>
      <c r="G534" t="inlineStr">
        <is>
          <t>NORRKÖPING</t>
        </is>
      </c>
      <c r="I534" t="n">
        <v>24.7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45593</v>
      </c>
      <c r="E535" s="1" t="n">
        <v>46295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45126</v>
      </c>
      <c r="E536" s="1" t="n">
        <v>46295</v>
      </c>
      <c r="F536" t="inlineStr">
        <is>
          <t>ÖSTERGÖTLANDS LÄN</t>
        </is>
      </c>
      <c r="G536" t="inlineStr">
        <is>
          <t>NORRKÖPING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45126</v>
      </c>
      <c r="E537" s="1" t="n">
        <v>46295</v>
      </c>
      <c r="F537" t="inlineStr">
        <is>
          <t>ÖSTERGÖTLANDS LÄN</t>
        </is>
      </c>
      <c r="G537" t="inlineStr">
        <is>
          <t>NORRKÖPING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34977-2023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45141</v>
      </c>
      <c r="E538" s="1" t="n">
        <v>46295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35148-2023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45145</v>
      </c>
      <c r="E539" s="1" t="n">
        <v>46295</v>
      </c>
      <c r="F539" t="inlineStr">
        <is>
          <t>ÖSTERGÖTLANDS LÄN</t>
        </is>
      </c>
      <c r="G539" t="inlineStr">
        <is>
          <t>NORRKÖPING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46295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45403</v>
      </c>
      <c r="E541" s="1" t="n">
        <v>46295</v>
      </c>
      <c r="F541" t="inlineStr">
        <is>
          <t>ÖSTERGÖTLANDS LÄN</t>
        </is>
      </c>
      <c r="G541" t="inlineStr">
        <is>
          <t>NORRKÖPING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44935</v>
      </c>
      <c r="E542" s="1" t="n">
        <v>46295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45114</v>
      </c>
      <c r="E543" s="1" t="n">
        <v>46295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46295</v>
      </c>
      <c r="F544" t="inlineStr">
        <is>
          <t>ÖSTERGÖTLANDS LÄN</t>
        </is>
      </c>
      <c r="G544" t="inlineStr">
        <is>
          <t>NORRKÖPING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46295</v>
      </c>
      <c r="F545" t="inlineStr">
        <is>
          <t>ÖSTERGÖTLANDS LÄN</t>
        </is>
      </c>
      <c r="G545" t="inlineStr">
        <is>
          <t>NORRKÖPING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46295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46295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46295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46295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45033</v>
      </c>
      <c r="E550" s="1" t="n">
        <v>46295</v>
      </c>
      <c r="F550" t="inlineStr">
        <is>
          <t>ÖSTERGÖTLANDS LÄN</t>
        </is>
      </c>
      <c r="G550" t="inlineStr">
        <is>
          <t>NORRKÖPING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46295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46146</v>
      </c>
      <c r="E552" s="1" t="n">
        <v>46295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70378-2021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44536</v>
      </c>
      <c r="E553" s="1" t="n">
        <v>46295</v>
      </c>
      <c r="F553" t="inlineStr">
        <is>
          <t>ÖSTERGÖTLANDS LÄN</t>
        </is>
      </c>
      <c r="G553" t="inlineStr">
        <is>
          <t>NORRKÖPING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44596</v>
      </c>
      <c r="E554" s="1" t="n">
        <v>46295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Allmännings- och besparingsskogar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44573</v>
      </c>
      <c r="E555" s="1" t="n">
        <v>46295</v>
      </c>
      <c r="F555" t="inlineStr">
        <is>
          <t>ÖSTERGÖTLANDS LÄN</t>
        </is>
      </c>
      <c r="G555" t="inlineStr">
        <is>
          <t>NORRKÖPING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45723</v>
      </c>
      <c r="E556" s="1" t="n">
        <v>46295</v>
      </c>
      <c r="F556" t="inlineStr">
        <is>
          <t>ÖSTERGÖTLANDS LÄN</t>
        </is>
      </c>
      <c r="G556" t="inlineStr">
        <is>
          <t>NORRKÖPING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45550</v>
      </c>
      <c r="E557" s="1" t="n">
        <v>46295</v>
      </c>
      <c r="F557" t="inlineStr">
        <is>
          <t>ÖSTERGÖTLANDS LÄN</t>
        </is>
      </c>
      <c r="G557" t="inlineStr">
        <is>
          <t>NORRKÖPING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45727</v>
      </c>
      <c r="E558" s="1" t="n">
        <v>46295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45159</v>
      </c>
      <c r="E559" s="1" t="n">
        <v>46295</v>
      </c>
      <c r="F559" t="inlineStr">
        <is>
          <t>ÖSTERGÖTLANDS LÄN</t>
        </is>
      </c>
      <c r="G559" t="inlineStr">
        <is>
          <t>NORRKÖPING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46295</v>
      </c>
      <c r="F560" t="inlineStr">
        <is>
          <t>ÖSTERGÖTLANDS LÄN</t>
        </is>
      </c>
      <c r="G560" t="inlineStr">
        <is>
          <t>NORRKÖPING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46295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43344-2023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45183</v>
      </c>
      <c r="E562" s="1" t="n">
        <v>46295</v>
      </c>
      <c r="F562" t="inlineStr">
        <is>
          <t>ÖSTERGÖTLANDS LÄN</t>
        </is>
      </c>
      <c r="G562" t="inlineStr">
        <is>
          <t>NORRKÖPING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43346-2023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45183</v>
      </c>
      <c r="E563" s="1" t="n">
        <v>46295</v>
      </c>
      <c r="F563" t="inlineStr">
        <is>
          <t>ÖSTERGÖTLANDS LÄN</t>
        </is>
      </c>
      <c r="G563" t="inlineStr">
        <is>
          <t>NORRKÖPING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45673</v>
      </c>
      <c r="E564" s="1" t="n">
        <v>46295</v>
      </c>
      <c r="F564" t="inlineStr">
        <is>
          <t>ÖSTERGÖTLANDS LÄN</t>
        </is>
      </c>
      <c r="G564" t="inlineStr">
        <is>
          <t>NORRKÖPING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45053</v>
      </c>
      <c r="E565" s="1" t="n">
        <v>46295</v>
      </c>
      <c r="F565" t="inlineStr">
        <is>
          <t>ÖSTERGÖTLANDS LÄN</t>
        </is>
      </c>
      <c r="G565" t="inlineStr">
        <is>
          <t>NORRKÖPING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45217</v>
      </c>
      <c r="E566" s="1" t="n">
        <v>46295</v>
      </c>
      <c r="F566" t="inlineStr">
        <is>
          <t>ÖSTERGÖTLANDS LÄN</t>
        </is>
      </c>
      <c r="G566" t="inlineStr">
        <is>
          <t>NORRKÖPING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45636</v>
      </c>
      <c r="E567" s="1" t="n">
        <v>46295</v>
      </c>
      <c r="F567" t="inlineStr">
        <is>
          <t>ÖSTERGÖTLANDS LÄN</t>
        </is>
      </c>
      <c r="G567" t="inlineStr">
        <is>
          <t>NORRKÖPING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45313</v>
      </c>
      <c r="E568" s="1" t="n">
        <v>46295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32648-2023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45121</v>
      </c>
      <c r="E569" s="1" t="n">
        <v>46295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48091-2023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45205</v>
      </c>
      <c r="E570" s="1" t="n">
        <v>46295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45205</v>
      </c>
      <c r="E571" s="1" t="n">
        <v>46295</v>
      </c>
      <c r="F571" t="inlineStr">
        <is>
          <t>ÖSTERGÖTLANDS LÄN</t>
        </is>
      </c>
      <c r="G571" t="inlineStr">
        <is>
          <t>NORRKÖPING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10791-2024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45369</v>
      </c>
      <c r="E572" s="1" t="n">
        <v>46295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17503-2022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44679</v>
      </c>
      <c r="E573" s="1" t="n">
        <v>46295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Allmännings- och besparingsskogar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45761</v>
      </c>
      <c r="E574" s="1" t="n">
        <v>46295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11344-2022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44630</v>
      </c>
      <c r="E575" s="1" t="n">
        <v>46295</v>
      </c>
      <c r="F575" t="inlineStr">
        <is>
          <t>ÖSTERGÖTLANDS LÄN</t>
        </is>
      </c>
      <c r="G575" t="inlineStr">
        <is>
          <t>NORRKÖPING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46295</v>
      </c>
      <c r="F576" t="inlineStr">
        <is>
          <t>ÖSTERGÖTLANDS LÄN</t>
        </is>
      </c>
      <c r="G576" t="inlineStr">
        <is>
          <t>NORRKÖPING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46295</v>
      </c>
      <c r="F577" t="inlineStr">
        <is>
          <t>ÖSTERGÖTLANDS LÄN</t>
        </is>
      </c>
      <c r="G577" t="inlineStr">
        <is>
          <t>NORRKÖPING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57380-2024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45629</v>
      </c>
      <c r="E578" s="1" t="n">
        <v>46295</v>
      </c>
      <c r="F578" t="inlineStr">
        <is>
          <t>ÖSTERGÖTLANDS LÄN</t>
        </is>
      </c>
      <c r="G578" t="inlineStr">
        <is>
          <t>NORRKÖPING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14138-2022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44651</v>
      </c>
      <c r="E579" s="1" t="n">
        <v>46295</v>
      </c>
      <c r="F579" t="inlineStr">
        <is>
          <t>ÖSTERGÖTLANDS LÄN</t>
        </is>
      </c>
      <c r="G579" t="inlineStr">
        <is>
          <t>NORRKÖPING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46061</v>
      </c>
      <c r="E580" s="1" t="n">
        <v>46295</v>
      </c>
      <c r="F580" t="inlineStr">
        <is>
          <t>ÖSTERGÖTLANDS LÄN</t>
        </is>
      </c>
      <c r="G580" t="inlineStr">
        <is>
          <t>NORRKÖPING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45446</v>
      </c>
      <c r="E581" s="1" t="n">
        <v>46295</v>
      </c>
      <c r="F581" t="inlineStr">
        <is>
          <t>ÖSTERGÖTLANDS LÄN</t>
        </is>
      </c>
      <c r="G581" t="inlineStr">
        <is>
          <t>NORRKÖPING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22322-2024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45446</v>
      </c>
      <c r="E582" s="1" t="n">
        <v>46295</v>
      </c>
      <c r="F582" t="inlineStr">
        <is>
          <t>ÖSTERGÖTLANDS LÄN</t>
        </is>
      </c>
      <c r="G582" t="inlineStr">
        <is>
          <t>NORRKÖPING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46295</v>
      </c>
      <c r="F583" t="inlineStr">
        <is>
          <t>ÖSTERGÖTLANDS LÄN</t>
        </is>
      </c>
      <c r="G583" t="inlineStr">
        <is>
          <t>NORRKÖPING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39223-2025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45889</v>
      </c>
      <c r="E584" s="1" t="n">
        <v>46295</v>
      </c>
      <c r="F584" t="inlineStr">
        <is>
          <t>ÖSTERGÖTLANDS LÄN</t>
        </is>
      </c>
      <c r="G584" t="inlineStr">
        <is>
          <t>NORRKÖPING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45254</v>
      </c>
      <c r="E585" s="1" t="n">
        <v>46295</v>
      </c>
      <c r="F585" t="inlineStr">
        <is>
          <t>ÖSTERGÖTLANDS LÄN</t>
        </is>
      </c>
      <c r="G585" t="inlineStr">
        <is>
          <t>NORRKÖPING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50092-2023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46295</v>
      </c>
      <c r="F586" t="inlineStr">
        <is>
          <t>ÖSTERGÖTLANDS LÄN</t>
        </is>
      </c>
      <c r="G586" t="inlineStr">
        <is>
          <t>NORRKÖPING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44197-2023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45188</v>
      </c>
      <c r="E587" s="1" t="n">
        <v>46295</v>
      </c>
      <c r="F587" t="inlineStr">
        <is>
          <t>ÖSTERGÖTLANDS LÄN</t>
        </is>
      </c>
      <c r="G587" t="inlineStr">
        <is>
          <t>NORRKÖPING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45715</v>
      </c>
      <c r="E588" s="1" t="n">
        <v>46295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46295</v>
      </c>
      <c r="F589" t="inlineStr">
        <is>
          <t>ÖSTERGÖTLANDS LÄN</t>
        </is>
      </c>
      <c r="G589" t="inlineStr">
        <is>
          <t>NORRKÖPING</t>
        </is>
      </c>
      <c r="I589" t="n">
        <v>13.9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45699</v>
      </c>
      <c r="E590" s="1" t="n">
        <v>46295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47846-2023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45204</v>
      </c>
      <c r="E591" s="1" t="n">
        <v>46295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Naturvårdsverket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26294-2024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45468</v>
      </c>
      <c r="E592" s="1" t="n">
        <v>46295</v>
      </c>
      <c r="F592" t="inlineStr">
        <is>
          <t>ÖSTERGÖTLANDS LÄN</t>
        </is>
      </c>
      <c r="G592" t="inlineStr">
        <is>
          <t>NORRKÖPING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45401</v>
      </c>
      <c r="E593" s="1" t="n">
        <v>46295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63417-2023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46295</v>
      </c>
      <c r="F594" t="inlineStr">
        <is>
          <t>ÖSTERGÖTLANDS LÄN</t>
        </is>
      </c>
      <c r="G594" t="inlineStr">
        <is>
          <t>NORRKÖPING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58936-2023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45252</v>
      </c>
      <c r="E595" s="1" t="n">
        <v>46295</v>
      </c>
      <c r="F595" t="inlineStr">
        <is>
          <t>ÖSTERGÖTLANDS LÄN</t>
        </is>
      </c>
      <c r="G595" t="inlineStr">
        <is>
          <t>NORRKÖPING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46295</v>
      </c>
      <c r="F596" t="inlineStr">
        <is>
          <t>ÖSTERGÖTLANDS LÄN</t>
        </is>
      </c>
      <c r="G596" t="inlineStr">
        <is>
          <t>NORRKÖPING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17821-2025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46295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46295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46295</v>
      </c>
      <c r="F599" t="inlineStr">
        <is>
          <t>ÖSTERGÖTLANDS LÄN</t>
        </is>
      </c>
      <c r="G599" t="inlineStr">
        <is>
          <t>NORRKÖPING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57496-2023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45246</v>
      </c>
      <c r="E600" s="1" t="n">
        <v>46295</v>
      </c>
      <c r="F600" t="inlineStr">
        <is>
          <t>ÖSTERGÖTLANDS LÄN</t>
        </is>
      </c>
      <c r="G600" t="inlineStr">
        <is>
          <t>NORRKÖPING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44956</v>
      </c>
      <c r="E601" s="1" t="n">
        <v>46295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44956</v>
      </c>
      <c r="E602" s="1" t="n">
        <v>46295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46295</v>
      </c>
      <c r="F603" t="inlineStr">
        <is>
          <t>ÖSTERGÖTLANDS LÄN</t>
        </is>
      </c>
      <c r="G603" t="inlineStr">
        <is>
          <t>NORRKÖPING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46295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46295</v>
      </c>
      <c r="F605" t="inlineStr">
        <is>
          <t>ÖSTERGÖTLANDS LÄN</t>
        </is>
      </c>
      <c r="G605" t="inlineStr">
        <is>
          <t>NORRKÖPING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25719-2026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46295</v>
      </c>
      <c r="F606" t="inlineStr">
        <is>
          <t>ÖSTERGÖTLANDS LÄN</t>
        </is>
      </c>
      <c r="G606" t="inlineStr">
        <is>
          <t>NORRKÖPING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59077-2023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45252</v>
      </c>
      <c r="E607" s="1" t="n">
        <v>46295</v>
      </c>
      <c r="F607" t="inlineStr">
        <is>
          <t>ÖSTERGÖTLANDS LÄN</t>
        </is>
      </c>
      <c r="G607" t="inlineStr">
        <is>
          <t>NORRKÖPING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62875-2023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45272</v>
      </c>
      <c r="E608" s="1" t="n">
        <v>46295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46178</v>
      </c>
      <c r="E609" s="1" t="n">
        <v>46295</v>
      </c>
      <c r="F609" t="inlineStr">
        <is>
          <t>ÖSTERGÖTLANDS LÄN</t>
        </is>
      </c>
      <c r="G609" t="inlineStr">
        <is>
          <t>NORRKÖPING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25694-2026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46295</v>
      </c>
      <c r="F610" t="inlineStr">
        <is>
          <t>ÖSTERGÖTLANDS LÄN</t>
        </is>
      </c>
      <c r="G610" t="inlineStr">
        <is>
          <t>NORRKÖPING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15082-2024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45399</v>
      </c>
      <c r="E611" s="1" t="n">
        <v>46295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46295</v>
      </c>
      <c r="F612" t="inlineStr">
        <is>
          <t>ÖSTERGÖTLANDS LÄN</t>
        </is>
      </c>
      <c r="G612" t="inlineStr">
        <is>
          <t>NORRKÖPING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45317</v>
      </c>
      <c r="E613" s="1" t="n">
        <v>46295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46182</v>
      </c>
      <c r="E614" s="1" t="n">
        <v>46295</v>
      </c>
      <c r="F614" t="inlineStr">
        <is>
          <t>ÖSTERGÖTLANDS LÄN</t>
        </is>
      </c>
      <c r="G614" t="inlineStr">
        <is>
          <t>NORRKÖPING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46295</v>
      </c>
      <c r="F615" t="inlineStr">
        <is>
          <t>ÖSTERGÖTLANDS LÄN</t>
        </is>
      </c>
      <c r="G615" t="inlineStr">
        <is>
          <t>NORRKÖPING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46295</v>
      </c>
      <c r="F616" t="inlineStr">
        <is>
          <t>ÖSTERGÖTLANDS LÄN</t>
        </is>
      </c>
      <c r="G616" t="inlineStr">
        <is>
          <t>NORRKÖPING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49778-2022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44862</v>
      </c>
      <c r="E617" s="1" t="n">
        <v>46295</v>
      </c>
      <c r="F617" t="inlineStr">
        <is>
          <t>ÖSTERGÖTLANDS LÄN</t>
        </is>
      </c>
      <c r="G617" t="inlineStr">
        <is>
          <t>NORRKÖPING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9696-2025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45716</v>
      </c>
      <c r="E618" s="1" t="n">
        <v>46295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62033-2023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45266</v>
      </c>
      <c r="E619" s="1" t="n">
        <v>46295</v>
      </c>
      <c r="F619" t="inlineStr">
        <is>
          <t>ÖSTERGÖTLANDS LÄN</t>
        </is>
      </c>
      <c r="G619" t="inlineStr">
        <is>
          <t>NORRKÖPING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46295</v>
      </c>
      <c r="F620" t="inlineStr">
        <is>
          <t>ÖSTERGÖTLANDS LÄN</t>
        </is>
      </c>
      <c r="G620" t="inlineStr">
        <is>
          <t>NORRKÖPING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46295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46295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44859</v>
      </c>
      <c r="E623" s="1" t="n">
        <v>46295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53899-2021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44469</v>
      </c>
      <c r="E624" s="1" t="n">
        <v>46295</v>
      </c>
      <c r="F624" t="inlineStr">
        <is>
          <t>ÖSTERGÖTLANDS LÄN</t>
        </is>
      </c>
      <c r="G624" t="inlineStr">
        <is>
          <t>NORRKÖPING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5118-2024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46295</v>
      </c>
      <c r="F625" t="inlineStr">
        <is>
          <t>ÖSTERGÖTLANDS LÄN</t>
        </is>
      </c>
      <c r="G625" t="inlineStr">
        <is>
          <t>NORRKÖPING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27177-2026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46295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62061-2023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45266</v>
      </c>
      <c r="E627" s="1" t="n">
        <v>46295</v>
      </c>
      <c r="F627" t="inlineStr">
        <is>
          <t>ÖSTERGÖTLANDS LÄN</t>
        </is>
      </c>
      <c r="G627" t="inlineStr">
        <is>
          <t>NORRKÖPING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46738-2022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44851</v>
      </c>
      <c r="E628" s="1" t="n">
        <v>46295</v>
      </c>
      <c r="F628" t="inlineStr">
        <is>
          <t>ÖSTERGÖTLANDS LÄN</t>
        </is>
      </c>
      <c r="G628" t="inlineStr">
        <is>
          <t>NORRKÖPING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27119-2026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46295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31844-2023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45106</v>
      </c>
      <c r="E630" s="1" t="n">
        <v>46295</v>
      </c>
      <c r="F630" t="inlineStr">
        <is>
          <t>ÖSTERGÖTLANDS LÄN</t>
        </is>
      </c>
      <c r="G630" t="inlineStr">
        <is>
          <t>NORRKÖPING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18537-2025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45763</v>
      </c>
      <c r="E631" s="1" t="n">
        <v>46295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9.300000000000001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45043</v>
      </c>
      <c r="E632" s="1" t="n">
        <v>46295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46295</v>
      </c>
      <c r="F633" t="inlineStr">
        <is>
          <t>ÖSTERGÖTLANDS LÄN</t>
        </is>
      </c>
      <c r="G633" t="inlineStr">
        <is>
          <t>NORRKÖPING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46295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62529-2023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45268</v>
      </c>
      <c r="E635" s="1" t="n">
        <v>46295</v>
      </c>
      <c r="F635" t="inlineStr">
        <is>
          <t>ÖSTERGÖTLANDS LÄN</t>
        </is>
      </c>
      <c r="G635" t="inlineStr">
        <is>
          <t>NORRKÖPING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6067-2022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44599</v>
      </c>
      <c r="E636" s="1" t="n">
        <v>46295</v>
      </c>
      <c r="F636" t="inlineStr">
        <is>
          <t>ÖSTERGÖTLANDS LÄN</t>
        </is>
      </c>
      <c r="G636" t="inlineStr">
        <is>
          <t>NORRKÖPING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44597</v>
      </c>
      <c r="E637" s="1" t="n">
        <v>46295</v>
      </c>
      <c r="F637" t="inlineStr">
        <is>
          <t>ÖSTERGÖTLANDS LÄN</t>
        </is>
      </c>
      <c r="G637" t="inlineStr">
        <is>
          <t>NORRKÖPING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45796</v>
      </c>
      <c r="E638" s="1" t="n">
        <v>46295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8.6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46196</v>
      </c>
      <c r="E639" s="1" t="n">
        <v>46295</v>
      </c>
      <c r="F639" t="inlineStr">
        <is>
          <t>ÖSTERGÖTLANDS LÄN</t>
        </is>
      </c>
      <c r="G639" t="inlineStr">
        <is>
          <t>NORRKÖPING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29285-2026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46197</v>
      </c>
      <c r="E640" s="1" t="n">
        <v>46295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7.9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3035-2025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45678</v>
      </c>
      <c r="E641" s="1" t="n">
        <v>46295</v>
      </c>
      <c r="F641" t="inlineStr">
        <is>
          <t>ÖSTERGÖTLANDS LÄN</t>
        </is>
      </c>
      <c r="G641" t="inlineStr">
        <is>
          <t>NORRKÖPING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29622-2022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44754</v>
      </c>
      <c r="E642" s="1" t="n">
        <v>46295</v>
      </c>
      <c r="F642" t="inlineStr">
        <is>
          <t>ÖSTERGÖTLANDS LÄN</t>
        </is>
      </c>
      <c r="G642" t="inlineStr">
        <is>
          <t>NORRKÖPING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44739</v>
      </c>
      <c r="E643" s="1" t="n">
        <v>46295</v>
      </c>
      <c r="F643" t="inlineStr">
        <is>
          <t>ÖSTERGÖTLANDS LÄN</t>
        </is>
      </c>
      <c r="G643" t="inlineStr">
        <is>
          <t>NORRKÖPING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46196</v>
      </c>
      <c r="E644" s="1" t="n">
        <v>46295</v>
      </c>
      <c r="F644" t="inlineStr">
        <is>
          <t>ÖSTERGÖTLANDS LÄN</t>
        </is>
      </c>
      <c r="G644" t="inlineStr">
        <is>
          <t>NORRKÖPING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28258-2026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46196</v>
      </c>
      <c r="E645" s="1" t="n">
        <v>46295</v>
      </c>
      <c r="F645" t="inlineStr">
        <is>
          <t>ÖSTERGÖTLANDS LÄN</t>
        </is>
      </c>
      <c r="G645" t="inlineStr">
        <is>
          <t>NORRKÖPING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46196</v>
      </c>
      <c r="E646" s="1" t="n">
        <v>46295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7141-2023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44970</v>
      </c>
      <c r="E647" s="1" t="n">
        <v>46295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28259-2026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46295</v>
      </c>
      <c r="F648" t="inlineStr">
        <is>
          <t>ÖSTERGÖTLANDS LÄN</t>
        </is>
      </c>
      <c r="G648" t="inlineStr">
        <is>
          <t>NORRKÖPING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28835-2026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46295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50119-2023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46295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31834-2023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46295</v>
      </c>
      <c r="F651" t="inlineStr">
        <is>
          <t>ÖSTERGÖTLANDS LÄN</t>
        </is>
      </c>
      <c r="G651" t="inlineStr">
        <is>
          <t>NORRKÖPING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46295</v>
      </c>
      <c r="F652" t="inlineStr">
        <is>
          <t>ÖSTERGÖTLANDS LÄN</t>
        </is>
      </c>
      <c r="G652" t="inlineStr">
        <is>
          <t>NORRKÖPING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46295</v>
      </c>
      <c r="F653" t="inlineStr">
        <is>
          <t>ÖSTERGÖTLANDS LÄN</t>
        </is>
      </c>
      <c r="G653" t="inlineStr">
        <is>
          <t>NORRKÖPING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28757-2026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46295</v>
      </c>
      <c r="F654" t="inlineStr">
        <is>
          <t>ÖSTERGÖTLANDS LÄN</t>
        </is>
      </c>
      <c r="G654" t="inlineStr">
        <is>
          <t>NORRKÖPING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46295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28902-2026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46295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19853-2023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45053</v>
      </c>
      <c r="E657" s="1" t="n">
        <v>46295</v>
      </c>
      <c r="F657" t="inlineStr">
        <is>
          <t>ÖSTERGÖTLANDS LÄN</t>
        </is>
      </c>
      <c r="G657" t="inlineStr">
        <is>
          <t>NORRKÖPING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46295</v>
      </c>
      <c r="F658" t="inlineStr">
        <is>
          <t>ÖSTERGÖTLANDS LÄN</t>
        </is>
      </c>
      <c r="G658" t="inlineStr">
        <is>
          <t>NORRKÖPING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12727-2022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44641</v>
      </c>
      <c r="E659" s="1" t="n">
        <v>46295</v>
      </c>
      <c r="F659" t="inlineStr">
        <is>
          <t>ÖSTERGÖTLANDS LÄN</t>
        </is>
      </c>
      <c r="G659" t="inlineStr">
        <is>
          <t>NORRKÖPING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29180-2026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46202</v>
      </c>
      <c r="E660" s="1" t="n">
        <v>46295</v>
      </c>
      <c r="F660" t="inlineStr">
        <is>
          <t>ÖSTERGÖTLANDS LÄN</t>
        </is>
      </c>
      <c r="G660" t="inlineStr">
        <is>
          <t>NORRKÖPING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12814-2025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45733</v>
      </c>
      <c r="E661" s="1" t="n">
        <v>46295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46295</v>
      </c>
      <c r="F662" t="inlineStr">
        <is>
          <t>ÖSTERGÖTLANDS LÄN</t>
        </is>
      </c>
      <c r="G662" t="inlineStr">
        <is>
          <t>NORRKÖPING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30485-2026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46204</v>
      </c>
      <c r="E663" s="1" t="n">
        <v>46295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Allmännings- och besparingsskogar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50960-2022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46295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Allmännings- och besparingsskogar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18661-2023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45043</v>
      </c>
      <c r="E665" s="1" t="n">
        <v>46295</v>
      </c>
      <c r="F665" t="inlineStr">
        <is>
          <t>ÖSTERGÖTLANDS LÄN</t>
        </is>
      </c>
      <c r="G665" t="inlineStr">
        <is>
          <t>NORRKÖPING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49487-2022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44861</v>
      </c>
      <c r="E666" s="1" t="n">
        <v>46295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13918-2023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45008</v>
      </c>
      <c r="E667" s="1" t="n">
        <v>46295</v>
      </c>
      <c r="F667" t="inlineStr">
        <is>
          <t>ÖSTERGÖTLANDS LÄN</t>
        </is>
      </c>
      <c r="G667" t="inlineStr">
        <is>
          <t>NORRKÖPING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44936</v>
      </c>
      <c r="E668" s="1" t="n">
        <v>46295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1281-2023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44936</v>
      </c>
      <c r="E669" s="1" t="n">
        <v>46295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45030</v>
      </c>
      <c r="E670" s="1" t="n">
        <v>46295</v>
      </c>
      <c r="F670" t="inlineStr">
        <is>
          <t>ÖSTERGÖTLANDS LÄN</t>
        </is>
      </c>
      <c r="G670" t="inlineStr">
        <is>
          <t>NORRKÖPING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41367-2023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46295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41375-2023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45174</v>
      </c>
      <c r="E672" s="1" t="n">
        <v>46295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11261-2023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44992</v>
      </c>
      <c r="E673" s="1" t="n">
        <v>46295</v>
      </c>
      <c r="F673" t="inlineStr">
        <is>
          <t>ÖSTERGÖTLANDS LÄN</t>
        </is>
      </c>
      <c r="G673" t="inlineStr">
        <is>
          <t>NORRKÖPING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30217-2026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46206</v>
      </c>
      <c r="E674" s="1" t="n">
        <v>46295</v>
      </c>
      <c r="F674" t="inlineStr">
        <is>
          <t>ÖSTERGÖTLANDS LÄN</t>
        </is>
      </c>
      <c r="G674" t="inlineStr">
        <is>
          <t>NORRKÖPING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14901-2023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45014</v>
      </c>
      <c r="E675" s="1" t="n">
        <v>46295</v>
      </c>
      <c r="F675" t="inlineStr">
        <is>
          <t>ÖSTERGÖTLANDS LÄN</t>
        </is>
      </c>
      <c r="G675" t="inlineStr">
        <is>
          <t>NORRKÖPING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46295</v>
      </c>
      <c r="F676" t="inlineStr">
        <is>
          <t>ÖSTERGÖTLANDS LÄN</t>
        </is>
      </c>
      <c r="G676" t="inlineStr">
        <is>
          <t>NORRKÖPING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57495-2023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45246</v>
      </c>
      <c r="E677" s="1" t="n">
        <v>46295</v>
      </c>
      <c r="F677" t="inlineStr">
        <is>
          <t>ÖSTERGÖTLANDS LÄN</t>
        </is>
      </c>
      <c r="G677" t="inlineStr">
        <is>
          <t>NORRKÖPING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15843-2023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45022</v>
      </c>
      <c r="E678" s="1" t="n">
        <v>46295</v>
      </c>
      <c r="F678" t="inlineStr">
        <is>
          <t>ÖSTERGÖTLANDS LÄN</t>
        </is>
      </c>
      <c r="G678" t="inlineStr">
        <is>
          <t>NORRKÖPING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25981-2023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45090</v>
      </c>
      <c r="E679" s="1" t="n">
        <v>46295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32574-2022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44783</v>
      </c>
      <c r="E680" s="1" t="n">
        <v>46295</v>
      </c>
      <c r="F680" t="inlineStr">
        <is>
          <t>ÖSTERGÖTLANDS LÄN</t>
        </is>
      </c>
      <c r="G680" t="inlineStr">
        <is>
          <t>NORRKÖPING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30901-2026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46213</v>
      </c>
      <c r="E681" s="1" t="n">
        <v>46295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34800-2026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46295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30911-2026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46213</v>
      </c>
      <c r="E683" s="1" t="n">
        <v>46295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8815-2024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45356</v>
      </c>
      <c r="E684" s="1" t="n">
        <v>46295</v>
      </c>
      <c r="F684" t="inlineStr">
        <is>
          <t>ÖSTERGÖTLANDS LÄN</t>
        </is>
      </c>
      <c r="G684" t="inlineStr">
        <is>
          <t>NORRKÖPING</t>
        </is>
      </c>
      <c r="I684" t="n">
        <v>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46295</v>
      </c>
      <c r="F685" t="inlineStr">
        <is>
          <t>ÖSTERGÖTLANDS LÄN</t>
        </is>
      </c>
      <c r="G685" t="inlineStr">
        <is>
          <t>NORRKÖPING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24634-2025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45798</v>
      </c>
      <c r="E686" s="1" t="n">
        <v>46295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18664-2023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46295</v>
      </c>
      <c r="F687" t="inlineStr">
        <is>
          <t>ÖSTERGÖTLANDS LÄN</t>
        </is>
      </c>
      <c r="G687" t="inlineStr">
        <is>
          <t>NORRKÖPING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46258</v>
      </c>
      <c r="E688" s="1" t="n">
        <v>46295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30905-2026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46213</v>
      </c>
      <c r="E689" s="1" t="n">
        <v>46295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46295</v>
      </c>
      <c r="F690" t="inlineStr">
        <is>
          <t>ÖSTERGÖTLANDS LÄN</t>
        </is>
      </c>
      <c r="G690" t="inlineStr">
        <is>
          <t>NORRKÖPING</t>
        </is>
      </c>
      <c r="I690" t="n">
        <v>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45699</v>
      </c>
      <c r="E691" s="1" t="n">
        <v>46295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34787-2026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46258</v>
      </c>
      <c r="E692" s="1" t="n">
        <v>46295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20356-2024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45435</v>
      </c>
      <c r="E693" s="1" t="n">
        <v>46295</v>
      </c>
      <c r="F693" t="inlineStr">
        <is>
          <t>ÖSTERGÖTLANDS LÄN</t>
        </is>
      </c>
      <c r="G693" t="inlineStr">
        <is>
          <t>NORRKÖPING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34815-2026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46258</v>
      </c>
      <c r="E694" s="1" t="n">
        <v>46295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38874-2024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45547</v>
      </c>
      <c r="E695" s="1" t="n">
        <v>46295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46258</v>
      </c>
      <c r="E696" s="1" t="n">
        <v>46295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25287-2023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45086</v>
      </c>
      <c r="E697" s="1" t="n">
        <v>46295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Allmännings- och besparingsskogar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58884-2024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45636</v>
      </c>
      <c r="E698" s="1" t="n">
        <v>46295</v>
      </c>
      <c r="F698" t="inlineStr">
        <is>
          <t>ÖSTERGÖTLANDS LÄN</t>
        </is>
      </c>
      <c r="G698" t="inlineStr">
        <is>
          <t>NORRKÖPING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22651-2023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45071</v>
      </c>
      <c r="E699" s="1" t="n">
        <v>46295</v>
      </c>
      <c r="F699" t="inlineStr">
        <is>
          <t>ÖSTERGÖTLANDS LÄN</t>
        </is>
      </c>
      <c r="G699" t="inlineStr">
        <is>
          <t>NORRKÖPING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35200-2026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46260</v>
      </c>
      <c r="E700" s="1" t="n">
        <v>46295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35202-2026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46260</v>
      </c>
      <c r="E701" s="1" t="n">
        <v>46295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29010-2023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45096</v>
      </c>
      <c r="E702" s="1" t="n">
        <v>46295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12.3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46295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31078-2026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46216</v>
      </c>
      <c r="E704" s="1" t="n">
        <v>46295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31225-2026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46217</v>
      </c>
      <c r="E705" s="1" t="n">
        <v>46295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46218</v>
      </c>
      <c r="E706" s="1" t="n">
        <v>46295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46696-2024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45583</v>
      </c>
      <c r="E707" s="1" t="n">
        <v>46295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36542-2023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45153</v>
      </c>
      <c r="E708" s="1" t="n">
        <v>46295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45117</v>
      </c>
      <c r="E709" s="1" t="n">
        <v>46295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17582-2025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45757</v>
      </c>
      <c r="E710" s="1" t="n">
        <v>46295</v>
      </c>
      <c r="F710" t="inlineStr">
        <is>
          <t>ÖSTERGÖTLANDS LÄN</t>
        </is>
      </c>
      <c r="G710" t="inlineStr">
        <is>
          <t>NORRKÖPING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26832-2023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45093</v>
      </c>
      <c r="E711" s="1" t="n">
        <v>46295</v>
      </c>
      <c r="F711" t="inlineStr">
        <is>
          <t>ÖSTERGÖTLANDS LÄN</t>
        </is>
      </c>
      <c r="G711" t="inlineStr">
        <is>
          <t>NORRKÖPING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9206-2023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44980</v>
      </c>
      <c r="E712" s="1" t="n">
        <v>46295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6636-2023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44966</v>
      </c>
      <c r="E713" s="1" t="n">
        <v>46295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16705-2023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46295</v>
      </c>
      <c r="F714" t="inlineStr">
        <is>
          <t>ÖSTERGÖTLANDS LÄN</t>
        </is>
      </c>
      <c r="G714" t="inlineStr">
        <is>
          <t>NORRKÖPING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28601-2024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45478</v>
      </c>
      <c r="E715" s="1" t="n">
        <v>46295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46218</v>
      </c>
      <c r="E716" s="1" t="n">
        <v>46295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25715-2026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46295</v>
      </c>
      <c r="F717" t="inlineStr">
        <is>
          <t>ÖSTERGÖTLANDS LÄN</t>
        </is>
      </c>
      <c r="G717" t="inlineStr">
        <is>
          <t>NORRKÖPING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8517-2023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44977</v>
      </c>
      <c r="E718" s="1" t="n">
        <v>46295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35669-2026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46265</v>
      </c>
      <c r="E719" s="1" t="n">
        <v>46295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35795-2026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46265</v>
      </c>
      <c r="E720" s="1" t="n">
        <v>46295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13173-2022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44644</v>
      </c>
      <c r="E721" s="1" t="n">
        <v>46295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14485-2023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45012</v>
      </c>
      <c r="E722" s="1" t="n">
        <v>46295</v>
      </c>
      <c r="F722" t="inlineStr">
        <is>
          <t>ÖSTERGÖTLANDS LÄN</t>
        </is>
      </c>
      <c r="G722" t="inlineStr">
        <is>
          <t>NORRKÖPING</t>
        </is>
      </c>
      <c r="I722" t="n">
        <v>9.9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31661-2026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46225</v>
      </c>
      <c r="E723" s="1" t="n">
        <v>46295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23462-2023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45076</v>
      </c>
      <c r="E724" s="1" t="n">
        <v>46295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7750-2025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45706</v>
      </c>
      <c r="E725" s="1" t="n">
        <v>46295</v>
      </c>
      <c r="F725" t="inlineStr">
        <is>
          <t>ÖSTERGÖTLANDS LÄN</t>
        </is>
      </c>
      <c r="G725" t="inlineStr">
        <is>
          <t>NORRKÖPING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36368-2026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46268</v>
      </c>
      <c r="E726" s="1" t="n">
        <v>46295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BillerudKorsnäs AB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19114-2023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45048</v>
      </c>
      <c r="E727" s="1" t="n">
        <v>46295</v>
      </c>
      <c r="F727" t="inlineStr">
        <is>
          <t>ÖSTERGÖTLANDS LÄN</t>
        </is>
      </c>
      <c r="G727" t="inlineStr">
        <is>
          <t>NORRKÖPING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32617-2023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45121</v>
      </c>
      <c r="E728" s="1" t="n">
        <v>46295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36581-2026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46295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36258-2022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44803</v>
      </c>
      <c r="E730" s="1" t="n">
        <v>46295</v>
      </c>
      <c r="F730" t="inlineStr">
        <is>
          <t>ÖSTERGÖTLANDS LÄN</t>
        </is>
      </c>
      <c r="G730" t="inlineStr">
        <is>
          <t>NORRKÖPING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36567-2026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46295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31880-2026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46231</v>
      </c>
      <c r="E732" s="1" t="n">
        <v>46295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56876-2024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45628</v>
      </c>
      <c r="E733" s="1" t="n">
        <v>46295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46233</v>
      </c>
      <c r="E734" s="1" t="n">
        <v>46295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20583-2024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45436</v>
      </c>
      <c r="E735" s="1" t="n">
        <v>46295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17852-2025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45758</v>
      </c>
      <c r="E736" s="1" t="n">
        <v>46295</v>
      </c>
      <c r="F736" t="inlineStr">
        <is>
          <t>ÖSTERGÖTLANDS LÄN</t>
        </is>
      </c>
      <c r="G736" t="inlineStr">
        <is>
          <t>NORRKÖPING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46233</v>
      </c>
      <c r="E737" s="1" t="n">
        <v>46295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46233</v>
      </c>
      <c r="E738" s="1" t="n">
        <v>46295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46295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26407-2023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45092</v>
      </c>
      <c r="E740" s="1" t="n">
        <v>46295</v>
      </c>
      <c r="F740" t="inlineStr">
        <is>
          <t>ÖSTERGÖTLANDS LÄN</t>
        </is>
      </c>
      <c r="G740" t="inlineStr">
        <is>
          <t>NORRKÖPING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45535</v>
      </c>
      <c r="E741" s="1" t="n">
        <v>46295</v>
      </c>
      <c r="F741" t="inlineStr">
        <is>
          <t>ÖSTERGÖTLANDS LÄN</t>
        </is>
      </c>
      <c r="G741" t="inlineStr">
        <is>
          <t>NORRKÖPING</t>
        </is>
      </c>
      <c r="I741" t="n">
        <v>12.8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46295</v>
      </c>
      <c r="F742" t="inlineStr">
        <is>
          <t>ÖSTERGÖTLANDS LÄN</t>
        </is>
      </c>
      <c r="G742" t="inlineStr">
        <is>
          <t>NORRKÖPING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37915-2026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46280</v>
      </c>
      <c r="E743" s="1" t="n">
        <v>46295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38017-2026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46280</v>
      </c>
      <c r="E744" s="1" t="n">
        <v>46295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51124-2023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46295</v>
      </c>
      <c r="F745" t="inlineStr">
        <is>
          <t>ÖSTERGÖTLANDS LÄN</t>
        </is>
      </c>
      <c r="G745" t="inlineStr">
        <is>
          <t>NORRKÖPING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46295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38056-2026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46280</v>
      </c>
      <c r="E747" s="1" t="n">
        <v>46295</v>
      </c>
      <c r="F747" t="inlineStr">
        <is>
          <t>ÖSTERGÖTLANDS LÄN</t>
        </is>
      </c>
      <c r="G747" t="inlineStr">
        <is>
          <t>NORRKÖPING</t>
        </is>
      </c>
      <c r="I747" t="n">
        <v>20.8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13133-2024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45386</v>
      </c>
      <c r="E748" s="1" t="n">
        <v>46295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37958-2026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46295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46279</v>
      </c>
      <c r="E750" s="1" t="n">
        <v>46295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32028-2026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46233</v>
      </c>
      <c r="E751" s="1" t="n">
        <v>46295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32069-2026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46233</v>
      </c>
      <c r="E752" s="1" t="n">
        <v>46295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11144-2025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45723</v>
      </c>
      <c r="E753" s="1" t="n">
        <v>46295</v>
      </c>
      <c r="F753" t="inlineStr">
        <is>
          <t>ÖSTERGÖTLANDS LÄN</t>
        </is>
      </c>
      <c r="G753" t="inlineStr">
        <is>
          <t>NORRKÖPING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16594-2023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45027</v>
      </c>
      <c r="E754" s="1" t="n">
        <v>46295</v>
      </c>
      <c r="F754" t="inlineStr">
        <is>
          <t>ÖSTERGÖTLANDS LÄN</t>
        </is>
      </c>
      <c r="G754" t="inlineStr">
        <is>
          <t>NORRKÖPING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11737-2024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45373</v>
      </c>
      <c r="E755" s="1" t="n">
        <v>46295</v>
      </c>
      <c r="F755" t="inlineStr">
        <is>
          <t>ÖSTERGÖTLANDS LÄN</t>
        </is>
      </c>
      <c r="G755" t="inlineStr">
        <is>
          <t>NORRKÖPING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40816-2024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46295</v>
      </c>
      <c r="F756" t="inlineStr">
        <is>
          <t>ÖSTERGÖTLANDS LÄN</t>
        </is>
      </c>
      <c r="G756" t="inlineStr">
        <is>
          <t>NORRKÖPING</t>
        </is>
      </c>
      <c r="I756" t="n">
        <v>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44935</v>
      </c>
      <c r="E757" s="1" t="n">
        <v>46295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45478</v>
      </c>
      <c r="E758" s="1" t="n">
        <v>46295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45118</v>
      </c>
      <c r="E759" s="1" t="n">
        <v>46295</v>
      </c>
      <c r="F759" t="inlineStr">
        <is>
          <t>ÖSTERGÖTLANDS LÄN</t>
        </is>
      </c>
      <c r="G759" t="inlineStr">
        <is>
          <t>NORRKÖPING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9201-2023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44980</v>
      </c>
      <c r="E760" s="1" t="n">
        <v>46295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8569-2023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44977</v>
      </c>
      <c r="E761" s="1" t="n">
        <v>46295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45678</v>
      </c>
      <c r="E762" s="1" t="n">
        <v>46295</v>
      </c>
      <c r="F762" t="inlineStr">
        <is>
          <t>ÖSTERGÖTLANDS LÄN</t>
        </is>
      </c>
      <c r="G762" t="inlineStr">
        <is>
          <t>NORRKÖPING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45153</v>
      </c>
      <c r="E763" s="1" t="n">
        <v>46295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51112-2024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45603</v>
      </c>
      <c r="E764" s="1" t="n">
        <v>46295</v>
      </c>
      <c r="F764" t="inlineStr">
        <is>
          <t>ÖSTERGÖTLANDS LÄN</t>
        </is>
      </c>
      <c r="G764" t="inlineStr">
        <is>
          <t>NORRKÖPING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1811-2023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44936</v>
      </c>
      <c r="E765" s="1" t="n">
        <v>46295</v>
      </c>
      <c r="F765" t="inlineStr">
        <is>
          <t>ÖSTERGÖTLANDS LÄN</t>
        </is>
      </c>
      <c r="G765" t="inlineStr">
        <is>
          <t>NORRKÖPING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14585-2025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45742</v>
      </c>
      <c r="E766" s="1" t="n">
        <v>46295</v>
      </c>
      <c r="F766" t="inlineStr">
        <is>
          <t>ÖSTERGÖTLANDS LÄN</t>
        </is>
      </c>
      <c r="G766" t="inlineStr">
        <is>
          <t>NORRKÖPING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36575-2023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45153</v>
      </c>
      <c r="E767" s="1" t="n">
        <v>46295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59580-2022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44907</v>
      </c>
      <c r="E768" s="1" t="n">
        <v>46295</v>
      </c>
      <c r="F768" t="inlineStr">
        <is>
          <t>ÖSTERGÖTLANDS LÄN</t>
        </is>
      </c>
      <c r="G768" t="inlineStr">
        <is>
          <t>NORRKÖPING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46241</v>
      </c>
      <c r="E769" s="1" t="n">
        <v>46295</v>
      </c>
      <c r="F769" t="inlineStr">
        <is>
          <t>ÖSTERGÖTLANDS LÄN</t>
        </is>
      </c>
      <c r="G769" t="inlineStr">
        <is>
          <t>NORRKÖPING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46241</v>
      </c>
      <c r="E770" s="1" t="n">
        <v>46295</v>
      </c>
      <c r="F770" t="inlineStr">
        <is>
          <t>ÖSTERGÖTLANDS LÄN</t>
        </is>
      </c>
      <c r="G770" t="inlineStr">
        <is>
          <t>NORRKÖPING</t>
        </is>
      </c>
      <c r="I770" t="n">
        <v>5.7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38702-2026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46283</v>
      </c>
      <c r="E771" s="1" t="n">
        <v>46295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Allmännings- och besparingsskogar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46282</v>
      </c>
      <c r="E772" s="1" t="n">
        <v>46295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Allmännings- och besparingsskogar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49465-2023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45211</v>
      </c>
      <c r="E773" s="1" t="n">
        <v>46295</v>
      </c>
      <c r="F773" t="inlineStr">
        <is>
          <t>ÖSTERGÖTLANDS LÄN</t>
        </is>
      </c>
      <c r="G773" t="inlineStr">
        <is>
          <t>NORRKÖPING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1939-2023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44936</v>
      </c>
      <c r="E774" s="1" t="n">
        <v>46295</v>
      </c>
      <c r="F774" t="inlineStr">
        <is>
          <t>ÖSTERGÖTLANDS LÄN</t>
        </is>
      </c>
      <c r="G774" t="inlineStr">
        <is>
          <t>NORRKÖPING</t>
        </is>
      </c>
      <c r="I774" t="n">
        <v>5.8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15177-2023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45016</v>
      </c>
      <c r="E775" s="1" t="n">
        <v>46295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45129</v>
      </c>
      <c r="E776" s="1" t="n">
        <v>46295</v>
      </c>
      <c r="F776" t="inlineStr">
        <is>
          <t>ÖSTERGÖTLANDS LÄN</t>
        </is>
      </c>
      <c r="G776" t="inlineStr">
        <is>
          <t>NORRKÖPING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38968-2026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46286</v>
      </c>
      <c r="E777" s="1" t="n">
        <v>46295</v>
      </c>
      <c r="F777" t="inlineStr">
        <is>
          <t>ÖSTERGÖTLANDS LÄN</t>
        </is>
      </c>
      <c r="G777" t="inlineStr">
        <is>
          <t>NORRKÖPING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24354-2024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45457</v>
      </c>
      <c r="E778" s="1" t="n">
        <v>46295</v>
      </c>
      <c r="F778" t="inlineStr">
        <is>
          <t>ÖSTERGÖTLANDS LÄN</t>
        </is>
      </c>
      <c r="G778" t="inlineStr">
        <is>
          <t>NORRKÖPING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39426-2026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46288</v>
      </c>
      <c r="E779" s="1" t="n">
        <v>46295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Kyrkan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30865-2024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45497</v>
      </c>
      <c r="E780" s="1" t="n">
        <v>46295</v>
      </c>
      <c r="F780" t="inlineStr">
        <is>
          <t>ÖSTERGÖTLANDS LÄN</t>
        </is>
      </c>
      <c r="G780" t="inlineStr">
        <is>
          <t>NORRKÖPING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32926-2026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46244</v>
      </c>
      <c r="E781" s="1" t="n">
        <v>46295</v>
      </c>
      <c r="F781" t="inlineStr">
        <is>
          <t>ÖSTERGÖTLANDS LÄN</t>
        </is>
      </c>
      <c r="G781" t="inlineStr">
        <is>
          <t>NORRKÖPING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7763-2025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46295</v>
      </c>
      <c r="F782" t="inlineStr">
        <is>
          <t>ÖSTERGÖTLANDS LÄN</t>
        </is>
      </c>
      <c r="G782" t="inlineStr">
        <is>
          <t>NORRKÖPING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39439-2026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46288</v>
      </c>
      <c r="E783" s="1" t="n">
        <v>46295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Kyrkan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45310</v>
      </c>
      <c r="E784" s="1" t="n">
        <v>46295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45742</v>
      </c>
      <c r="E785" s="1" t="n">
        <v>46295</v>
      </c>
      <c r="F785" t="inlineStr">
        <is>
          <t>ÖSTERGÖTLANDS LÄN</t>
        </is>
      </c>
      <c r="G785" t="inlineStr">
        <is>
          <t>NORRKÖPING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17813-2025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45758</v>
      </c>
      <c r="E786" s="1" t="n">
        <v>46295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45709</v>
      </c>
      <c r="E787" s="1" t="n">
        <v>46295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32967-2026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46295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32885-2026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46244</v>
      </c>
      <c r="E789" s="1" t="n">
        <v>46295</v>
      </c>
      <c r="F789" t="inlineStr">
        <is>
          <t>ÖSTERGÖTLANDS LÄN</t>
        </is>
      </c>
      <c r="G789" t="inlineStr">
        <is>
          <t>NORRKÖPING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33013-2026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46244</v>
      </c>
      <c r="E790" s="1" t="n">
        <v>46295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Allmännings- och besparingsskogar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33075-2026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46245</v>
      </c>
      <c r="E791" s="1" t="n">
        <v>46295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57405-2024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45629</v>
      </c>
      <c r="E792" s="1" t="n">
        <v>46295</v>
      </c>
      <c r="F792" t="inlineStr">
        <is>
          <t>ÖSTERGÖTLANDS LÄN</t>
        </is>
      </c>
      <c r="G792" t="inlineStr">
        <is>
          <t>NORRKÖPING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33094-2026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46245</v>
      </c>
      <c r="E793" s="1" t="n">
        <v>46295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32880-2026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46244</v>
      </c>
      <c r="E794" s="1" t="n">
        <v>46295</v>
      </c>
      <c r="F794" t="inlineStr">
        <is>
          <t>ÖSTERGÖTLANDS LÄN</t>
        </is>
      </c>
      <c r="G794" t="inlineStr">
        <is>
          <t>NORRKÖPING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33124-2026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46245</v>
      </c>
      <c r="E795" s="1" t="n">
        <v>46295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6040-2026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46295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Allmännings- och besparingsskogar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21093-2025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45777</v>
      </c>
      <c r="E797" s="1" t="n">
        <v>46295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39536-2026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46289</v>
      </c>
      <c r="E798" s="1" t="n">
        <v>46295</v>
      </c>
      <c r="F798" t="inlineStr">
        <is>
          <t>ÖSTERGÖTLANDS LÄN</t>
        </is>
      </c>
      <c r="G798" t="inlineStr">
        <is>
          <t>NORRKÖPING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21542-2025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45782</v>
      </c>
      <c r="E799" s="1" t="n">
        <v>46295</v>
      </c>
      <c r="F799" t="inlineStr">
        <is>
          <t>ÖSTERGÖTLANDS LÄN</t>
        </is>
      </c>
      <c r="G799" t="inlineStr">
        <is>
          <t>NORRKÖPING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21770-2025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45783</v>
      </c>
      <c r="E800" s="1" t="n">
        <v>46295</v>
      </c>
      <c r="F800" t="inlineStr">
        <is>
          <t>ÖSTERGÖTLANDS LÄN</t>
        </is>
      </c>
      <c r="G800" t="inlineStr">
        <is>
          <t>NORRKÖPING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21909-2025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45784</v>
      </c>
      <c r="E801" s="1" t="n">
        <v>46295</v>
      </c>
      <c r="F801" t="inlineStr">
        <is>
          <t>ÖSTERGÖTLANDS LÄN</t>
        </is>
      </c>
      <c r="G801" t="inlineStr">
        <is>
          <t>NORRKÖPING</t>
        </is>
      </c>
      <c r="I801" t="n">
        <v>7.9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21967-2025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45784</v>
      </c>
      <c r="E802" s="1" t="n">
        <v>46295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46240</v>
      </c>
      <c r="E803" s="1" t="n">
        <v>46295</v>
      </c>
      <c r="F803" t="inlineStr">
        <is>
          <t>ÖSTERGÖTLANDS LÄN</t>
        </is>
      </c>
      <c r="G803" t="inlineStr">
        <is>
          <t>NORRKÖPING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26398-2023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45092</v>
      </c>
      <c r="E804" s="1" t="n">
        <v>46295</v>
      </c>
      <c r="F804" t="inlineStr">
        <is>
          <t>ÖSTERGÖTLANDS LÄN</t>
        </is>
      </c>
      <c r="G804" t="inlineStr">
        <is>
          <t>NORRKÖPING</t>
        </is>
      </c>
      <c r="I804" t="n">
        <v>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22307-2025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45786</v>
      </c>
      <c r="E805" s="1" t="n">
        <v>46295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1884-2025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45671</v>
      </c>
      <c r="E806" s="1" t="n">
        <v>46295</v>
      </c>
      <c r="F806" t="inlineStr">
        <is>
          <t>ÖSTERGÖTLANDS LÄN</t>
        </is>
      </c>
      <c r="G806" t="inlineStr">
        <is>
          <t>NORRKÖPING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19191-2025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45769</v>
      </c>
      <c r="E807" s="1" t="n">
        <v>46295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23366-2024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45453</v>
      </c>
      <c r="E808" s="1" t="n">
        <v>46295</v>
      </c>
      <c r="F808" t="inlineStr">
        <is>
          <t>ÖSTERGÖTLANDS LÄN</t>
        </is>
      </c>
      <c r="G808" t="inlineStr">
        <is>
          <t>NORRKÖPING</t>
        </is>
      </c>
      <c r="I808" t="n">
        <v>5.4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45453</v>
      </c>
      <c r="E809" s="1" t="n">
        <v>46295</v>
      </c>
      <c r="F809" t="inlineStr">
        <is>
          <t>ÖSTERGÖTLANDS LÄN</t>
        </is>
      </c>
      <c r="G809" t="inlineStr">
        <is>
          <t>NORRKÖPING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46295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Naturvårdsverket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44565</v>
      </c>
      <c r="E811" s="1" t="n">
        <v>46295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Allmännings- och besparingsskogar</t>
        </is>
      </c>
      <c r="I811" t="n">
        <v>9.300000000000001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2288-2024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45310</v>
      </c>
      <c r="E812" s="1" t="n">
        <v>46295</v>
      </c>
      <c r="F812" t="inlineStr">
        <is>
          <t>ÖSTERGÖTLANDS LÄN</t>
        </is>
      </c>
      <c r="G812" t="inlineStr">
        <is>
          <t>NORRKÖPING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22881-2025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45790</v>
      </c>
      <c r="E813" s="1" t="n">
        <v>46295</v>
      </c>
      <c r="F813" t="inlineStr">
        <is>
          <t>ÖSTERGÖTLANDS LÄN</t>
        </is>
      </c>
      <c r="G813" t="inlineStr">
        <is>
          <t>NORRKÖPING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46295</v>
      </c>
      <c r="F814" t="inlineStr">
        <is>
          <t>ÖSTERGÖTLANDS LÄN</t>
        </is>
      </c>
      <c r="G814" t="inlineStr">
        <is>
          <t>NORRKÖPING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40072-2026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46293</v>
      </c>
      <c r="E815" s="1" t="n">
        <v>46295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1519-2021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44313</v>
      </c>
      <c r="E816" s="1" t="n">
        <v>46295</v>
      </c>
      <c r="F816" t="inlineStr">
        <is>
          <t>ÖSTERGÖTLANDS LÄN</t>
        </is>
      </c>
      <c r="G816" t="inlineStr">
        <is>
          <t>NORRKÖPING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2289-2020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44130</v>
      </c>
      <c r="E817" s="1" t="n">
        <v>46295</v>
      </c>
      <c r="F817" t="inlineStr">
        <is>
          <t>ÖSTERGÖTLANDS LÄN</t>
        </is>
      </c>
      <c r="G817" t="inlineStr">
        <is>
          <t>NORRKÖPING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44230</v>
      </c>
      <c r="E818" s="1" t="n">
        <v>46295</v>
      </c>
      <c r="F818" t="inlineStr">
        <is>
          <t>ÖSTERGÖTLANDS LÄN</t>
        </is>
      </c>
      <c r="G818" t="inlineStr">
        <is>
          <t>NORRKÖPING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1484-2022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44638</v>
      </c>
      <c r="E819" s="1" t="n">
        <v>46295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1678-2022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44649</v>
      </c>
      <c r="E820" s="1" t="n">
        <v>46295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10364-2021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44551</v>
      </c>
      <c r="E821" s="1" t="n">
        <v>46295</v>
      </c>
      <c r="F821" t="inlineStr">
        <is>
          <t>ÖSTERGÖTLANDS LÄN</t>
        </is>
      </c>
      <c r="G821" t="inlineStr">
        <is>
          <t>NORRKÖPING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2481-2022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44692</v>
      </c>
      <c r="E822" s="1" t="n">
        <v>46295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45316</v>
      </c>
      <c r="E823" s="1" t="n">
        <v>46295</v>
      </c>
      <c r="F823" t="inlineStr">
        <is>
          <t>ÖSTERGÖTLANDS LÄN</t>
        </is>
      </c>
      <c r="G823" t="inlineStr">
        <is>
          <t>NORRKÖPING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4973-2024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45629</v>
      </c>
      <c r="E824" s="1" t="n">
        <v>46295</v>
      </c>
      <c r="F824" t="inlineStr">
        <is>
          <t>ÖSTERGÖTLANDS LÄN</t>
        </is>
      </c>
      <c r="G824" t="inlineStr">
        <is>
          <t>NORRKÖPING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46295</v>
      </c>
      <c r="F825" t="inlineStr">
        <is>
          <t>ÖSTERGÖTLANDS LÄN</t>
        </is>
      </c>
      <c r="G825" t="inlineStr">
        <is>
          <t>NORRKÖPING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1663-2024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45432</v>
      </c>
      <c r="E826" s="1" t="n">
        <v>46295</v>
      </c>
      <c r="F826" t="inlineStr">
        <is>
          <t>ÖSTERGÖTLANDS LÄN</t>
        </is>
      </c>
      <c r="G826" t="inlineStr">
        <is>
          <t>NORRKÖPING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4012-2024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46295</v>
      </c>
      <c r="F827" t="inlineStr">
        <is>
          <t>ÖSTERGÖTLANDS LÄN</t>
        </is>
      </c>
      <c r="G827" t="inlineStr">
        <is>
          <t>NORRKÖPING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1486-2025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45789</v>
      </c>
      <c r="E828" s="1" t="n">
        <v>46295</v>
      </c>
      <c r="F828" t="inlineStr">
        <is>
          <t>ÖSTERGÖTLANDS LÄN</t>
        </is>
      </c>
      <c r="G828" t="inlineStr">
        <is>
          <t>NORRKÖPING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1433-2025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45784</v>
      </c>
      <c r="E829" s="1" t="n">
        <v>46295</v>
      </c>
      <c r="F829" t="inlineStr">
        <is>
          <t>ÖSTERGÖTLANDS LÄN</t>
        </is>
      </c>
      <c r="G829" t="inlineStr">
        <is>
          <t>NORRKÖPING</t>
        </is>
      </c>
      <c r="I829" t="n">
        <v>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2026-09-30T02:02:25Z</dcterms:created>
  <dcterms:modified xmlns:dcterms="http://purl.org/dc/terms/" xmlns:xsi="http://www.w3.org/2001/XMLSchema-instance" xsi:type="dcterms:W3CDTF">2026-09-30T02:02:26Z</dcterms:modified>
</cp:coreProperties>
</file>