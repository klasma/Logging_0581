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46279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46279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46279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46279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46279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46279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12279-2026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46087</v>
      </c>
      <c r="E8" s="1" t="n">
        <v>46279</v>
      </c>
      <c r="F8" t="inlineStr">
        <is>
          <t>ÖSTERGÖTLANDS LÄN</t>
        </is>
      </c>
      <c r="G8" t="inlineStr">
        <is>
          <t>NORRKÖPING</t>
        </is>
      </c>
      <c r="H8" t="inlineStr">
        <is>
          <t>Allmännings- och besparingsskogar</t>
        </is>
      </c>
      <c r="I8" t="n">
        <v>6.9</v>
      </c>
      <c r="J8" t="n">
        <v>4</v>
      </c>
      <c r="K8" t="n">
        <v>4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13</v>
      </c>
      <c r="T8" t="n">
        <v>28</v>
      </c>
      <c r="U8" t="n">
        <v>28</v>
      </c>
      <c r="V8" s="2" t="inlineStr">
        <is>
          <t>Knärot
Dropptaggsvamp
Grönhjon
Orange taggsvamp
Reliktbock
Tallticka
Talltita
Granbarkgnagare
Grovticka
Mindre märgborre
Stubbspretmossa
Spillkråka
Lopplummer (aggregat)</t>
        </is>
      </c>
      <c r="W8">
        <f>HYPERLINK("https://klasma.github.io/Logging_0581/artfynd/A 12279-2026 artfynd.xlsx", "A 12279-2026")</f>
        <v/>
      </c>
      <c r="X8">
        <f>HYPERLINK("https://klasma.github.io/Logging_0581/kartor/A 12279-2026 karta.png", "A 12279-2026")</f>
        <v/>
      </c>
      <c r="Y8">
        <f>HYPERLINK("https://klasma.github.io/Logging_0581/kartor_geotiff/A 12279-2026 georefererad karta.tif", "A 12279-2026")</f>
        <v/>
      </c>
      <c r="Z8">
        <f>HYPERLINK("https://klasma.github.io/Logging_0581/knärot/A 12279-2026 karta knärot.png", "A 12279-2026")</f>
        <v/>
      </c>
      <c r="AA8">
        <f>HYPERLINK("https://klasma.github.io/Logging_0581/klagomål/A 12279-2026 FSC-klagomål.docx", "A 12279-2026")</f>
        <v/>
      </c>
      <c r="AB8">
        <f>HYPERLINK("https://klasma.github.io/Logging_0581/klagomålsmail/A 12279-2026 FSC-klagomål mail.docx", "A 12279-2026")</f>
        <v/>
      </c>
      <c r="AC8">
        <f>HYPERLINK("https://klasma.github.io/Logging_0581/tillsyn/A 12279-2026 tillsynsbegäran.docx", "A 12279-2026")</f>
        <v/>
      </c>
      <c r="AD8">
        <f>HYPERLINK("https://klasma.github.io/Logging_0581/tillsynsmail/A 12279-2026 tillsynsbegäran mail.docx", "A 12279-2026")</f>
        <v/>
      </c>
      <c r="AE8">
        <f>HYPERLINK("https://klasma.github.io/Logging_0581/fåglar/A 12279-2026 prioriterade fågelarter.docx", "A 12279-2026")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46279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46279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46279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46279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46279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46279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46279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46279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46279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46279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46279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11</v>
      </c>
      <c r="U19" t="n">
        <v>11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26385-2023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45086</v>
      </c>
      <c r="E20" s="1" t="n">
        <v>46279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Allmännings- och besparingsskogar</t>
        </is>
      </c>
      <c r="I20" t="n">
        <v>9</v>
      </c>
      <c r="J20" t="n">
        <v>1</v>
      </c>
      <c r="K20" t="n">
        <v>3</v>
      </c>
      <c r="L20" t="n">
        <v>4</v>
      </c>
      <c r="M20" t="n">
        <v>1</v>
      </c>
      <c r="N20" t="n">
        <v>1</v>
      </c>
      <c r="O20" t="n">
        <v>0</v>
      </c>
      <c r="P20" t="n">
        <v>0</v>
      </c>
      <c r="Q20" t="n">
        <v>6</v>
      </c>
      <c r="R20" t="n">
        <v>2</v>
      </c>
      <c r="S20" t="n">
        <v>9</v>
      </c>
      <c r="T20" t="n">
        <v>13</v>
      </c>
      <c r="U20" t="n">
        <v>0</v>
      </c>
      <c r="V20" s="2" t="inlineStr">
        <is>
          <t>Granlundlav
Hasselsnok
Lunglav
Rosa skärelav
Tallticka
Vedskivlav
Fällmossa
Grovticka
Klippfrullania</t>
        </is>
      </c>
      <c r="W20">
        <f>HYPERLINK("https://klasma.github.io/Logging_0581/artfynd/A 26385-2023 artfynd.xlsx", "A 26385-2023")</f>
        <v/>
      </c>
      <c r="X20">
        <f>HYPERLINK("https://klasma.github.io/Logging_0581/kartor/A 26385-2023 karta.png", "A 26385-2023")</f>
        <v/>
      </c>
      <c r="Y20">
        <f>HYPERLINK("https://klasma.github.io/Logging_0581/kartor_geotiff/A 26385-2023 georefererad karta.tif", "A 26385-2023")</f>
        <v/>
      </c>
      <c r="AA20">
        <f>HYPERLINK("https://klasma.github.io/Logging_0581/klagomål/A 26385-2023 FSC-klagomål.docx", "A 26385-2023")</f>
        <v/>
      </c>
      <c r="AB20">
        <f>HYPERLINK("https://klasma.github.io/Logging_0581/klagomålsmail/A 26385-2023 FSC-klagomål mail.docx", "A 26385-2023")</f>
        <v/>
      </c>
      <c r="AC20">
        <f>HYPERLINK("https://klasma.github.io/Logging_0581/tillsyn/A 26385-2023 tillsynsbegäran.docx", "A 26385-2023")</f>
        <v/>
      </c>
      <c r="AD20">
        <f>HYPERLINK("https://klasma.github.io/Logging_0581/tillsynsmail/A 26385-2023 tillsynsbegäran mail.docx", "A 26385-2023")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46279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46279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11693-2026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46084</v>
      </c>
      <c r="E23" s="1" t="n">
        <v>46279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4</v>
      </c>
      <c r="J23" t="n">
        <v>2</v>
      </c>
      <c r="K23" t="n">
        <v>5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8</v>
      </c>
      <c r="T23" t="n">
        <v>17</v>
      </c>
      <c r="U23" t="n">
        <v>17</v>
      </c>
      <c r="V23" s="2" t="inlineStr">
        <is>
          <t>Knärot
Orange taggsvamp
Blåmossa
Granbarkgnagare
Grovticka
Grönpyrola
Stubbspretmossa
Spillkråka</t>
        </is>
      </c>
      <c r="W23">
        <f>HYPERLINK("https://klasma.github.io/Logging_0581/artfynd/A 11693-2026 artfynd.xlsx", "A 11693-2026")</f>
        <v/>
      </c>
      <c r="X23">
        <f>HYPERLINK("https://klasma.github.io/Logging_0581/kartor/A 11693-2026 karta.png", "A 11693-2026")</f>
        <v/>
      </c>
      <c r="Y23">
        <f>HYPERLINK("https://klasma.github.io/Logging_0581/kartor_geotiff/A 11693-2026 georefererad karta.tif", "A 11693-2026")</f>
        <v/>
      </c>
      <c r="Z23">
        <f>HYPERLINK("https://klasma.github.io/Logging_0581/knärot/A 11693-2026 karta knärot.png", "A 11693-2026")</f>
        <v/>
      </c>
      <c r="AA23">
        <f>HYPERLINK("https://klasma.github.io/Logging_0581/klagomål/A 11693-2026 FSC-klagomål.docx", "A 11693-2026")</f>
        <v/>
      </c>
      <c r="AB23">
        <f>HYPERLINK("https://klasma.github.io/Logging_0581/klagomålsmail/A 11693-2026 FSC-klagomål mail.docx", "A 11693-2026")</f>
        <v/>
      </c>
      <c r="AC23">
        <f>HYPERLINK("https://klasma.github.io/Logging_0581/tillsyn/A 11693-2026 tillsynsbegäran.docx", "A 11693-2026")</f>
        <v/>
      </c>
      <c r="AD23">
        <f>HYPERLINK("https://klasma.github.io/Logging_0581/tillsynsmail/A 11693-2026 tillsynsbegäran mail.docx", "A 11693-2026")</f>
        <v/>
      </c>
      <c r="AE23">
        <f>HYPERLINK("https://klasma.github.io/Logging_0581/fåglar/A 11693-2026 prioriterade fågelarter.docx", "A 11693-2026")</f>
        <v/>
      </c>
    </row>
    <row r="24" ht="15" customHeight="1">
      <c r="A24" t="inlineStr">
        <is>
          <t>A 17463-2026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46120</v>
      </c>
      <c r="E24" s="1" t="n">
        <v>46279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4.1</v>
      </c>
      <c r="J24" t="n">
        <v>2</v>
      </c>
      <c r="K24" t="n">
        <v>4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8</v>
      </c>
      <c r="T24" t="n">
        <v>15</v>
      </c>
      <c r="U24" t="n">
        <v>10</v>
      </c>
      <c r="V24" s="2" t="inlineStr">
        <is>
          <t>Knärot
Skuggblåslav
Tallticka
Blåmossa
Granbarkgnagare
Grönpyrola
Klippfrullania
Spillkråka</t>
        </is>
      </c>
      <c r="W24">
        <f>HYPERLINK("https://klasma.github.io/Logging_0581/artfynd/A 17463-2026 artfynd.xlsx", "A 17463-2026")</f>
        <v/>
      </c>
      <c r="X24">
        <f>HYPERLINK("https://klasma.github.io/Logging_0581/kartor/A 17463-2026 karta.png", "A 17463-2026")</f>
        <v/>
      </c>
      <c r="Y24">
        <f>HYPERLINK("https://klasma.github.io/Logging_0581/kartor_geotiff/A 17463-2026 georefererad karta.tif", "A 17463-2026")</f>
        <v/>
      </c>
      <c r="Z24">
        <f>HYPERLINK("https://klasma.github.io/Logging_0581/knärot/A 17463-2026 karta knärot.png", "A 17463-2026")</f>
        <v/>
      </c>
      <c r="AA24">
        <f>HYPERLINK("https://klasma.github.io/Logging_0581/klagomål/A 17463-2026 FSC-klagomål.docx", "A 17463-2026")</f>
        <v/>
      </c>
      <c r="AB24">
        <f>HYPERLINK("https://klasma.github.io/Logging_0581/klagomålsmail/A 17463-2026 FSC-klagomål mail.docx", "A 17463-2026")</f>
        <v/>
      </c>
      <c r="AC24">
        <f>HYPERLINK("https://klasma.github.io/Logging_0581/tillsyn/A 17463-2026 tillsynsbegäran.docx", "A 17463-2026")</f>
        <v/>
      </c>
      <c r="AD24">
        <f>HYPERLINK("https://klasma.github.io/Logging_0581/tillsynsmail/A 17463-2026 tillsynsbegäran mail.docx", "A 17463-2026")</f>
        <v/>
      </c>
      <c r="AE24">
        <f>HYPERLINK("https://klasma.github.io/Logging_0581/fåglar/A 17463-2026 prioriterade fågelarter.docx", "A 17463-2026")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46279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46279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46279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46279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46279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46279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46279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46279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46279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Gammelekslav
Gul dropplav
Skuggorangelav
Tallticka
Brun nållav</t>
        </is>
      </c>
      <c r="W34">
        <f>HYPERLINK("https://klasma.github.io/Logging_0581/artfynd/A 4820-2026 artfynd.xlsx", "A 4820-2026")</f>
        <v/>
      </c>
      <c r="X34">
        <f>HYPERLINK("https://klasma.github.io/Logging_0581/kartor/A 4820-2026 karta.png", "A 4820-2026")</f>
        <v/>
      </c>
      <c r="Y34">
        <f>HYPERLINK("https://klasma.github.io/Logging_0581/kartor_geotiff/A 4820-2026 georefererad karta.tif", "A 4820-2026")</f>
        <v/>
      </c>
      <c r="AA34">
        <f>HYPERLINK("https://klasma.github.io/Logging_0581/klagomål/A 4820-2026 FSC-klagomål.docx", "A 4820-2026")</f>
        <v/>
      </c>
      <c r="AB34">
        <f>HYPERLINK("https://klasma.github.io/Logging_0581/klagomålsmail/A 4820-2026 FSC-klagomål mail.docx", "A 4820-2026")</f>
        <v/>
      </c>
      <c r="AC34">
        <f>HYPERLINK("https://klasma.github.io/Logging_0581/tillsyn/A 4820-2026 tillsynsbegäran.docx", "A 4820-2026")</f>
        <v/>
      </c>
      <c r="AD34">
        <f>HYPERLINK("https://klasma.github.io/Logging_0581/tillsynsmail/A 4820-2026 tillsynsbegäran mail.docx", "A 4820-2026")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46279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46279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19113-2023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45048</v>
      </c>
      <c r="E37" s="1" t="n">
        <v>46279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2.6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6</v>
      </c>
      <c r="U37" t="n">
        <v>3</v>
      </c>
      <c r="V37" s="2" t="inlineStr">
        <is>
          <t>Tofsmes
Fläcknycklar
Grönvit nattviol
Revlummer
Äkta lopplummer</t>
        </is>
      </c>
      <c r="W37">
        <f>HYPERLINK("https://klasma.github.io/Logging_0581/artfynd/A 19113-2023 artfynd.xlsx", "A 19113-2023")</f>
        <v/>
      </c>
      <c r="X37">
        <f>HYPERLINK("https://klasma.github.io/Logging_0581/kartor/A 19113-2023 karta.png", "A 19113-2023")</f>
        <v/>
      </c>
      <c r="Y37">
        <f>HYPERLINK("https://klasma.github.io/Logging_0581/kartor_geotiff/A 19113-2023 georefererad karta.tif", "A 19113-2023")</f>
        <v/>
      </c>
      <c r="AA37">
        <f>HYPERLINK("https://klasma.github.io/Logging_0581/klagomål/A 19113-2023 FSC-klagomål.docx", "A 19113-2023")</f>
        <v/>
      </c>
      <c r="AB37">
        <f>HYPERLINK("https://klasma.github.io/Logging_0581/klagomålsmail/A 19113-2023 FSC-klagomål mail.docx", "A 19113-2023")</f>
        <v/>
      </c>
      <c r="AC37">
        <f>HYPERLINK("https://klasma.github.io/Logging_0581/tillsyn/A 19113-2023 tillsynsbegäran.docx", "A 19113-2023")</f>
        <v/>
      </c>
      <c r="AD37">
        <f>HYPERLINK("https://klasma.github.io/Logging_0581/tillsynsmail/A 19113-2023 tillsynsbegäran mail.docx", "A 19113-2023")</f>
        <v/>
      </c>
    </row>
    <row r="38" ht="15" customHeight="1">
      <c r="A38" t="inlineStr">
        <is>
          <t>A 21536-2025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46279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HYPERLINK("https://klasma.github.io/Logging_0581/artfynd/A 21536-2025 artfynd.xlsx", "A 21536-2025")</f>
        <v/>
      </c>
      <c r="X38">
        <f>HYPERLINK("https://klasma.github.io/Logging_0581/kartor/A 21536-2025 karta.png", "A 21536-2025")</f>
        <v/>
      </c>
      <c r="Y38">
        <f>HYPERLINK("https://klasma.github.io/Logging_0581/kartor_geotiff/A 21536-2025 georefererad karta.tif", "A 21536-2025")</f>
        <v/>
      </c>
      <c r="AA38">
        <f>HYPERLINK("https://klasma.github.io/Logging_0581/klagomål/A 21536-2025 FSC-klagomål.docx", "A 21536-2025")</f>
        <v/>
      </c>
      <c r="AB38">
        <f>HYPERLINK("https://klasma.github.io/Logging_0581/klagomålsmail/A 21536-2025 FSC-klagomål mail.docx", "A 21536-2025")</f>
        <v/>
      </c>
      <c r="AC38">
        <f>HYPERLINK("https://klasma.github.io/Logging_0581/tillsyn/A 21536-2025 tillsynsbegäran.docx", "A 21536-2025")</f>
        <v/>
      </c>
      <c r="AD38">
        <f>HYPERLINK("https://klasma.github.io/Logging_0581/tillsynsmail/A 21536-2025 tillsynsbegäran mail.docx", "A 21536-2025")</f>
        <v/>
      </c>
    </row>
    <row r="39" ht="15" customHeight="1">
      <c r="A39" t="inlineStr">
        <is>
          <t>S 1484-2025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45789</v>
      </c>
      <c r="E39" s="1" t="n">
        <v>46279</v>
      </c>
      <c r="F39" t="inlineStr">
        <is>
          <t>ÖSTERGÖTLANDS LÄN</t>
        </is>
      </c>
      <c r="G39" t="inlineStr">
        <is>
          <t>NORRKÖPING</t>
        </is>
      </c>
      <c r="I39" t="n">
        <v>6.2</v>
      </c>
      <c r="J39" t="n">
        <v>1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Reliktbock
Tjockfotad fingersvamp
Grovticka
Grön sköldmossa
Stubbspretmossa</t>
        </is>
      </c>
      <c r="W39">
        <f>HYPERLINK("https://klasma.github.io/Logging_0581/artfynd/S 1484-2025 artfynd.xlsx", "S 1484-2025")</f>
        <v/>
      </c>
      <c r="X39">
        <f>HYPERLINK("https://klasma.github.io/Logging_0581/kartor/S 1484-2025 karta.png", "S 1484-2025")</f>
        <v/>
      </c>
      <c r="Y39">
        <f>HYPERLINK("https://klasma.github.io/Logging_0581/kartor_geotiff/S 1484-2025 georefererad karta.tif", "S 1484-2025")</f>
        <v/>
      </c>
      <c r="AA39">
        <f>HYPERLINK("https://klasma.github.io/Logging_0581/klagomål/S 1484-2025 FSC-klagomål.docx", "S 1484-2025")</f>
        <v/>
      </c>
      <c r="AB39">
        <f>HYPERLINK("https://klasma.github.io/Logging_0581/klagomålsmail/S 1484-2025 FSC-klagomål mail.docx", "S 1484-2025")</f>
        <v/>
      </c>
      <c r="AC39">
        <f>HYPERLINK("https://klasma.github.io/Logging_0581/tillsyn/S 1484-2025 tillsynsbegäran.docx", "S 1484-2025")</f>
        <v/>
      </c>
      <c r="AD39">
        <f>HYPERLINK("https://klasma.github.io/Logging_0581/tillsynsmail/S 1484-2025 tillsynsbegäran mail.docx", "S 1484-2025")</f>
        <v/>
      </c>
    </row>
    <row r="40" ht="15" customHeight="1">
      <c r="A40" t="inlineStr">
        <is>
          <t>A 11741-2024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46279</v>
      </c>
      <c r="F40" t="inlineStr">
        <is>
          <t>ÖSTERGÖTLANDS LÄN</t>
        </is>
      </c>
      <c r="G40" t="inlineStr">
        <is>
          <t>NORRKÖPING</t>
        </is>
      </c>
      <c r="I40" t="n">
        <v>1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Aspfjädermossa
Ullticka
Vedtrappmossa
Grön sköldmossa</t>
        </is>
      </c>
      <c r="W40">
        <f>HYPERLINK("https://klasma.github.io/Logging_0581/artfynd/A 11741-2024 artfynd.xlsx", "A 11741-2024")</f>
        <v/>
      </c>
      <c r="X40">
        <f>HYPERLINK("https://klasma.github.io/Logging_0581/kartor/A 11741-2024 karta.png", "A 11741-2024")</f>
        <v/>
      </c>
      <c r="Y40">
        <f>HYPERLINK("https://klasma.github.io/Logging_0581/kartor_geotiff/A 11741-2024 georefererad karta.tif", "A 11741-2024")</f>
        <v/>
      </c>
      <c r="AA40">
        <f>HYPERLINK("https://klasma.github.io/Logging_0581/klagomål/A 11741-2024 FSC-klagomål.docx", "A 11741-2024")</f>
        <v/>
      </c>
      <c r="AB40">
        <f>HYPERLINK("https://klasma.github.io/Logging_0581/klagomålsmail/A 11741-2024 FSC-klagomål mail.docx", "A 11741-2024")</f>
        <v/>
      </c>
      <c r="AC40">
        <f>HYPERLINK("https://klasma.github.io/Logging_0581/tillsyn/A 11741-2024 tillsynsbegäran.docx", "A 11741-2024")</f>
        <v/>
      </c>
      <c r="AD40">
        <f>HYPERLINK("https://klasma.github.io/Logging_0581/tillsynsmail/A 11741-2024 tillsynsbegäran mail.docx", "A 11741-2024")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46279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18267-2024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45421</v>
      </c>
      <c r="E42" s="1" t="n">
        <v>46279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1.4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Mörk kolflarnlav
Gullgröppa
Tjäder
Fläcknycklar</t>
        </is>
      </c>
      <c r="W42">
        <f>HYPERLINK("https://klasma.github.io/Logging_0581/artfynd/A 18267-2024 artfynd.xlsx", "A 18267-2024")</f>
        <v/>
      </c>
      <c r="X42">
        <f>HYPERLINK("https://klasma.github.io/Logging_0581/kartor/A 18267-2024 karta.png", "A 18267-2024")</f>
        <v/>
      </c>
      <c r="Y42">
        <f>HYPERLINK("https://klasma.github.io/Logging_0581/kartor_geotiff/A 18267-2024 georefererad karta.tif", "A 18267-2024")</f>
        <v/>
      </c>
      <c r="AA42">
        <f>HYPERLINK("https://klasma.github.io/Logging_0581/klagomål/A 18267-2024 FSC-klagomål.docx", "A 18267-2024")</f>
        <v/>
      </c>
      <c r="AB42">
        <f>HYPERLINK("https://klasma.github.io/Logging_0581/klagomålsmail/A 18267-2024 FSC-klagomål mail.docx", "A 18267-2024")</f>
        <v/>
      </c>
      <c r="AC42">
        <f>HYPERLINK("https://klasma.github.io/Logging_0581/tillsyn/A 18267-2024 tillsynsbegäran.docx", "A 18267-2024")</f>
        <v/>
      </c>
      <c r="AD42">
        <f>HYPERLINK("https://klasma.github.io/Logging_0581/tillsynsmail/A 18267-2024 tillsynsbegäran mail.docx", "A 18267-2024")</f>
        <v/>
      </c>
      <c r="AE42">
        <f>HYPERLINK("https://klasma.github.io/Logging_0581/fåglar/A 18267-2024 prioriterade fågelarter.docx", "A 18267-2024")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46279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46279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46279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t="n">
        <v>3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46279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18922-2025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46279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3</v>
      </c>
      <c r="J47" t="n">
        <v>0</v>
      </c>
      <c r="K47" t="n">
        <v>1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0</v>
      </c>
      <c r="V47" s="2" t="inlineStr">
        <is>
          <t>Kattfotslav
Rynkskinn
Ullticka
Vedticka</t>
        </is>
      </c>
      <c r="W47">
        <f>HYPERLINK("https://klasma.github.io/Logging_0581/artfynd/A 18922-2025 artfynd.xlsx", "A 18922-2025")</f>
        <v/>
      </c>
      <c r="X47">
        <f>HYPERLINK("https://klasma.github.io/Logging_0581/kartor/A 18922-2025 karta.png", "A 18922-2025")</f>
        <v/>
      </c>
      <c r="Y47">
        <f>HYPERLINK("https://klasma.github.io/Logging_0581/kartor_geotiff/A 18922-2025 georefererad karta.tif", "A 18922-2025")</f>
        <v/>
      </c>
      <c r="AA47">
        <f>HYPERLINK("https://klasma.github.io/Logging_0581/klagomål/A 18922-2025 FSC-klagomål.docx", "A 18922-2025")</f>
        <v/>
      </c>
      <c r="AB47">
        <f>HYPERLINK("https://klasma.github.io/Logging_0581/klagomålsmail/A 18922-2025 FSC-klagomål mail.docx", "A 18922-2025")</f>
        <v/>
      </c>
      <c r="AC47">
        <f>HYPERLINK("https://klasma.github.io/Logging_0581/tillsyn/A 18922-2025 tillsynsbegäran.docx", "A 18922-2025")</f>
        <v/>
      </c>
      <c r="AD47">
        <f>HYPERLINK("https://klasma.github.io/Logging_0581/tillsynsmail/A 18922-2025 tillsynsbegäran mail.docx", "A 18922-2025")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46279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46279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46279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46279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46279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46279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46279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46279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46279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11757-2025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46279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10.2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Dropptaggsvamp
Blomkålssvamp
Kornknutmossa</t>
        </is>
      </c>
      <c r="W57">
        <f>HYPERLINK("https://klasma.github.io/Logging_0581/artfynd/A 11757-2025 artfynd.xlsx", "A 11757-2025")</f>
        <v/>
      </c>
      <c r="X57">
        <f>HYPERLINK("https://klasma.github.io/Logging_0581/kartor/A 11757-2025 karta.png", "A 11757-2025")</f>
        <v/>
      </c>
      <c r="Y57">
        <f>HYPERLINK("https://klasma.github.io/Logging_0581/kartor_geotiff/A 11757-2025 georefererad karta.tif", "A 11757-2025")</f>
        <v/>
      </c>
      <c r="AA57">
        <f>HYPERLINK("https://klasma.github.io/Logging_0581/klagomål/A 11757-2025 FSC-klagomål.docx", "A 11757-2025")</f>
        <v/>
      </c>
      <c r="AB57">
        <f>HYPERLINK("https://klasma.github.io/Logging_0581/klagomålsmail/A 11757-2025 FSC-klagomål mail.docx", "A 11757-2025")</f>
        <v/>
      </c>
      <c r="AC57">
        <f>HYPERLINK("https://klasma.github.io/Logging_0581/tillsyn/A 11757-2025 tillsynsbegäran.docx", "A 11757-2025")</f>
        <v/>
      </c>
      <c r="AD57">
        <f>HYPERLINK("https://klasma.github.io/Logging_0581/tillsynsmail/A 11757-2025 tillsynsbegäran mail.docx", "A 11757-2025")</f>
        <v/>
      </c>
    </row>
    <row r="58" ht="15" customHeight="1">
      <c r="A58" t="inlineStr">
        <is>
          <t>A 12692-2025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46279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6.1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2</v>
      </c>
      <c r="V58" s="2" t="inlineStr">
        <is>
          <t>Dvärgbägarlav
Vedskivlav
Mattlummer</t>
        </is>
      </c>
      <c r="W58">
        <f>HYPERLINK("https://klasma.github.io/Logging_0581/artfynd/A 12692-2025 artfynd.xlsx", "A 12692-2025")</f>
        <v/>
      </c>
      <c r="X58">
        <f>HYPERLINK("https://klasma.github.io/Logging_0581/kartor/A 12692-2025 karta.png", "A 12692-2025")</f>
        <v/>
      </c>
      <c r="Y58">
        <f>HYPERLINK("https://klasma.github.io/Logging_0581/kartor_geotiff/A 12692-2025 georefererad karta.tif", "A 12692-2025")</f>
        <v/>
      </c>
      <c r="AA58">
        <f>HYPERLINK("https://klasma.github.io/Logging_0581/klagomål/A 12692-2025 FSC-klagomål.docx", "A 12692-2025")</f>
        <v/>
      </c>
      <c r="AB58">
        <f>HYPERLINK("https://klasma.github.io/Logging_0581/klagomålsmail/A 12692-2025 FSC-klagomål mail.docx", "A 12692-2025")</f>
        <v/>
      </c>
      <c r="AC58">
        <f>HYPERLINK("https://klasma.github.io/Logging_0581/tillsyn/A 12692-2025 tillsynsbegäran.docx", "A 12692-2025")</f>
        <v/>
      </c>
      <c r="AD58">
        <f>HYPERLINK("https://klasma.github.io/Logging_0581/tillsynsmail/A 12692-2025 tillsynsbegäran mail.docx", "A 12692-2025")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46279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Silltrut
Vinterhämpling
Sångsvan</t>
        </is>
      </c>
      <c r="W59">
        <f>HYPERLINK("https://klasma.github.io/Logging_0581/artfynd/A 7316-2025 artfynd.xlsx", "A 7316-2025")</f>
        <v/>
      </c>
      <c r="X59">
        <f>HYPERLINK("https://klasma.github.io/Logging_0581/kartor/A 7316-2025 karta.png", "A 7316-2025")</f>
        <v/>
      </c>
      <c r="Y59">
        <f>HYPERLINK("https://klasma.github.io/Logging_0581/kartor_geotiff/A 7316-2025 georefererad karta.tif", "A 7316-2025")</f>
        <v/>
      </c>
      <c r="AA59">
        <f>HYPERLINK("https://klasma.github.io/Logging_0581/klagomål/A 7316-2025 FSC-klagomål.docx", "A 7316-2025")</f>
        <v/>
      </c>
      <c r="AB59">
        <f>HYPERLINK("https://klasma.github.io/Logging_0581/klagomålsmail/A 7316-2025 FSC-klagomål mail.docx", "A 7316-2025")</f>
        <v/>
      </c>
      <c r="AC59">
        <f>HYPERLINK("https://klasma.github.io/Logging_0581/tillsyn/A 7316-2025 tillsynsbegäran.docx", "A 7316-2025")</f>
        <v/>
      </c>
      <c r="AD59">
        <f>HYPERLINK("https://klasma.github.io/Logging_0581/tillsynsmail/A 7316-2025 tillsynsbegäran mail.docx", "A 7316-2025")</f>
        <v/>
      </c>
      <c r="AE59">
        <f>HYPERLINK("https://klasma.github.io/Logging_0581/fåglar/A 7316-2025 prioriterade fågelarter.docx", "A 7316-2025")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46279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46279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19806-2026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46135</v>
      </c>
      <c r="E62" s="1" t="n">
        <v>46279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7.7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Ullticka
Blåmossa
Kungsfågel</t>
        </is>
      </c>
      <c r="W62">
        <f>HYPERLINK("https://klasma.github.io/Logging_0581/artfynd/A 19806-2026 artfynd.xlsx", "A 19806-2026")</f>
        <v/>
      </c>
      <c r="X62">
        <f>HYPERLINK("https://klasma.github.io/Logging_0581/kartor/A 19806-2026 karta.png", "A 19806-2026")</f>
        <v/>
      </c>
      <c r="Y62">
        <f>HYPERLINK("https://klasma.github.io/Logging_0581/kartor_geotiff/A 19806-2026 georefererad karta.tif", "A 19806-2026")</f>
        <v/>
      </c>
      <c r="AA62">
        <f>HYPERLINK("https://klasma.github.io/Logging_0581/klagomål/A 19806-2026 FSC-klagomål.docx", "A 19806-2026")</f>
        <v/>
      </c>
      <c r="AB62">
        <f>HYPERLINK("https://klasma.github.io/Logging_0581/klagomålsmail/A 19806-2026 FSC-klagomål mail.docx", "A 19806-2026")</f>
        <v/>
      </c>
      <c r="AC62">
        <f>HYPERLINK("https://klasma.github.io/Logging_0581/tillsyn/A 19806-2026 tillsynsbegäran.docx", "A 19806-2026")</f>
        <v/>
      </c>
      <c r="AD62">
        <f>HYPERLINK("https://klasma.github.io/Logging_0581/tillsynsmail/A 19806-2026 tillsynsbegäran mail.docx", "A 19806-2026")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46279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46279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46279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3</v>
      </c>
      <c r="V65" s="2" t="inlineStr">
        <is>
          <t>Dropptaggsvamp
Dvärgbägarlav
Bronshjon</t>
        </is>
      </c>
      <c r="W65">
        <f>HYPERLINK("https://klasma.github.io/Logging_0581/artfynd/A 2484-2026 artfynd.xlsx", "A 2484-2026")</f>
        <v/>
      </c>
      <c r="X65">
        <f>HYPERLINK("https://klasma.github.io/Logging_0581/kartor/A 2484-2026 karta.png", "A 2484-2026")</f>
        <v/>
      </c>
      <c r="Y65">
        <f>HYPERLINK("https://klasma.github.io/Logging_0581/kartor_geotiff/A 2484-2026 georefererad karta.tif", "A 2484-2026")</f>
        <v/>
      </c>
      <c r="AA65">
        <f>HYPERLINK("https://klasma.github.io/Logging_0581/klagomål/A 2484-2026 FSC-klagomål.docx", "A 2484-2026")</f>
        <v/>
      </c>
      <c r="AB65">
        <f>HYPERLINK("https://klasma.github.io/Logging_0581/klagomålsmail/A 2484-2026 FSC-klagomål mail.docx", "A 2484-2026")</f>
        <v/>
      </c>
      <c r="AC65">
        <f>HYPERLINK("https://klasma.github.io/Logging_0581/tillsyn/A 2484-2026 tillsynsbegäran.docx", "A 2484-2026")</f>
        <v/>
      </c>
      <c r="AD65">
        <f>HYPERLINK("https://klasma.github.io/Logging_0581/tillsynsmail/A 2484-2026 tillsynsbegäran mail.docx", "A 2484-2026")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46279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46279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46279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46279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31373-2026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46213</v>
      </c>
      <c r="E70" s="1" t="n">
        <v>46279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6.1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Blåmossa
Spillkråka
Revlummer</t>
        </is>
      </c>
      <c r="W70">
        <f>HYPERLINK("https://klasma.github.io/Logging_0581/artfynd/A 31373-2026 artfynd.xlsx", "A 31373-2026")</f>
        <v/>
      </c>
      <c r="X70">
        <f>HYPERLINK("https://klasma.github.io/Logging_0581/kartor/A 31373-2026 karta.png", "A 31373-2026")</f>
        <v/>
      </c>
      <c r="Y70">
        <f>HYPERLINK("https://klasma.github.io/Logging_0581/kartor_geotiff/A 31373-2026 georefererad karta.tif", "A 31373-2026")</f>
        <v/>
      </c>
      <c r="AA70">
        <f>HYPERLINK("https://klasma.github.io/Logging_0581/klagomål/A 31373-2026 FSC-klagomål.docx", "A 31373-2026")</f>
        <v/>
      </c>
      <c r="AB70">
        <f>HYPERLINK("https://klasma.github.io/Logging_0581/klagomålsmail/A 31373-2026 FSC-klagomål mail.docx", "A 31373-2026")</f>
        <v/>
      </c>
      <c r="AC70">
        <f>HYPERLINK("https://klasma.github.io/Logging_0581/tillsyn/A 31373-2026 tillsynsbegäran.docx", "A 31373-2026")</f>
        <v/>
      </c>
      <c r="AD70">
        <f>HYPERLINK("https://klasma.github.io/Logging_0581/tillsynsmail/A 31373-2026 tillsynsbegäran mail.docx", "A 31373-2026")</f>
        <v/>
      </c>
      <c r="AE70">
        <f>HYPERLINK("https://klasma.github.io/Logging_0581/fåglar/A 31373-2026 prioriterade fågelarter.docx", "A 31373-2026")</f>
        <v/>
      </c>
    </row>
    <row r="71" ht="15" customHeight="1">
      <c r="A71" t="inlineStr">
        <is>
          <t>A 30829-2026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46212</v>
      </c>
      <c r="E71" s="1" t="n">
        <v>46279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5</v>
      </c>
      <c r="U71" t="n">
        <v>3</v>
      </c>
      <c r="V71" s="2" t="inlineStr">
        <is>
          <t>Björksplintborre
Kornknutmossa
Stor aspticka</t>
        </is>
      </c>
      <c r="W71">
        <f>HYPERLINK("https://klasma.github.io/Logging_0581/artfynd/A 30829-2026 artfynd.xlsx", "A 30829-2026")</f>
        <v/>
      </c>
      <c r="X71">
        <f>HYPERLINK("https://klasma.github.io/Logging_0581/kartor/A 30829-2026 karta.png", "A 30829-2026")</f>
        <v/>
      </c>
      <c r="Y71">
        <f>HYPERLINK("https://klasma.github.io/Logging_0581/kartor_geotiff/A 30829-2026 georefererad karta.tif", "A 30829-2026")</f>
        <v/>
      </c>
      <c r="AA71">
        <f>HYPERLINK("https://klasma.github.io/Logging_0581/klagomål/A 30829-2026 FSC-klagomål.docx", "A 30829-2026")</f>
        <v/>
      </c>
      <c r="AB71">
        <f>HYPERLINK("https://klasma.github.io/Logging_0581/klagomålsmail/A 30829-2026 FSC-klagomål mail.docx", "A 30829-2026")</f>
        <v/>
      </c>
      <c r="AC71">
        <f>HYPERLINK("https://klasma.github.io/Logging_0581/tillsyn/A 30829-2026 tillsynsbegäran.docx", "A 30829-2026")</f>
        <v/>
      </c>
      <c r="AD71">
        <f>HYPERLINK("https://klasma.github.io/Logging_0581/tillsynsmail/A 30829-2026 tillsynsbegäran mail.docx", "A 30829-2026")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46279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23969-2025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45796</v>
      </c>
      <c r="E73" s="1" t="n">
        <v>46279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</v>
      </c>
      <c r="J73" t="n">
        <v>1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Crepis tectorum subsp. tectorum
Grönsångare
Tallticka</t>
        </is>
      </c>
      <c r="W73">
        <f>HYPERLINK("https://klasma.github.io/Logging_0581/artfynd/A 23969-2025 artfynd.xlsx", "A 23969-2025")</f>
        <v/>
      </c>
      <c r="X73">
        <f>HYPERLINK("https://klasma.github.io/Logging_0581/kartor/A 23969-2025 karta.png", "A 23969-2025")</f>
        <v/>
      </c>
      <c r="Y73">
        <f>HYPERLINK("https://klasma.github.io/Logging_0581/kartor_geotiff/A 23969-2025 georefererad karta.tif", "A 23969-2025")</f>
        <v/>
      </c>
      <c r="AA73">
        <f>HYPERLINK("https://klasma.github.io/Logging_0581/klagomål/A 23969-2025 FSC-klagomål.docx", "A 23969-2025")</f>
        <v/>
      </c>
      <c r="AB73">
        <f>HYPERLINK("https://klasma.github.io/Logging_0581/klagomålsmail/A 23969-2025 FSC-klagomål mail.docx", "A 23969-2025")</f>
        <v/>
      </c>
      <c r="AC73">
        <f>HYPERLINK("https://klasma.github.io/Logging_0581/tillsyn/A 23969-2025 tillsynsbegäran.docx", "A 23969-2025")</f>
        <v/>
      </c>
      <c r="AD73">
        <f>HYPERLINK("https://klasma.github.io/Logging_0581/tillsynsmail/A 23969-2025 tillsynsbegäran mail.docx", "A 23969-2025")</f>
        <v/>
      </c>
      <c r="AE73">
        <f>HYPERLINK("https://klasma.github.io/Logging_0581/fåglar/A 23969-2025 prioriterade fågelarter.docx", "A 23969-2025")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46279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33659-2022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46279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3.4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Sotlav</t>
        </is>
      </c>
      <c r="W76">
        <f>HYPERLINK("https://klasma.github.io/Logging_0581/artfynd/A 33659-2022 artfynd.xlsx", "A 33659-2022")</f>
        <v/>
      </c>
      <c r="X76">
        <f>HYPERLINK("https://klasma.github.io/Logging_0581/kartor/A 33659-2022 karta.png", "A 33659-2022")</f>
        <v/>
      </c>
      <c r="Y76">
        <f>HYPERLINK("https://klasma.github.io/Logging_0581/kartor_geotiff/A 33659-2022 georefererad karta.tif", "A 33659-2022")</f>
        <v/>
      </c>
      <c r="AA76">
        <f>HYPERLINK("https://klasma.github.io/Logging_0581/klagomål/A 33659-2022 FSC-klagomål.docx", "A 33659-2022")</f>
        <v/>
      </c>
      <c r="AB76">
        <f>HYPERLINK("https://klasma.github.io/Logging_0581/klagomålsmail/A 33659-2022 FSC-klagomål mail.docx", "A 33659-2022")</f>
        <v/>
      </c>
      <c r="AC76">
        <f>HYPERLINK("https://klasma.github.io/Logging_0581/tillsyn/A 33659-2022 tillsynsbegäran.docx", "A 33659-2022")</f>
        <v/>
      </c>
      <c r="AD76">
        <f>HYPERLINK("https://klasma.github.io/Logging_0581/tillsynsmail/A 33659-2022 tillsynsbegäran mail.docx", "A 33659-2022")</f>
        <v/>
      </c>
    </row>
    <row r="77" ht="15" customHeight="1">
      <c r="A77" t="inlineStr">
        <is>
          <t>A 17248-2024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46279</v>
      </c>
      <c r="F77" t="inlineStr">
        <is>
          <t>ÖSTERGÖTLANDS LÄN</t>
        </is>
      </c>
      <c r="G77" t="inlineStr">
        <is>
          <t>NORRKÖPING</t>
        </is>
      </c>
      <c r="I77" t="n">
        <v>2.6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Tallticka
Vedticka</t>
        </is>
      </c>
      <c r="W77">
        <f>HYPERLINK("https://klasma.github.io/Logging_0581/artfynd/A 17248-2024 artfynd.xlsx", "A 17248-2024")</f>
        <v/>
      </c>
      <c r="X77">
        <f>HYPERLINK("https://klasma.github.io/Logging_0581/kartor/A 17248-2024 karta.png", "A 17248-2024")</f>
        <v/>
      </c>
      <c r="Y77">
        <f>HYPERLINK("https://klasma.github.io/Logging_0581/kartor_geotiff/A 17248-2024 georefererad karta.tif", "A 17248-2024")</f>
        <v/>
      </c>
      <c r="AA77">
        <f>HYPERLINK("https://klasma.github.io/Logging_0581/klagomål/A 17248-2024 FSC-klagomål.docx", "A 17248-2024")</f>
        <v/>
      </c>
      <c r="AB77">
        <f>HYPERLINK("https://klasma.github.io/Logging_0581/klagomålsmail/A 17248-2024 FSC-klagomål mail.docx", "A 17248-2024")</f>
        <v/>
      </c>
      <c r="AC77">
        <f>HYPERLINK("https://klasma.github.io/Logging_0581/tillsyn/A 17248-2024 tillsynsbegäran.docx", "A 17248-2024")</f>
        <v/>
      </c>
      <c r="AD77">
        <f>HYPERLINK("https://klasma.github.io/Logging_0581/tillsynsmail/A 17248-2024 tillsynsbegäran mail.docx", "A 17248-2024")</f>
        <v/>
      </c>
    </row>
    <row r="78" ht="15" customHeight="1">
      <c r="A78" t="inlineStr">
        <is>
          <t>A 5572-2024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46279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0.6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Grov baronmossa
Platt fjädermossa</t>
        </is>
      </c>
      <c r="W78">
        <f>HYPERLINK("https://klasma.github.io/Logging_0581/artfynd/A 5572-2024 artfynd.xlsx", "A 5572-2024")</f>
        <v/>
      </c>
      <c r="X78">
        <f>HYPERLINK("https://klasma.github.io/Logging_0581/kartor/A 5572-2024 karta.png", "A 5572-2024")</f>
        <v/>
      </c>
      <c r="Y78">
        <f>HYPERLINK("https://klasma.github.io/Logging_0581/kartor_geotiff/A 5572-2024 georefererad karta.tif", "A 5572-2024")</f>
        <v/>
      </c>
      <c r="AA78">
        <f>HYPERLINK("https://klasma.github.io/Logging_0581/klagomål/A 5572-2024 FSC-klagomål.docx", "A 5572-2024")</f>
        <v/>
      </c>
      <c r="AB78">
        <f>HYPERLINK("https://klasma.github.io/Logging_0581/klagomålsmail/A 5572-2024 FSC-klagomål mail.docx", "A 5572-2024")</f>
        <v/>
      </c>
      <c r="AC78">
        <f>HYPERLINK("https://klasma.github.io/Logging_0581/tillsyn/A 5572-2024 tillsynsbegäran.docx", "A 5572-2024")</f>
        <v/>
      </c>
      <c r="AD78">
        <f>HYPERLINK("https://klasma.github.io/Logging_0581/tillsynsmail/A 5572-2024 tillsynsbegäran mail.docx", "A 5572-2024")</f>
        <v/>
      </c>
    </row>
    <row r="79" ht="15" customHeight="1">
      <c r="A79" t="inlineStr">
        <is>
          <t>A 55022-2022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46279</v>
      </c>
      <c r="F79" t="inlineStr">
        <is>
          <t>ÖSTERGÖTLANDS LÄN</t>
        </is>
      </c>
      <c r="G79" t="inlineStr">
        <is>
          <t>NORRKÖPING</t>
        </is>
      </c>
      <c r="I79" t="n">
        <v>1.4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Tallfingersvamp
Purpurknipprot</t>
        </is>
      </c>
      <c r="W79">
        <f>HYPERLINK("https://klasma.github.io/Logging_0581/artfynd/A 55022-2022 artfynd.xlsx", "A 55022-2022")</f>
        <v/>
      </c>
      <c r="X79">
        <f>HYPERLINK("https://klasma.github.io/Logging_0581/kartor/A 55022-2022 karta.png", "A 55022-2022")</f>
        <v/>
      </c>
      <c r="Y79">
        <f>HYPERLINK("https://klasma.github.io/Logging_0581/kartor_geotiff/A 55022-2022 georefererad karta.tif", "A 55022-2022")</f>
        <v/>
      </c>
      <c r="AA79">
        <f>HYPERLINK("https://klasma.github.io/Logging_0581/klagomål/A 55022-2022 FSC-klagomål.docx", "A 55022-2022")</f>
        <v/>
      </c>
      <c r="AB79">
        <f>HYPERLINK("https://klasma.github.io/Logging_0581/klagomålsmail/A 55022-2022 FSC-klagomål mail.docx", "A 55022-2022")</f>
        <v/>
      </c>
      <c r="AC79">
        <f>HYPERLINK("https://klasma.github.io/Logging_0581/tillsyn/A 55022-2022 tillsynsbegäran.docx", "A 55022-2022")</f>
        <v/>
      </c>
      <c r="AD79">
        <f>HYPERLINK("https://klasma.github.io/Logging_0581/tillsynsmail/A 55022-2022 tillsynsbegäran mail.docx", "A 55022-2022")</f>
        <v/>
      </c>
    </row>
    <row r="80" ht="15" customHeight="1">
      <c r="A80" t="inlineStr">
        <is>
          <t>A 46955-2023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46279</v>
      </c>
      <c r="F80" t="inlineStr">
        <is>
          <t>ÖSTERGÖTLANDS LÄN</t>
        </is>
      </c>
      <c r="G80" t="inlineStr">
        <is>
          <t>NORRKÖPING</t>
        </is>
      </c>
      <c r="I80" t="n">
        <v>4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Sparvuggla</t>
        </is>
      </c>
      <c r="W80">
        <f>HYPERLINK("https://klasma.github.io/Logging_0581/artfynd/A 46955-2023 artfynd.xlsx", "A 46955-2023")</f>
        <v/>
      </c>
      <c r="X80">
        <f>HYPERLINK("https://klasma.github.io/Logging_0581/kartor/A 46955-2023 karta.png", "A 46955-2023")</f>
        <v/>
      </c>
      <c r="Y80">
        <f>HYPERLINK("https://klasma.github.io/Logging_0581/kartor_geotiff/A 46955-2023 georefererad karta.tif", "A 46955-2023")</f>
        <v/>
      </c>
      <c r="AA80">
        <f>HYPERLINK("https://klasma.github.io/Logging_0581/klagomål/A 46955-2023 FSC-klagomål.docx", "A 46955-2023")</f>
        <v/>
      </c>
      <c r="AB80">
        <f>HYPERLINK("https://klasma.github.io/Logging_0581/klagomålsmail/A 46955-2023 FSC-klagomål mail.docx", "A 46955-2023")</f>
        <v/>
      </c>
      <c r="AC80">
        <f>HYPERLINK("https://klasma.github.io/Logging_0581/tillsyn/A 46955-2023 tillsynsbegäran.docx", "A 46955-2023")</f>
        <v/>
      </c>
      <c r="AD80">
        <f>HYPERLINK("https://klasma.github.io/Logging_0581/tillsynsmail/A 46955-2023 tillsynsbegäran mail.docx", "A 46955-2023")</f>
        <v/>
      </c>
      <c r="AE80">
        <f>HYPERLINK("https://klasma.github.io/Logging_0581/fåglar/A 46955-2023 prioriterade fågelarter.docx", "A 46955-2023")</f>
        <v/>
      </c>
    </row>
    <row r="81" ht="15" customHeight="1">
      <c r="A81" t="inlineStr">
        <is>
          <t>A 14459-2024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46279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Talltita</t>
        </is>
      </c>
      <c r="W81">
        <f>HYPERLINK("https://klasma.github.io/Logging_0581/artfynd/A 14459-2024 artfynd.xlsx", "A 14459-2024")</f>
        <v/>
      </c>
      <c r="X81">
        <f>HYPERLINK("https://klasma.github.io/Logging_0581/kartor/A 14459-2024 karta.png", "A 14459-2024")</f>
        <v/>
      </c>
      <c r="Y81">
        <f>HYPERLINK("https://klasma.github.io/Logging_0581/kartor_geotiff/A 14459-2024 georefererad karta.tif", "A 14459-2024")</f>
        <v/>
      </c>
      <c r="AA81">
        <f>HYPERLINK("https://klasma.github.io/Logging_0581/klagomål/A 14459-2024 FSC-klagomål.docx", "A 14459-2024")</f>
        <v/>
      </c>
      <c r="AB81">
        <f>HYPERLINK("https://klasma.github.io/Logging_0581/klagomålsmail/A 14459-2024 FSC-klagomål mail.docx", "A 14459-2024")</f>
        <v/>
      </c>
      <c r="AC81">
        <f>HYPERLINK("https://klasma.github.io/Logging_0581/tillsyn/A 14459-2024 tillsynsbegäran.docx", "A 14459-2024")</f>
        <v/>
      </c>
      <c r="AD81">
        <f>HYPERLINK("https://klasma.github.io/Logging_0581/tillsynsmail/A 14459-2024 tillsynsbegäran mail.docx", "A 14459-2024")</f>
        <v/>
      </c>
      <c r="AE81">
        <f>HYPERLINK("https://klasma.github.io/Logging_0581/fåglar/A 14459-2024 prioriterade fågelarter.docx", "A 14459-2024")</f>
        <v/>
      </c>
    </row>
    <row r="82" ht="15" customHeight="1">
      <c r="A82" t="inlineStr">
        <is>
          <t>A 40315-2025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46279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8.699999999999999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Mattlummer
Revlummer</t>
        </is>
      </c>
      <c r="W82">
        <f>HYPERLINK("https://klasma.github.io/Logging_0581/artfynd/A 40315-2025 artfynd.xlsx", "A 40315-2025")</f>
        <v/>
      </c>
      <c r="X82">
        <f>HYPERLINK("https://klasma.github.io/Logging_0581/kartor/A 40315-2025 karta.png", "A 40315-2025")</f>
        <v/>
      </c>
      <c r="Y82">
        <f>HYPERLINK("https://klasma.github.io/Logging_0581/kartor_geotiff/A 40315-2025 georefererad karta.tif", "A 40315-2025")</f>
        <v/>
      </c>
      <c r="AA82">
        <f>HYPERLINK("https://klasma.github.io/Logging_0581/klagomål/A 40315-2025 FSC-klagomål.docx", "A 40315-2025")</f>
        <v/>
      </c>
      <c r="AB82">
        <f>HYPERLINK("https://klasma.github.io/Logging_0581/klagomålsmail/A 40315-2025 FSC-klagomål mail.docx", "A 40315-2025")</f>
        <v/>
      </c>
      <c r="AC82">
        <f>HYPERLINK("https://klasma.github.io/Logging_0581/tillsyn/A 40315-2025 tillsynsbegäran.docx", "A 40315-2025")</f>
        <v/>
      </c>
      <c r="AD82">
        <f>HYPERLINK("https://klasma.github.io/Logging_0581/tillsynsmail/A 40315-2025 tillsynsbegäran mail.docx", "A 40315-2025")</f>
        <v/>
      </c>
    </row>
    <row r="83" ht="15" customHeight="1">
      <c r="A83" t="inlineStr">
        <is>
          <t>A 49869-2021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46279</v>
      </c>
      <c r="F83" t="inlineStr">
        <is>
          <t>ÖSTERGÖTLANDS LÄN</t>
        </is>
      </c>
      <c r="G83" t="inlineStr">
        <is>
          <t>NORRKÖPING</t>
        </is>
      </c>
      <c r="I83" t="n">
        <v>2.2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Jungfrulin
Knippnejlika</t>
        </is>
      </c>
      <c r="W83">
        <f>HYPERLINK("https://klasma.github.io/Logging_0581/artfynd/A 49869-2021 artfynd.xlsx", "A 49869-2021")</f>
        <v/>
      </c>
      <c r="X83">
        <f>HYPERLINK("https://klasma.github.io/Logging_0581/kartor/A 49869-2021 karta.png", "A 49869-2021")</f>
        <v/>
      </c>
      <c r="Y83">
        <f>HYPERLINK("https://klasma.github.io/Logging_0581/kartor_geotiff/A 49869-2021 georefererad karta.tif", "A 49869-2021")</f>
        <v/>
      </c>
      <c r="AA83">
        <f>HYPERLINK("https://klasma.github.io/Logging_0581/klagomål/A 49869-2021 FSC-klagomål.docx", "A 49869-2021")</f>
        <v/>
      </c>
      <c r="AB83">
        <f>HYPERLINK("https://klasma.github.io/Logging_0581/klagomålsmail/A 49869-2021 FSC-klagomål mail.docx", "A 49869-2021")</f>
        <v/>
      </c>
      <c r="AC83">
        <f>HYPERLINK("https://klasma.github.io/Logging_0581/tillsyn/A 49869-2021 tillsynsbegäran.docx", "A 49869-2021")</f>
        <v/>
      </c>
      <c r="AD83">
        <f>HYPERLINK("https://klasma.github.io/Logging_0581/tillsynsmail/A 49869-2021 tillsynsbegäran mail.docx", "A 49869-2021")</f>
        <v/>
      </c>
    </row>
    <row r="84" ht="15" customHeight="1">
      <c r="A84" t="inlineStr">
        <is>
          <t>A 10769-2024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46279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2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Tjäder</t>
        </is>
      </c>
      <c r="W84">
        <f>HYPERLINK("https://klasma.github.io/Logging_0581/artfynd/A 10769-2024 artfynd.xlsx", "A 10769-2024")</f>
        <v/>
      </c>
      <c r="X84">
        <f>HYPERLINK("https://klasma.github.io/Logging_0581/kartor/A 10769-2024 karta.png", "A 10769-2024")</f>
        <v/>
      </c>
      <c r="Y84">
        <f>HYPERLINK("https://klasma.github.io/Logging_0581/kartor_geotiff/A 10769-2024 georefererad karta.tif", "A 10769-2024")</f>
        <v/>
      </c>
      <c r="AA84">
        <f>HYPERLINK("https://klasma.github.io/Logging_0581/klagomål/A 10769-2024 FSC-klagomål.docx", "A 10769-2024")</f>
        <v/>
      </c>
      <c r="AB84">
        <f>HYPERLINK("https://klasma.github.io/Logging_0581/klagomålsmail/A 10769-2024 FSC-klagomål mail.docx", "A 10769-2024")</f>
        <v/>
      </c>
      <c r="AC84">
        <f>HYPERLINK("https://klasma.github.io/Logging_0581/tillsyn/A 10769-2024 tillsynsbegäran.docx", "A 10769-2024")</f>
        <v/>
      </c>
      <c r="AD84">
        <f>HYPERLINK("https://klasma.github.io/Logging_0581/tillsynsmail/A 10769-2024 tillsynsbegäran mail.docx", "A 10769-2024")</f>
        <v/>
      </c>
      <c r="AE84">
        <f>HYPERLINK("https://klasma.github.io/Logging_0581/fåglar/A 10769-2024 prioriterade fågelarter.docx", "A 10769-2024")</f>
        <v/>
      </c>
    </row>
    <row r="85" ht="15" customHeight="1">
      <c r="A85" t="inlineStr">
        <is>
          <t>A 11490-2023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46279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Mattlummer
Trädlärka</t>
        </is>
      </c>
      <c r="W85">
        <f>HYPERLINK("https://klasma.github.io/Logging_0581/artfynd/A 11490-2023 artfynd.xlsx", "A 11490-2023")</f>
        <v/>
      </c>
      <c r="X85">
        <f>HYPERLINK("https://klasma.github.io/Logging_0581/kartor/A 11490-2023 karta.png", "A 11490-2023")</f>
        <v/>
      </c>
      <c r="Y85">
        <f>HYPERLINK("https://klasma.github.io/Logging_0581/kartor_geotiff/A 11490-2023 georefererad karta.tif", "A 11490-2023")</f>
        <v/>
      </c>
      <c r="AA85">
        <f>HYPERLINK("https://klasma.github.io/Logging_0581/klagomål/A 11490-2023 FSC-klagomål.docx", "A 11490-2023")</f>
        <v/>
      </c>
      <c r="AB85">
        <f>HYPERLINK("https://klasma.github.io/Logging_0581/klagomålsmail/A 11490-2023 FSC-klagomål mail.docx", "A 11490-2023")</f>
        <v/>
      </c>
      <c r="AC85">
        <f>HYPERLINK("https://klasma.github.io/Logging_0581/tillsyn/A 11490-2023 tillsynsbegäran.docx", "A 11490-2023")</f>
        <v/>
      </c>
      <c r="AD85">
        <f>HYPERLINK("https://klasma.github.io/Logging_0581/tillsynsmail/A 11490-2023 tillsynsbegäran mail.docx", "A 11490-2023")</f>
        <v/>
      </c>
      <c r="AE85">
        <f>HYPERLINK("https://klasma.github.io/Logging_0581/fåglar/A 11490-2023 prioriterade fågelarter.docx", "A 11490-2023")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46279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12188-2026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46279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7.8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Korallrot</t>
        </is>
      </c>
      <c r="W87">
        <f>HYPERLINK("https://klasma.github.io/Logging_0581/artfynd/A 12188-2026 artfynd.xlsx", "A 12188-2026")</f>
        <v/>
      </c>
      <c r="X87">
        <f>HYPERLINK("https://klasma.github.io/Logging_0581/kartor/A 12188-2026 karta.png", "A 12188-2026")</f>
        <v/>
      </c>
      <c r="Y87">
        <f>HYPERLINK("https://klasma.github.io/Logging_0581/kartor_geotiff/A 12188-2026 georefererad karta.tif", "A 12188-2026")</f>
        <v/>
      </c>
      <c r="AA87">
        <f>HYPERLINK("https://klasma.github.io/Logging_0581/klagomål/A 12188-2026 FSC-klagomål.docx", "A 12188-2026")</f>
        <v/>
      </c>
      <c r="AB87">
        <f>HYPERLINK("https://klasma.github.io/Logging_0581/klagomålsmail/A 12188-2026 FSC-klagomål mail.docx", "A 12188-2026")</f>
        <v/>
      </c>
      <c r="AC87">
        <f>HYPERLINK("https://klasma.github.io/Logging_0581/tillsyn/A 12188-2026 tillsynsbegäran.docx", "A 12188-2026")</f>
        <v/>
      </c>
      <c r="AD87">
        <f>HYPERLINK("https://klasma.github.io/Logging_0581/tillsynsmail/A 12188-2026 tillsynsbegäran mail.docx", "A 12188-2026")</f>
        <v/>
      </c>
    </row>
    <row r="88" ht="15" customHeight="1">
      <c r="A88" t="inlineStr">
        <is>
          <t>A 42365-2025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46279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Svinrot
Tibast</t>
        </is>
      </c>
      <c r="W88">
        <f>HYPERLINK("https://klasma.github.io/Logging_0581/artfynd/A 42365-2025 artfynd.xlsx", "A 42365-2025")</f>
        <v/>
      </c>
      <c r="X88">
        <f>HYPERLINK("https://klasma.github.io/Logging_0581/kartor/A 42365-2025 karta.png", "A 42365-2025")</f>
        <v/>
      </c>
      <c r="Y88">
        <f>HYPERLINK("https://klasma.github.io/Logging_0581/kartor_geotiff/A 42365-2025 georefererad karta.tif", "A 42365-2025")</f>
        <v/>
      </c>
      <c r="AA88">
        <f>HYPERLINK("https://klasma.github.io/Logging_0581/klagomål/A 42365-2025 FSC-klagomål.docx", "A 42365-2025")</f>
        <v/>
      </c>
      <c r="AB88">
        <f>HYPERLINK("https://klasma.github.io/Logging_0581/klagomålsmail/A 42365-2025 FSC-klagomål mail.docx", "A 42365-2025")</f>
        <v/>
      </c>
      <c r="AC88">
        <f>HYPERLINK("https://klasma.github.io/Logging_0581/tillsyn/A 42365-2025 tillsynsbegäran.docx", "A 42365-2025")</f>
        <v/>
      </c>
      <c r="AD88">
        <f>HYPERLINK("https://klasma.github.io/Logging_0581/tillsynsmail/A 42365-2025 tillsynsbegäran mail.docx", "A 42365-2025")</f>
        <v/>
      </c>
    </row>
    <row r="89" ht="15" customHeight="1">
      <c r="A89" t="inlineStr">
        <is>
          <t>A 27503-2022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46279</v>
      </c>
      <c r="F89" t="inlineStr">
        <is>
          <t>ÖSTERGÖTLANDS LÄN</t>
        </is>
      </c>
      <c r="G89" t="inlineStr">
        <is>
          <t>NORRKÖPING</t>
        </is>
      </c>
      <c r="I89" t="n">
        <v>2.9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Svinrot
Ängsskära</t>
        </is>
      </c>
      <c r="W89">
        <f>HYPERLINK("https://klasma.github.io/Logging_0581/artfynd/A 27503-2022 artfynd.xlsx", "A 27503-2022")</f>
        <v/>
      </c>
      <c r="X89">
        <f>HYPERLINK("https://klasma.github.io/Logging_0581/kartor/A 27503-2022 karta.png", "A 27503-2022")</f>
        <v/>
      </c>
      <c r="Y89">
        <f>HYPERLINK("https://klasma.github.io/Logging_0581/kartor_geotiff/A 27503-2022 georefererad karta.tif", "A 27503-2022")</f>
        <v/>
      </c>
      <c r="AA89">
        <f>HYPERLINK("https://klasma.github.io/Logging_0581/klagomål/A 27503-2022 FSC-klagomål.docx", "A 27503-2022")</f>
        <v/>
      </c>
      <c r="AB89">
        <f>HYPERLINK("https://klasma.github.io/Logging_0581/klagomålsmail/A 27503-2022 FSC-klagomål mail.docx", "A 27503-2022")</f>
        <v/>
      </c>
      <c r="AC89">
        <f>HYPERLINK("https://klasma.github.io/Logging_0581/tillsyn/A 27503-2022 tillsynsbegäran.docx", "A 27503-2022")</f>
        <v/>
      </c>
      <c r="AD89">
        <f>HYPERLINK("https://klasma.github.io/Logging_0581/tillsynsmail/A 27503-2022 tillsynsbegäran mail.docx", "A 27503-2022")</f>
        <v/>
      </c>
    </row>
    <row r="90" ht="15" customHeight="1">
      <c r="A90" t="inlineStr">
        <is>
          <t>A 5809-2025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45694</v>
      </c>
      <c r="E90" s="1" t="n">
        <v>46279</v>
      </c>
      <c r="F90" t="inlineStr">
        <is>
          <t>ÖSTERGÖTLANDS LÄN</t>
        </is>
      </c>
      <c r="G90" t="inlineStr">
        <is>
          <t>NORRKÖPING</t>
        </is>
      </c>
      <c r="I90" t="n">
        <v>3.7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Blåsippa
Vanlig padda</t>
        </is>
      </c>
      <c r="W90">
        <f>HYPERLINK("https://klasma.github.io/Logging_0581/artfynd/A 5809-2025 artfynd.xlsx", "A 5809-2025")</f>
        <v/>
      </c>
      <c r="X90">
        <f>HYPERLINK("https://klasma.github.io/Logging_0581/kartor/A 5809-2025 karta.png", "A 5809-2025")</f>
        <v/>
      </c>
      <c r="Y90">
        <f>HYPERLINK("https://klasma.github.io/Logging_0581/kartor_geotiff/A 5809-2025 georefererad karta.tif", "A 5809-2025")</f>
        <v/>
      </c>
      <c r="AA90">
        <f>HYPERLINK("https://klasma.github.io/Logging_0581/klagomål/A 5809-2025 FSC-klagomål.docx", "A 5809-2025")</f>
        <v/>
      </c>
      <c r="AB90">
        <f>HYPERLINK("https://klasma.github.io/Logging_0581/klagomålsmail/A 5809-2025 FSC-klagomål mail.docx", "A 5809-2025")</f>
        <v/>
      </c>
      <c r="AC90">
        <f>HYPERLINK("https://klasma.github.io/Logging_0581/tillsyn/A 5809-2025 tillsynsbegäran.docx", "A 5809-2025")</f>
        <v/>
      </c>
      <c r="AD90">
        <f>HYPERLINK("https://klasma.github.io/Logging_0581/tillsynsmail/A 5809-2025 tillsynsbegäran mail.docx", "A 5809-2025")</f>
        <v/>
      </c>
    </row>
    <row r="91" ht="15" customHeight="1">
      <c r="A91" t="inlineStr">
        <is>
          <t>A 53852-2022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44880</v>
      </c>
      <c r="E91" s="1" t="n">
        <v>46279</v>
      </c>
      <c r="F91" t="inlineStr">
        <is>
          <t>ÖSTERGÖTLANDS LÄN</t>
        </is>
      </c>
      <c r="G91" t="inlineStr">
        <is>
          <t>NORRKÖPING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Tibast
Blåsippa</t>
        </is>
      </c>
      <c r="W91">
        <f>HYPERLINK("https://klasma.github.io/Logging_0581/artfynd/A 53852-2022 artfynd.xlsx", "A 53852-2022")</f>
        <v/>
      </c>
      <c r="X91">
        <f>HYPERLINK("https://klasma.github.io/Logging_0581/kartor/A 53852-2022 karta.png", "A 53852-2022")</f>
        <v/>
      </c>
      <c r="Y91">
        <f>HYPERLINK("https://klasma.github.io/Logging_0581/kartor_geotiff/A 53852-2022 georefererad karta.tif", "A 53852-2022")</f>
        <v/>
      </c>
      <c r="AA91">
        <f>HYPERLINK("https://klasma.github.io/Logging_0581/klagomål/A 53852-2022 FSC-klagomål.docx", "A 53852-2022")</f>
        <v/>
      </c>
      <c r="AB91">
        <f>HYPERLINK("https://klasma.github.io/Logging_0581/klagomålsmail/A 53852-2022 FSC-klagomål mail.docx", "A 53852-2022")</f>
        <v/>
      </c>
      <c r="AC91">
        <f>HYPERLINK("https://klasma.github.io/Logging_0581/tillsyn/A 53852-2022 tillsynsbegäran.docx", "A 53852-2022")</f>
        <v/>
      </c>
      <c r="AD91">
        <f>HYPERLINK("https://klasma.github.io/Logging_0581/tillsynsmail/A 53852-2022 tillsynsbegäran mail.docx", "A 53852-2022")</f>
        <v/>
      </c>
    </row>
    <row r="92" ht="15" customHeight="1">
      <c r="A92" t="inlineStr">
        <is>
          <t>A 14636-2025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46279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17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Tjäder</t>
        </is>
      </c>
      <c r="W92">
        <f>HYPERLINK("https://klasma.github.io/Logging_0581/artfynd/A 14636-2025 artfynd.xlsx", "A 14636-2025")</f>
        <v/>
      </c>
      <c r="X92">
        <f>HYPERLINK("https://klasma.github.io/Logging_0581/kartor/A 14636-2025 karta.png", "A 14636-2025")</f>
        <v/>
      </c>
      <c r="Y92">
        <f>HYPERLINK("https://klasma.github.io/Logging_0581/kartor_geotiff/A 14636-2025 georefererad karta.tif", "A 14636-2025")</f>
        <v/>
      </c>
      <c r="AA92">
        <f>HYPERLINK("https://klasma.github.io/Logging_0581/klagomål/A 14636-2025 FSC-klagomål.docx", "A 14636-2025")</f>
        <v/>
      </c>
      <c r="AB92">
        <f>HYPERLINK("https://klasma.github.io/Logging_0581/klagomålsmail/A 14636-2025 FSC-klagomål mail.docx", "A 14636-2025")</f>
        <v/>
      </c>
      <c r="AC92">
        <f>HYPERLINK("https://klasma.github.io/Logging_0581/tillsyn/A 14636-2025 tillsynsbegäran.docx", "A 14636-2025")</f>
        <v/>
      </c>
      <c r="AD92">
        <f>HYPERLINK("https://klasma.github.io/Logging_0581/tillsynsmail/A 14636-2025 tillsynsbegäran mail.docx", "A 14636-2025")</f>
        <v/>
      </c>
      <c r="AE92">
        <f>HYPERLINK("https://klasma.github.io/Logging_0581/fåglar/A 14636-2025 prioriterade fågelarter.docx", "A 14636-2025")</f>
        <v/>
      </c>
    </row>
    <row r="93" ht="15" customHeight="1">
      <c r="A93" t="inlineStr">
        <is>
          <t>A 17793-2025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46279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6.7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Blåmossa
Huggorm</t>
        </is>
      </c>
      <c r="W93">
        <f>HYPERLINK("https://klasma.github.io/Logging_0581/artfynd/A 17793-2025 artfynd.xlsx", "A 17793-2025")</f>
        <v/>
      </c>
      <c r="X93">
        <f>HYPERLINK("https://klasma.github.io/Logging_0581/kartor/A 17793-2025 karta.png", "A 17793-2025")</f>
        <v/>
      </c>
      <c r="Y93">
        <f>HYPERLINK("https://klasma.github.io/Logging_0581/kartor_geotiff/A 17793-2025 georefererad karta.tif", "A 17793-2025")</f>
        <v/>
      </c>
      <c r="AA93">
        <f>HYPERLINK("https://klasma.github.io/Logging_0581/klagomål/A 17793-2025 FSC-klagomål.docx", "A 17793-2025")</f>
        <v/>
      </c>
      <c r="AB93">
        <f>HYPERLINK("https://klasma.github.io/Logging_0581/klagomålsmail/A 17793-2025 FSC-klagomål mail.docx", "A 17793-2025")</f>
        <v/>
      </c>
      <c r="AC93">
        <f>HYPERLINK("https://klasma.github.io/Logging_0581/tillsyn/A 17793-2025 tillsynsbegäran.docx", "A 17793-2025")</f>
        <v/>
      </c>
      <c r="AD93">
        <f>HYPERLINK("https://klasma.github.io/Logging_0581/tillsynsmail/A 17793-2025 tillsynsbegäran mail.docx", "A 17793-2025")</f>
        <v/>
      </c>
    </row>
    <row r="94" ht="15" customHeight="1">
      <c r="A94" t="inlineStr">
        <is>
          <t>A 56971-2025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46279</v>
      </c>
      <c r="F94" t="inlineStr">
        <is>
          <t>ÖSTERGÖTLANDS LÄN</t>
        </is>
      </c>
      <c r="G94" t="inlineStr">
        <is>
          <t>NORRKÖPING</t>
        </is>
      </c>
      <c r="I94" t="n">
        <v>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Tallticka</t>
        </is>
      </c>
      <c r="W94">
        <f>HYPERLINK("https://klasma.github.io/Logging_0581/artfynd/A 56971-2025 artfynd.xlsx", "A 56971-2025")</f>
        <v/>
      </c>
      <c r="X94">
        <f>HYPERLINK("https://klasma.github.io/Logging_0581/kartor/A 56971-2025 karta.png", "A 56971-2025")</f>
        <v/>
      </c>
      <c r="Y94">
        <f>HYPERLINK("https://klasma.github.io/Logging_0581/kartor_geotiff/A 56971-2025 georefererad karta.tif", "A 56971-2025")</f>
        <v/>
      </c>
      <c r="Z94">
        <f>HYPERLINK("https://klasma.github.io/Logging_0581/knärot/A 56971-2025 karta knärot.png", "A 56971-2025")</f>
        <v/>
      </c>
      <c r="AA94">
        <f>HYPERLINK("https://klasma.github.io/Logging_0581/klagomål/A 56971-2025 FSC-klagomål.docx", "A 56971-2025")</f>
        <v/>
      </c>
      <c r="AB94">
        <f>HYPERLINK("https://klasma.github.io/Logging_0581/klagomålsmail/A 56971-2025 FSC-klagomål mail.docx", "A 56971-2025")</f>
        <v/>
      </c>
      <c r="AC94">
        <f>HYPERLINK("https://klasma.github.io/Logging_0581/tillsyn/A 56971-2025 tillsynsbegäran.docx", "A 56971-2025")</f>
        <v/>
      </c>
      <c r="AD94">
        <f>HYPERLINK("https://klasma.github.io/Logging_0581/tillsynsmail/A 56971-2025 tillsynsbegäran mail.docx", "A 56971-2025")</f>
        <v/>
      </c>
    </row>
    <row r="95" ht="15" customHeight="1">
      <c r="A95" t="inlineStr">
        <is>
          <t>A 58380-2025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46279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10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Knärot
Tallticka</t>
        </is>
      </c>
      <c r="W95">
        <f>HYPERLINK("https://klasma.github.io/Logging_0581/artfynd/A 58380-2025 artfynd.xlsx", "A 58380-2025")</f>
        <v/>
      </c>
      <c r="X95">
        <f>HYPERLINK("https://klasma.github.io/Logging_0581/kartor/A 58380-2025 karta.png", "A 58380-2025")</f>
        <v/>
      </c>
      <c r="Y95">
        <f>HYPERLINK("https://klasma.github.io/Logging_0581/kartor_geotiff/A 58380-2025 georefererad karta.tif", "A 58380-2025")</f>
        <v/>
      </c>
      <c r="Z95">
        <f>HYPERLINK("https://klasma.github.io/Logging_0581/knärot/A 58380-2025 karta knärot.png", "A 58380-2025")</f>
        <v/>
      </c>
      <c r="AA95">
        <f>HYPERLINK("https://klasma.github.io/Logging_0581/klagomål/A 58380-2025 FSC-klagomål.docx", "A 58380-2025")</f>
        <v/>
      </c>
      <c r="AB95">
        <f>HYPERLINK("https://klasma.github.io/Logging_0581/klagomålsmail/A 58380-2025 FSC-klagomål mail.docx", "A 58380-2025")</f>
        <v/>
      </c>
      <c r="AC95">
        <f>HYPERLINK("https://klasma.github.io/Logging_0581/tillsyn/A 58380-2025 tillsynsbegäran.docx", "A 58380-2025")</f>
        <v/>
      </c>
      <c r="AD95">
        <f>HYPERLINK("https://klasma.github.io/Logging_0581/tillsynsmail/A 58380-2025 tillsynsbegäran mail.docx", "A 58380-2025")</f>
        <v/>
      </c>
    </row>
    <row r="96" ht="15" customHeight="1">
      <c r="A96" t="inlineStr">
        <is>
          <t>A 46692-2024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46279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Dvärgbägarlav
Flagellkvastmossa</t>
        </is>
      </c>
      <c r="W96">
        <f>HYPERLINK("https://klasma.github.io/Logging_0581/artfynd/A 46692-2024 artfynd.xlsx", "A 46692-2024")</f>
        <v/>
      </c>
      <c r="X96">
        <f>HYPERLINK("https://klasma.github.io/Logging_0581/kartor/A 46692-2024 karta.png", "A 46692-2024")</f>
        <v/>
      </c>
      <c r="Y96">
        <f>HYPERLINK("https://klasma.github.io/Logging_0581/kartor_geotiff/A 46692-2024 georefererad karta.tif", "A 46692-2024")</f>
        <v/>
      </c>
      <c r="AA96">
        <f>HYPERLINK("https://klasma.github.io/Logging_0581/klagomål/A 46692-2024 FSC-klagomål.docx", "A 46692-2024")</f>
        <v/>
      </c>
      <c r="AB96">
        <f>HYPERLINK("https://klasma.github.io/Logging_0581/klagomålsmail/A 46692-2024 FSC-klagomål mail.docx", "A 46692-2024")</f>
        <v/>
      </c>
      <c r="AC96">
        <f>HYPERLINK("https://klasma.github.io/Logging_0581/tillsyn/A 46692-2024 tillsynsbegäran.docx", "A 46692-2024")</f>
        <v/>
      </c>
      <c r="AD96">
        <f>HYPERLINK("https://klasma.github.io/Logging_0581/tillsynsmail/A 46692-2024 tillsynsbegäran mail.docx", "A 46692-2024")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46279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9722-2025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46279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Ask
Blåsippa</t>
        </is>
      </c>
      <c r="W98">
        <f>HYPERLINK("https://klasma.github.io/Logging_0581/artfynd/A 9722-2025 artfynd.xlsx", "A 9722-2025")</f>
        <v/>
      </c>
      <c r="X98">
        <f>HYPERLINK("https://klasma.github.io/Logging_0581/kartor/A 9722-2025 karta.png", "A 9722-2025")</f>
        <v/>
      </c>
      <c r="Y98">
        <f>HYPERLINK("https://klasma.github.io/Logging_0581/kartor_geotiff/A 9722-2025 georefererad karta.tif", "A 9722-2025")</f>
        <v/>
      </c>
      <c r="AA98">
        <f>HYPERLINK("https://klasma.github.io/Logging_0581/klagomål/A 9722-2025 FSC-klagomål.docx", "A 9722-2025")</f>
        <v/>
      </c>
      <c r="AB98">
        <f>HYPERLINK("https://klasma.github.io/Logging_0581/klagomålsmail/A 9722-2025 FSC-klagomål mail.docx", "A 9722-2025")</f>
        <v/>
      </c>
      <c r="AC98">
        <f>HYPERLINK("https://klasma.github.io/Logging_0581/tillsyn/A 9722-2025 tillsynsbegäran.docx", "A 9722-2025")</f>
        <v/>
      </c>
      <c r="AD98">
        <f>HYPERLINK("https://klasma.github.io/Logging_0581/tillsynsmail/A 9722-2025 tillsynsbegäran mail.docx", "A 9722-2025")</f>
        <v/>
      </c>
    </row>
    <row r="99" ht="15" customHeight="1">
      <c r="A99" t="inlineStr">
        <is>
          <t>A 9746-2025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46279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Ask
Blåsippa</t>
        </is>
      </c>
      <c r="W99">
        <f>HYPERLINK("https://klasma.github.io/Logging_0581/artfynd/A 9746-2025 artfynd.xlsx", "A 9746-2025")</f>
        <v/>
      </c>
      <c r="X99">
        <f>HYPERLINK("https://klasma.github.io/Logging_0581/kartor/A 9746-2025 karta.png", "A 9746-2025")</f>
        <v/>
      </c>
      <c r="Y99">
        <f>HYPERLINK("https://klasma.github.io/Logging_0581/kartor_geotiff/A 9746-2025 georefererad karta.tif", "A 9746-2025")</f>
        <v/>
      </c>
      <c r="AA99">
        <f>HYPERLINK("https://klasma.github.io/Logging_0581/klagomål/A 9746-2025 FSC-klagomål.docx", "A 9746-2025")</f>
        <v/>
      </c>
      <c r="AB99">
        <f>HYPERLINK("https://klasma.github.io/Logging_0581/klagomålsmail/A 9746-2025 FSC-klagomål mail.docx", "A 9746-2025")</f>
        <v/>
      </c>
      <c r="AC99">
        <f>HYPERLINK("https://klasma.github.io/Logging_0581/tillsyn/A 9746-2025 tillsynsbegäran.docx", "A 9746-2025")</f>
        <v/>
      </c>
      <c r="AD99">
        <f>HYPERLINK("https://klasma.github.io/Logging_0581/tillsynsmail/A 9746-2025 tillsynsbegäran mail.docx", "A 9746-2025")</f>
        <v/>
      </c>
    </row>
    <row r="100" ht="15" customHeight="1">
      <c r="A100" t="inlineStr">
        <is>
          <t>A 19182-2025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46279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1.9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Knärot
Ullticka</t>
        </is>
      </c>
      <c r="W100">
        <f>HYPERLINK("https://klasma.github.io/Logging_0581/artfynd/A 19182-2025 artfynd.xlsx", "A 19182-2025")</f>
        <v/>
      </c>
      <c r="X100">
        <f>HYPERLINK("https://klasma.github.io/Logging_0581/kartor/A 19182-2025 karta.png", "A 19182-2025")</f>
        <v/>
      </c>
      <c r="Y100">
        <f>HYPERLINK("https://klasma.github.io/Logging_0581/kartor_geotiff/A 19182-2025 georefererad karta.tif", "A 19182-2025")</f>
        <v/>
      </c>
      <c r="Z100">
        <f>HYPERLINK("https://klasma.github.io/Logging_0581/knärot/A 19182-2025 karta knärot.png", "A 19182-2025")</f>
        <v/>
      </c>
      <c r="AA100">
        <f>HYPERLINK("https://klasma.github.io/Logging_0581/klagomål/A 19182-2025 FSC-klagomål.docx", "A 19182-2025")</f>
        <v/>
      </c>
      <c r="AB100">
        <f>HYPERLINK("https://klasma.github.io/Logging_0581/klagomålsmail/A 19182-2025 FSC-klagomål mail.docx", "A 19182-2025")</f>
        <v/>
      </c>
      <c r="AC100">
        <f>HYPERLINK("https://klasma.github.io/Logging_0581/tillsyn/A 19182-2025 tillsynsbegäran.docx", "A 19182-2025")</f>
        <v/>
      </c>
      <c r="AD100">
        <f>HYPERLINK("https://klasma.github.io/Logging_0581/tillsynsmail/A 19182-2025 tillsynsbegäran mail.docx", "A 19182-2025")</f>
        <v/>
      </c>
    </row>
    <row r="101" ht="15" customHeight="1">
      <c r="A101" t="inlineStr">
        <is>
          <t>A 28796-2026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46279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28796-2026 artfynd.xlsx", "A 28796-2026")</f>
        <v/>
      </c>
      <c r="X101">
        <f>HYPERLINK("https://klasma.github.io/Logging_0581/kartor/A 28796-2026 karta.png", "A 28796-2026")</f>
        <v/>
      </c>
      <c r="Y101">
        <f>HYPERLINK("https://klasma.github.io/Logging_0581/kartor_geotiff/A 28796-2026 georefererad karta.tif", "A 28796-2026")</f>
        <v/>
      </c>
      <c r="AA101">
        <f>HYPERLINK("https://klasma.github.io/Logging_0581/klagomål/A 28796-2026 FSC-klagomål.docx", "A 28796-2026")</f>
        <v/>
      </c>
      <c r="AB101">
        <f>HYPERLINK("https://klasma.github.io/Logging_0581/klagomålsmail/A 28796-2026 FSC-klagomål mail.docx", "A 28796-2026")</f>
        <v/>
      </c>
      <c r="AC101">
        <f>HYPERLINK("https://klasma.github.io/Logging_0581/tillsyn/A 28796-2026 tillsynsbegäran.docx", "A 28796-2026")</f>
        <v/>
      </c>
      <c r="AD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4826-2023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46279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5.1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Bårdlav
Havsörn</t>
        </is>
      </c>
      <c r="W102">
        <f>HYPERLINK("https://klasma.github.io/Logging_0581/artfynd/A 4826-2023 artfynd.xlsx", "A 4826-2023")</f>
        <v/>
      </c>
      <c r="X102">
        <f>HYPERLINK("https://klasma.github.io/Logging_0581/kartor/A 4826-2023 karta.png", "A 4826-2023")</f>
        <v/>
      </c>
      <c r="Y102">
        <f>HYPERLINK("https://klasma.github.io/Logging_0581/kartor_geotiff/A 4826-2023 georefererad karta.tif", "A 4826-2023")</f>
        <v/>
      </c>
      <c r="AA102">
        <f>HYPERLINK("https://klasma.github.io/Logging_0581/klagomål/A 4826-2023 FSC-klagomål.docx", "A 4826-2023")</f>
        <v/>
      </c>
      <c r="AB102">
        <f>HYPERLINK("https://klasma.github.io/Logging_0581/klagomålsmail/A 4826-2023 FSC-klagomål mail.docx", "A 4826-2023")</f>
        <v/>
      </c>
      <c r="AC102">
        <f>HYPERLINK("https://klasma.github.io/Logging_0581/tillsyn/A 4826-2023 tillsynsbegäran.docx", "A 4826-2023")</f>
        <v/>
      </c>
      <c r="AD102">
        <f>HYPERLINK("https://klasma.github.io/Logging_0581/tillsynsmail/A 4826-2023 tillsynsbegäran mail.docx", "A 4826-2023")</f>
        <v/>
      </c>
      <c r="AE102">
        <f>HYPERLINK("https://klasma.github.io/Logging_0581/fåglar/A 4826-2023 prioriterade fågelarter.docx", "A 4826-2023")</f>
        <v/>
      </c>
    </row>
    <row r="103" ht="15" customHeight="1">
      <c r="A103" t="inlineStr">
        <is>
          <t>A 28895-2026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46279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28895-2026 artfynd.xlsx", "A 28895-2026")</f>
        <v/>
      </c>
      <c r="X103">
        <f>HYPERLINK("https://klasma.github.io/Logging_0581/kartor/A 28895-2026 karta.png", "A 28895-2026")</f>
        <v/>
      </c>
      <c r="Y103">
        <f>HYPERLINK("https://klasma.github.io/Logging_0581/kartor_geotiff/A 28895-2026 georefererad karta.tif", "A 28895-2026")</f>
        <v/>
      </c>
      <c r="AA103">
        <f>HYPERLINK("https://klasma.github.io/Logging_0581/klagomål/A 28895-2026 FSC-klagomål.docx", "A 28895-2026")</f>
        <v/>
      </c>
      <c r="AB103">
        <f>HYPERLINK("https://klasma.github.io/Logging_0581/klagomålsmail/A 28895-2026 FSC-klagomål mail.docx", "A 28895-2026")</f>
        <v/>
      </c>
      <c r="AC103">
        <f>HYPERLINK("https://klasma.github.io/Logging_0581/tillsyn/A 28895-2026 tillsynsbegäran.docx", "A 28895-2026")</f>
        <v/>
      </c>
      <c r="AD103">
        <f>HYPERLINK("https://klasma.github.io/Logging_0581/tillsynsmail/A 28895-2026 tillsynsbegäran mail.docx", "A 28895-2026")</f>
        <v/>
      </c>
    </row>
    <row r="104" ht="15" customHeight="1">
      <c r="A104" t="inlineStr">
        <is>
          <t>A 28893-2026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46279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28893-2026 artfynd.xlsx", "A 28893-2026")</f>
        <v/>
      </c>
      <c r="X104">
        <f>HYPERLINK("https://klasma.github.io/Logging_0581/kartor/A 28893-2026 karta.png", "A 28893-2026")</f>
        <v/>
      </c>
      <c r="Y104">
        <f>HYPERLINK("https://klasma.github.io/Logging_0581/kartor_geotiff/A 28893-2026 georefererad karta.tif", "A 28893-2026")</f>
        <v/>
      </c>
      <c r="AA104">
        <f>HYPERLINK("https://klasma.github.io/Logging_0581/klagomål/A 28893-2026 FSC-klagomål.docx", "A 28893-2026")</f>
        <v/>
      </c>
      <c r="AB104">
        <f>HYPERLINK("https://klasma.github.io/Logging_0581/klagomålsmail/A 28893-2026 FSC-klagomål mail.docx", "A 28893-2026")</f>
        <v/>
      </c>
      <c r="AC104">
        <f>HYPERLINK("https://klasma.github.io/Logging_0581/tillsyn/A 28893-2026 tillsynsbegäran.docx", "A 28893-2026")</f>
        <v/>
      </c>
      <c r="AD104">
        <f>HYPERLINK("https://klasma.github.io/Logging_0581/tillsynsmail/A 28893-2026 tillsynsbegäran mail.docx", "A 28893-2026")</f>
        <v/>
      </c>
    </row>
    <row r="105" ht="15" customHeight="1">
      <c r="A105" t="inlineStr">
        <is>
          <t>A 20377-2023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46279</v>
      </c>
      <c r="F105" t="inlineStr">
        <is>
          <t>ÖSTERGÖTLANDS LÄN</t>
        </is>
      </c>
      <c r="G105" t="inlineStr">
        <is>
          <t>NORRKÖPING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Tallticka
Kungsfågel</t>
        </is>
      </c>
      <c r="W105">
        <f>HYPERLINK("https://klasma.github.io/Logging_0581/artfynd/A 20377-2023 artfynd.xlsx", "A 20377-2023")</f>
        <v/>
      </c>
      <c r="X105">
        <f>HYPERLINK("https://klasma.github.io/Logging_0581/kartor/A 20377-2023 karta.png", "A 20377-2023")</f>
        <v/>
      </c>
      <c r="Y105">
        <f>HYPERLINK("https://klasma.github.io/Logging_0581/kartor_geotiff/A 20377-2023 georefererad karta.tif", "A 20377-2023")</f>
        <v/>
      </c>
      <c r="AA105">
        <f>HYPERLINK("https://klasma.github.io/Logging_0581/klagomål/A 20377-2023 FSC-klagomål.docx", "A 20377-2023")</f>
        <v/>
      </c>
      <c r="AB105">
        <f>HYPERLINK("https://klasma.github.io/Logging_0581/klagomålsmail/A 20377-2023 FSC-klagomål mail.docx", "A 20377-2023")</f>
        <v/>
      </c>
      <c r="AC105">
        <f>HYPERLINK("https://klasma.github.io/Logging_0581/tillsyn/A 20377-2023 tillsynsbegäran.docx", "A 20377-2023")</f>
        <v/>
      </c>
      <c r="AD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46279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7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Knärot
Sårläka</t>
        </is>
      </c>
      <c r="W106">
        <f>HYPERLINK("https://klasma.github.io/Logging_0581/artfynd/A 49366-2021 artfynd.xlsx", "A 49366-2021")</f>
        <v/>
      </c>
      <c r="X106">
        <f>HYPERLINK("https://klasma.github.io/Logging_0581/kartor/A 49366-2021 karta.png", "A 49366-2021")</f>
        <v/>
      </c>
      <c r="Y106">
        <f>HYPERLINK("https://klasma.github.io/Logging_0581/kartor_geotiff/A 49366-2021 georefererad karta.tif", "A 49366-2021")</f>
        <v/>
      </c>
      <c r="Z106">
        <f>HYPERLINK("https://klasma.github.io/Logging_0581/knärot/A 49366-2021 karta knärot.png", "A 49366-2021")</f>
        <v/>
      </c>
      <c r="AA106">
        <f>HYPERLINK("https://klasma.github.io/Logging_0581/klagomål/A 49366-2021 FSC-klagomål.docx", "A 49366-2021")</f>
        <v/>
      </c>
      <c r="AB106">
        <f>HYPERLINK("https://klasma.github.io/Logging_0581/klagomålsmail/A 49366-2021 FSC-klagomål mail.docx", "A 49366-2021")</f>
        <v/>
      </c>
      <c r="AC106">
        <f>HYPERLINK("https://klasma.github.io/Logging_0581/tillsyn/A 49366-2021 tillsynsbegäran.docx", "A 49366-2021")</f>
        <v/>
      </c>
      <c r="AD106">
        <f>HYPERLINK("https://klasma.github.io/Logging_0581/tillsynsmail/A 49366-2021 tillsynsbegäran mail.docx", "A 49366-2021")</f>
        <v/>
      </c>
    </row>
    <row r="107" ht="15" customHeight="1">
      <c r="A107" t="inlineStr">
        <is>
          <t>A 25291-2023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46279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Slåtterfibbla
Svartvit flugsnappare</t>
        </is>
      </c>
      <c r="W107">
        <f>HYPERLINK("https://klasma.github.io/Logging_0581/artfynd/A 25291-2023 artfynd.xlsx", "A 25291-2023")</f>
        <v/>
      </c>
      <c r="X107">
        <f>HYPERLINK("https://klasma.github.io/Logging_0581/kartor/A 25291-2023 karta.png", "A 25291-2023")</f>
        <v/>
      </c>
      <c r="Y107">
        <f>HYPERLINK("https://klasma.github.io/Logging_0581/kartor_geotiff/A 25291-2023 georefererad karta.tif", "A 25291-2023")</f>
        <v/>
      </c>
      <c r="AA107">
        <f>HYPERLINK("https://klasma.github.io/Logging_0581/klagomål/A 25291-2023 FSC-klagomål.docx", "A 25291-2023")</f>
        <v/>
      </c>
      <c r="AB107">
        <f>HYPERLINK("https://klasma.github.io/Logging_0581/klagomålsmail/A 25291-2023 FSC-klagomål mail.docx", "A 25291-2023")</f>
        <v/>
      </c>
      <c r="AC107">
        <f>HYPERLINK("https://klasma.github.io/Logging_0581/tillsyn/A 25291-2023 tillsynsbegäran.docx", "A 25291-2023")</f>
        <v/>
      </c>
      <c r="AD107">
        <f>HYPERLINK("https://klasma.github.io/Logging_0581/tillsynsmail/A 25291-2023 tillsynsbegäran mail.docx", "A 25291-2023")</f>
        <v/>
      </c>
    </row>
    <row r="108" ht="15" customHeight="1">
      <c r="A108" t="inlineStr">
        <is>
          <t>A 8987-2023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46279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0.5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Vedskivlav
Grovticka</t>
        </is>
      </c>
      <c r="W108">
        <f>HYPERLINK("https://klasma.github.io/Logging_0581/artfynd/A 8987-2023 artfynd.xlsx", "A 8987-2023")</f>
        <v/>
      </c>
      <c r="X108">
        <f>HYPERLINK("https://klasma.github.io/Logging_0581/kartor/A 8987-2023 karta.png", "A 8987-2023")</f>
        <v/>
      </c>
      <c r="Y108">
        <f>HYPERLINK("https://klasma.github.io/Logging_0581/kartor_geotiff/A 8987-2023 georefererad karta.tif", "A 8987-2023")</f>
        <v/>
      </c>
      <c r="AA108">
        <f>HYPERLINK("https://klasma.github.io/Logging_0581/klagomål/A 8987-2023 FSC-klagomål.docx", "A 8987-2023")</f>
        <v/>
      </c>
      <c r="AB108">
        <f>HYPERLINK("https://klasma.github.io/Logging_0581/klagomålsmail/A 8987-2023 FSC-klagomål mail.docx", "A 8987-2023")</f>
        <v/>
      </c>
      <c r="AC108">
        <f>HYPERLINK("https://klasma.github.io/Logging_0581/tillsyn/A 8987-2023 tillsynsbegäran.docx", "A 8987-2023")</f>
        <v/>
      </c>
      <c r="AD108">
        <f>HYPERLINK("https://klasma.github.io/Logging_0581/tillsynsmail/A 8987-2023 tillsynsbegäran mail.docx", "A 8987-2023")</f>
        <v/>
      </c>
    </row>
    <row r="109" ht="15" customHeight="1">
      <c r="A109" t="inlineStr">
        <is>
          <t>A 10553-2025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46279</v>
      </c>
      <c r="F109" t="inlineStr">
        <is>
          <t>ÖSTERGÖTLANDS LÄN</t>
        </is>
      </c>
      <c r="G109" t="inlineStr">
        <is>
          <t>NORRKÖPING</t>
        </is>
      </c>
      <c r="I109" t="n">
        <v>2.2</v>
      </c>
      <c r="J109" t="n">
        <v>2</v>
      </c>
      <c r="K109" t="n">
        <v>0</v>
      </c>
      <c r="L109" t="n">
        <v>1</v>
      </c>
      <c r="M109" t="n">
        <v>0</v>
      </c>
      <c r="N109" t="n">
        <v>1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Ejder
Rosenfink</t>
        </is>
      </c>
      <c r="W109">
        <f>HYPERLINK("https://klasma.github.io/Logging_0581/artfynd/A 10553-2025 artfynd.xlsx", "A 10553-2025")</f>
        <v/>
      </c>
      <c r="X109">
        <f>HYPERLINK("https://klasma.github.io/Logging_0581/kartor/A 10553-2025 karta.png", "A 10553-2025")</f>
        <v/>
      </c>
      <c r="Y109">
        <f>HYPERLINK("https://klasma.github.io/Logging_0581/kartor_geotiff/A 10553-2025 georefererad karta.tif", "A 10553-2025")</f>
        <v/>
      </c>
      <c r="AA109">
        <f>HYPERLINK("https://klasma.github.io/Logging_0581/klagomål/A 10553-2025 FSC-klagomål.docx", "A 10553-2025")</f>
        <v/>
      </c>
      <c r="AB109">
        <f>HYPERLINK("https://klasma.github.io/Logging_0581/klagomålsmail/A 10553-2025 FSC-klagomål mail.docx", "A 10553-2025")</f>
        <v/>
      </c>
      <c r="AC109">
        <f>HYPERLINK("https://klasma.github.io/Logging_0581/tillsyn/A 10553-2025 tillsynsbegäran.docx", "A 10553-2025")</f>
        <v/>
      </c>
      <c r="AD109">
        <f>HYPERLINK("https://klasma.github.io/Logging_0581/tillsynsmail/A 10553-2025 tillsynsbegäran mail.docx", "A 10553-2025")</f>
        <v/>
      </c>
      <c r="AE109">
        <f>HYPERLINK("https://klasma.github.io/Logging_0581/fåglar/A 10553-2025 prioriterade fågelarter.docx", "A 10553-2025")</f>
        <v/>
      </c>
    </row>
    <row r="110" ht="15" customHeight="1">
      <c r="A110" t="inlineStr">
        <is>
          <t>A 24233-2025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46279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Tallticka
Granbarkgnagare</t>
        </is>
      </c>
      <c r="W110">
        <f>HYPERLINK("https://klasma.github.io/Logging_0581/artfynd/A 24233-2025 artfynd.xlsx", "A 24233-2025")</f>
        <v/>
      </c>
      <c r="X110">
        <f>HYPERLINK("https://klasma.github.io/Logging_0581/kartor/A 24233-2025 karta.png", "A 24233-2025")</f>
        <v/>
      </c>
      <c r="Y110">
        <f>HYPERLINK("https://klasma.github.io/Logging_0581/kartor_geotiff/A 24233-2025 georefererad karta.tif", "A 24233-2025")</f>
        <v/>
      </c>
      <c r="AA110">
        <f>HYPERLINK("https://klasma.github.io/Logging_0581/klagomål/A 24233-2025 FSC-klagomål.docx", "A 24233-2025")</f>
        <v/>
      </c>
      <c r="AB110">
        <f>HYPERLINK("https://klasma.github.io/Logging_0581/klagomålsmail/A 24233-2025 FSC-klagomål mail.docx", "A 24233-2025")</f>
        <v/>
      </c>
      <c r="AC110">
        <f>HYPERLINK("https://klasma.github.io/Logging_0581/tillsyn/A 24233-2025 tillsynsbegäran.docx", "A 24233-2025")</f>
        <v/>
      </c>
      <c r="AD110">
        <f>HYPERLINK("https://klasma.github.io/Logging_0581/tillsynsmail/A 24233-2025 tillsynsbegäran mail.docx", "A 24233-2025")</f>
        <v/>
      </c>
    </row>
    <row r="111" ht="15" customHeight="1">
      <c r="A111" t="inlineStr">
        <is>
          <t>A 31298-2026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46218</v>
      </c>
      <c r="E111" s="1" t="n">
        <v>46279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0.7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Blåmossa
Orre</t>
        </is>
      </c>
      <c r="W111">
        <f>HYPERLINK("https://klasma.github.io/Logging_0581/artfynd/A 31298-2026 artfynd.xlsx", "A 31298-2026")</f>
        <v/>
      </c>
      <c r="X111">
        <f>HYPERLINK("https://klasma.github.io/Logging_0581/kartor/A 31298-2026 karta.png", "A 31298-2026")</f>
        <v/>
      </c>
      <c r="Y111">
        <f>HYPERLINK("https://klasma.github.io/Logging_0581/kartor_geotiff/A 31298-2026 georefererad karta.tif", "A 31298-2026")</f>
        <v/>
      </c>
      <c r="AA111">
        <f>HYPERLINK("https://klasma.github.io/Logging_0581/klagomål/A 31298-2026 FSC-klagomål.docx", "A 31298-2026")</f>
        <v/>
      </c>
      <c r="AB111">
        <f>HYPERLINK("https://klasma.github.io/Logging_0581/klagomålsmail/A 31298-2026 FSC-klagomål mail.docx", "A 31298-2026")</f>
        <v/>
      </c>
      <c r="AC111">
        <f>HYPERLINK("https://klasma.github.io/Logging_0581/tillsyn/A 31298-2026 tillsynsbegäran.docx", "A 31298-2026")</f>
        <v/>
      </c>
      <c r="AD111">
        <f>HYPERLINK("https://klasma.github.io/Logging_0581/tillsynsmail/A 31298-2026 tillsynsbegäran mail.docx", "A 31298-2026")</f>
        <v/>
      </c>
      <c r="AE111">
        <f>HYPERLINK("https://klasma.github.io/Logging_0581/fåglar/A 31298-2026 prioriterade fågelarter.docx", "A 31298-2026")</f>
        <v/>
      </c>
    </row>
    <row r="112" ht="15" customHeight="1">
      <c r="A112" t="inlineStr">
        <is>
          <t>A 31264-2026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46218</v>
      </c>
      <c r="E112" s="1" t="n">
        <v>46279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Vedskivlav
Fläcknycklar</t>
        </is>
      </c>
      <c r="W112">
        <f>HYPERLINK("https://klasma.github.io/Logging_0581/artfynd/A 31264-2026 artfynd.xlsx", "A 31264-2026")</f>
        <v/>
      </c>
      <c r="X112">
        <f>HYPERLINK("https://klasma.github.io/Logging_0581/kartor/A 31264-2026 karta.png", "A 31264-2026")</f>
        <v/>
      </c>
      <c r="Y112">
        <f>HYPERLINK("https://klasma.github.io/Logging_0581/kartor_geotiff/A 31264-2026 georefererad karta.tif", "A 31264-2026")</f>
        <v/>
      </c>
      <c r="AA112">
        <f>HYPERLINK("https://klasma.github.io/Logging_0581/klagomål/A 31264-2026 FSC-klagomål.docx", "A 31264-2026")</f>
        <v/>
      </c>
      <c r="AB112">
        <f>HYPERLINK("https://klasma.github.io/Logging_0581/klagomålsmail/A 31264-2026 FSC-klagomål mail.docx", "A 31264-2026")</f>
        <v/>
      </c>
      <c r="AC112">
        <f>HYPERLINK("https://klasma.github.io/Logging_0581/tillsyn/A 31264-2026 tillsynsbegäran.docx", "A 31264-2026")</f>
        <v/>
      </c>
      <c r="AD112">
        <f>HYPERLINK("https://klasma.github.io/Logging_0581/tillsynsmail/A 31264-2026 tillsynsbegäran mail.docx", "A 31264-2026")</f>
        <v/>
      </c>
    </row>
    <row r="113" ht="15" customHeight="1">
      <c r="A113" t="inlineStr">
        <is>
          <t>A 31335-2026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46219</v>
      </c>
      <c r="E113" s="1" t="n">
        <v>46279</v>
      </c>
      <c r="F113" t="inlineStr">
        <is>
          <t>ÖSTERGÖTLANDS LÄN</t>
        </is>
      </c>
      <c r="G113" t="inlineStr">
        <is>
          <t>NORRKÖPING</t>
        </is>
      </c>
      <c r="I113" t="n">
        <v>1.1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Bredbrämad bastardsvärmare
Älg</t>
        </is>
      </c>
      <c r="W113">
        <f>HYPERLINK("https://klasma.github.io/Logging_0581/artfynd/A 31335-2026 artfynd.xlsx", "A 31335-2026")</f>
        <v/>
      </c>
      <c r="X113">
        <f>HYPERLINK("https://klasma.github.io/Logging_0581/kartor/A 31335-2026 karta.png", "A 31335-2026")</f>
        <v/>
      </c>
      <c r="Y113">
        <f>HYPERLINK("https://klasma.github.io/Logging_0581/kartor_geotiff/A 31335-2026 georefererad karta.tif", "A 31335-2026")</f>
        <v/>
      </c>
      <c r="AA113">
        <f>HYPERLINK("https://klasma.github.io/Logging_0581/klagomål/A 31335-2026 FSC-klagomål.docx", "A 31335-2026")</f>
        <v/>
      </c>
      <c r="AB113">
        <f>HYPERLINK("https://klasma.github.io/Logging_0581/klagomålsmail/A 31335-2026 FSC-klagomål mail.docx", "A 31335-2026")</f>
        <v/>
      </c>
      <c r="AC113">
        <f>HYPERLINK("https://klasma.github.io/Logging_0581/tillsyn/A 31335-2026 tillsynsbegäran.docx", "A 31335-2026")</f>
        <v/>
      </c>
      <c r="AD113">
        <f>HYPERLINK("https://klasma.github.io/Logging_0581/tillsynsmail/A 31335-2026 tillsynsbegäran mail.docx", "A 31335-2026")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46279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46279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S 7166-2022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44915</v>
      </c>
      <c r="E116" s="1" t="n">
        <v>46279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12.3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Tallticka
Aspvedgnagare</t>
        </is>
      </c>
      <c r="W116">
        <f>HYPERLINK("https://klasma.github.io/Logging_0581/artfynd/S 7166-2022 artfynd.xlsx", "S 7166-2022")</f>
        <v/>
      </c>
      <c r="X116">
        <f>HYPERLINK("https://klasma.github.io/Logging_0581/kartor/S 7166-2022 karta.png", "S 7166-2022")</f>
        <v/>
      </c>
      <c r="Y116">
        <f>HYPERLINK("https://klasma.github.io/Logging_0581/kartor_geotiff/S 7166-2022 georefererad karta.tif", "S 7166-2022")</f>
        <v/>
      </c>
      <c r="AA116">
        <f>HYPERLINK("https://klasma.github.io/Logging_0581/klagomål/S 7166-2022 FSC-klagomål.docx", "S 7166-2022")</f>
        <v/>
      </c>
      <c r="AB116">
        <f>HYPERLINK("https://klasma.github.io/Logging_0581/klagomålsmail/S 7166-2022 FSC-klagomål mail.docx", "S 7166-2022")</f>
        <v/>
      </c>
      <c r="AC116">
        <f>HYPERLINK("https://klasma.github.io/Logging_0581/tillsyn/S 7166-2022 tillsynsbegäran.docx", "S 7166-2022")</f>
        <v/>
      </c>
      <c r="AD116">
        <f>HYPERLINK("https://klasma.github.io/Logging_0581/tillsynsmail/S 7166-2022 tillsynsbegäran mail.docx", "S 7166-2022")</f>
        <v/>
      </c>
    </row>
    <row r="117" ht="15" customHeight="1">
      <c r="A117" t="inlineStr">
        <is>
          <t>S 1518-2025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45791</v>
      </c>
      <c r="E117" s="1" t="n">
        <v>46279</v>
      </c>
      <c r="F117" t="inlineStr">
        <is>
          <t>ÖSTERGÖTLANDS LÄN</t>
        </is>
      </c>
      <c r="G117" t="inlineStr">
        <is>
          <t>NORRKÖPING</t>
        </is>
      </c>
      <c r="I117" t="n">
        <v>3.6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Blåmossa
Revlummer</t>
        </is>
      </c>
      <c r="W117">
        <f>HYPERLINK("https://klasma.github.io/Logging_0581/artfynd/S 1518-2025 artfynd.xlsx", "S 1518-2025")</f>
        <v/>
      </c>
      <c r="X117">
        <f>HYPERLINK("https://klasma.github.io/Logging_0581/kartor/S 1518-2025 karta.png", "S 1518-2025")</f>
        <v/>
      </c>
      <c r="Y117">
        <f>HYPERLINK("https://klasma.github.io/Logging_0581/kartor_geotiff/S 1518-2025 georefererad karta.tif", "S 1518-2025")</f>
        <v/>
      </c>
      <c r="AA117">
        <f>HYPERLINK("https://klasma.github.io/Logging_0581/klagomål/S 1518-2025 FSC-klagomål.docx", "S 1518-2025")</f>
        <v/>
      </c>
      <c r="AB117">
        <f>HYPERLINK("https://klasma.github.io/Logging_0581/klagomålsmail/S 1518-2025 FSC-klagomål mail.docx", "S 1518-2025")</f>
        <v/>
      </c>
      <c r="AC117">
        <f>HYPERLINK("https://klasma.github.io/Logging_0581/tillsyn/S 1518-2025 tillsynsbegäran.docx", "S 1518-2025")</f>
        <v/>
      </c>
      <c r="AD117">
        <f>HYPERLINK("https://klasma.github.io/Logging_0581/tillsynsmail/S 1518-2025 tillsynsbegäran mail.docx", "S 1518-2025")</f>
        <v/>
      </c>
    </row>
    <row r="118" ht="15" customHeight="1">
      <c r="A118" t="inlineStr">
        <is>
          <t>S 2624-2025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45918</v>
      </c>
      <c r="E118" s="1" t="n">
        <v>46279</v>
      </c>
      <c r="F118" t="inlineStr">
        <is>
          <t>ÖSTERGÖTLANDS LÄN</t>
        </is>
      </c>
      <c r="G118" t="inlineStr">
        <is>
          <t>NORRKÖPING</t>
        </is>
      </c>
      <c r="I118" t="n">
        <v>2.8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Större vattensalamander
Mindre vattensalamander</t>
        </is>
      </c>
      <c r="W118">
        <f>HYPERLINK("https://klasma.github.io/Logging_0581/artfynd/S 2624-2025 artfynd.xlsx", "S 2624-2025")</f>
        <v/>
      </c>
      <c r="X118">
        <f>HYPERLINK("https://klasma.github.io/Logging_0581/kartor/S 2624-2025 karta.png", "S 2624-2025")</f>
        <v/>
      </c>
      <c r="Y118">
        <f>HYPERLINK("https://klasma.github.io/Logging_0581/kartor_geotiff/S 2624-2025 georefererad karta.tif", "S 2624-2025")</f>
        <v/>
      </c>
      <c r="AA118">
        <f>HYPERLINK("https://klasma.github.io/Logging_0581/klagomål/S 2624-2025 FSC-klagomål.docx", "S 2624-2025")</f>
        <v/>
      </c>
      <c r="AB118">
        <f>HYPERLINK("https://klasma.github.io/Logging_0581/klagomålsmail/S 2624-2025 FSC-klagomål mail.docx", "S 2624-2025")</f>
        <v/>
      </c>
      <c r="AC118">
        <f>HYPERLINK("https://klasma.github.io/Logging_0581/tillsyn/S 2624-2025 tillsynsbegäran.docx", "S 2624-2025")</f>
        <v/>
      </c>
      <c r="AD118">
        <f>HYPERLINK("https://klasma.github.io/Logging_0581/tillsynsmail/S 2624-2025 tillsynsbegäran mail.docx", "S 2624-2025")</f>
        <v/>
      </c>
    </row>
    <row r="119" ht="15" customHeight="1">
      <c r="A119" t="inlineStr">
        <is>
          <t>A 56584-2021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46279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Vätteros</t>
        </is>
      </c>
      <c r="W119">
        <f>HYPERLINK("https://klasma.github.io/Logging_0581/artfynd/A 56584-2021 artfynd.xlsx", "A 56584-2021")</f>
        <v/>
      </c>
      <c r="X119">
        <f>HYPERLINK("https://klasma.github.io/Logging_0581/kartor/A 56584-2021 karta.png", "A 56584-2021")</f>
        <v/>
      </c>
      <c r="Y119">
        <f>HYPERLINK("https://klasma.github.io/Logging_0581/kartor_geotiff/A 56584-2021 georefererad karta.tif", "A 56584-2021")</f>
        <v/>
      </c>
      <c r="AA119">
        <f>HYPERLINK("https://klasma.github.io/Logging_0581/klagomål/A 56584-2021 FSC-klagomål.docx", "A 56584-2021")</f>
        <v/>
      </c>
      <c r="AB119">
        <f>HYPERLINK("https://klasma.github.io/Logging_0581/klagomålsmail/A 56584-2021 FSC-klagomål mail.docx", "A 56584-2021")</f>
        <v/>
      </c>
      <c r="AC119">
        <f>HYPERLINK("https://klasma.github.io/Logging_0581/tillsyn/A 56584-2021 tillsynsbegäran.docx", "A 56584-2021")</f>
        <v/>
      </c>
      <c r="AD119">
        <f>HYPERLINK("https://klasma.github.io/Logging_0581/tillsynsmail/A 56584-2021 tillsynsbegäran mail.docx", "A 56584-2021")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46279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46279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46279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46279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46279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46279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31582-2023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46279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31582-2023 artfynd.xlsx", "A 31582-2023")</f>
        <v/>
      </c>
      <c r="X126">
        <f>HYPERLINK("https://klasma.github.io/Logging_0581/kartor/A 31582-2023 karta.png", "A 31582-2023")</f>
        <v/>
      </c>
      <c r="Y126">
        <f>HYPERLINK("https://klasma.github.io/Logging_0581/kartor_geotiff/A 31582-2023 georefererad karta.tif", "A 31582-2023")</f>
        <v/>
      </c>
      <c r="AA126">
        <f>HYPERLINK("https://klasma.github.io/Logging_0581/klagomål/A 31582-2023 FSC-klagomål.docx", "A 31582-2023")</f>
        <v/>
      </c>
      <c r="AB126">
        <f>HYPERLINK("https://klasma.github.io/Logging_0581/klagomålsmail/A 31582-2023 FSC-klagomål mail.docx", "A 31582-2023")</f>
        <v/>
      </c>
      <c r="AC126">
        <f>HYPERLINK("https://klasma.github.io/Logging_0581/tillsyn/A 31582-2023 tillsynsbegäran.docx", "A 31582-2023")</f>
        <v/>
      </c>
      <c r="AD126">
        <f>HYPERLINK("https://klasma.github.io/Logging_0581/tillsynsmail/A 31582-2023 tillsynsbegäran mail.docx", "A 31582-2023")</f>
        <v/>
      </c>
      <c r="AE126">
        <f>HYPERLINK("https://klasma.github.io/Logging_0581/fåglar/A 31582-2023 prioriterade fågelarter.docx", "A 31582-2023")</f>
        <v/>
      </c>
    </row>
    <row r="127" ht="15" customHeight="1">
      <c r="A127" t="inlineStr">
        <is>
          <t>A 31320-2025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46279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HYPERLINK("https://klasma.github.io/Logging_0581/artfynd/A 31320-2025 artfynd.xlsx", "A 31320-2025")</f>
        <v/>
      </c>
      <c r="X127">
        <f>HYPERLINK("https://klasma.github.io/Logging_0581/kartor/A 31320-2025 karta.png", "A 31320-2025")</f>
        <v/>
      </c>
      <c r="Y127">
        <f>HYPERLINK("https://klasma.github.io/Logging_0581/kartor_geotiff/A 31320-2025 georefererad karta.tif", "A 31320-2025")</f>
        <v/>
      </c>
      <c r="AA127">
        <f>HYPERLINK("https://klasma.github.io/Logging_0581/klagomål/A 31320-2025 FSC-klagomål.docx", "A 31320-2025")</f>
        <v/>
      </c>
      <c r="AB127">
        <f>HYPERLINK("https://klasma.github.io/Logging_0581/klagomålsmail/A 31320-2025 FSC-klagomål mail.docx", "A 31320-2025")</f>
        <v/>
      </c>
      <c r="AC127">
        <f>HYPERLINK("https://klasma.github.io/Logging_0581/tillsyn/A 31320-2025 tillsynsbegäran.docx", "A 31320-2025")</f>
        <v/>
      </c>
      <c r="AD127">
        <f>HYPERLINK("https://klasma.github.io/Logging_0581/tillsynsmail/A 31320-2025 tillsynsbegäran mail.docx", "A 31320-2025")</f>
        <v/>
      </c>
    </row>
    <row r="128" ht="15" customHeight="1">
      <c r="A128" t="inlineStr">
        <is>
          <t>A 62973-2021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44504</v>
      </c>
      <c r="E128" s="1" t="n">
        <v>46279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Krusfrö</t>
        </is>
      </c>
      <c r="W128">
        <f>HYPERLINK("https://klasma.github.io/Logging_0581/artfynd/A 62973-2021 artfynd.xlsx", "A 62973-2021")</f>
        <v/>
      </c>
      <c r="X128">
        <f>HYPERLINK("https://klasma.github.io/Logging_0581/kartor/A 62973-2021 karta.png", "A 62973-2021")</f>
        <v/>
      </c>
      <c r="Y128">
        <f>HYPERLINK("https://klasma.github.io/Logging_0581/kartor_geotiff/A 62973-2021 georefererad karta.tif", "A 62973-2021")</f>
        <v/>
      </c>
      <c r="AA128">
        <f>HYPERLINK("https://klasma.github.io/Logging_0581/klagomål/A 62973-2021 FSC-klagomål.docx", "A 62973-2021")</f>
        <v/>
      </c>
      <c r="AB128">
        <f>HYPERLINK("https://klasma.github.io/Logging_0581/klagomålsmail/A 62973-2021 FSC-klagomål mail.docx", "A 62973-2021")</f>
        <v/>
      </c>
      <c r="AC128">
        <f>HYPERLINK("https://klasma.github.io/Logging_0581/tillsyn/A 62973-2021 tillsynsbegäran.docx", "A 62973-2021")</f>
        <v/>
      </c>
      <c r="AD128">
        <f>HYPERLINK("https://klasma.github.io/Logging_0581/tillsynsmail/A 62973-2021 tillsynsbegäran mail.docx", "A 62973-2021")</f>
        <v/>
      </c>
    </row>
    <row r="129" ht="15" customHeight="1">
      <c r="A129" t="inlineStr">
        <is>
          <t>A 40053-2025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45894</v>
      </c>
      <c r="E129" s="1" t="n">
        <v>46279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Allmännings- och besparingsskogar</t>
        </is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HYPERLINK("https://klasma.github.io/Logging_0581/artfynd/A 40053-2025 artfynd.xlsx", "A 40053-2025")</f>
        <v/>
      </c>
      <c r="X129">
        <f>HYPERLINK("https://klasma.github.io/Logging_0581/kartor/A 40053-2025 karta.png", "A 40053-2025")</f>
        <v/>
      </c>
      <c r="Y129">
        <f>HYPERLINK("https://klasma.github.io/Logging_0581/kartor_geotiff/A 40053-2025 georefererad karta.tif", "A 40053-2025")</f>
        <v/>
      </c>
      <c r="AA129">
        <f>HYPERLINK("https://klasma.github.io/Logging_0581/klagomål/A 40053-2025 FSC-klagomål.docx", "A 40053-2025")</f>
        <v/>
      </c>
      <c r="AB129">
        <f>HYPERLINK("https://klasma.github.io/Logging_0581/klagomålsmail/A 40053-2025 FSC-klagomål mail.docx", "A 40053-2025")</f>
        <v/>
      </c>
      <c r="AC129">
        <f>HYPERLINK("https://klasma.github.io/Logging_0581/tillsyn/A 40053-2025 tillsynsbegäran.docx", "A 40053-2025")</f>
        <v/>
      </c>
      <c r="AD129">
        <f>HYPERLINK("https://klasma.github.io/Logging_0581/tillsynsmail/A 40053-2025 tillsynsbegäran mail.docx", "A 40053-2025")</f>
        <v/>
      </c>
    </row>
    <row r="130" ht="15" customHeight="1">
      <c r="A130" t="inlineStr">
        <is>
          <t>A 40095-2025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46279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40095-2025 artfynd.xlsx", "A 40095-2025")</f>
        <v/>
      </c>
      <c r="X130">
        <f>HYPERLINK("https://klasma.github.io/Logging_0581/kartor/A 40095-2025 karta.png", "A 40095-2025")</f>
        <v/>
      </c>
      <c r="Y130">
        <f>HYPERLINK("https://klasma.github.io/Logging_0581/kartor_geotiff/A 40095-2025 georefererad karta.tif", "A 40095-2025")</f>
        <v/>
      </c>
      <c r="AA130">
        <f>HYPERLINK("https://klasma.github.io/Logging_0581/klagomål/A 40095-2025 FSC-klagomål.docx", "A 40095-2025")</f>
        <v/>
      </c>
      <c r="AB130">
        <f>HYPERLINK("https://klasma.github.io/Logging_0581/klagomålsmail/A 40095-2025 FSC-klagomål mail.docx", "A 40095-2025")</f>
        <v/>
      </c>
      <c r="AC130">
        <f>HYPERLINK("https://klasma.github.io/Logging_0581/tillsyn/A 40095-2025 tillsynsbegäran.docx", "A 40095-2025")</f>
        <v/>
      </c>
      <c r="AD130">
        <f>HYPERLINK("https://klasma.github.io/Logging_0581/tillsynsmail/A 40095-2025 tillsynsbegäran mail.docx", "A 40095-2025")</f>
        <v/>
      </c>
      <c r="AE130">
        <f>HYPERLINK("https://klasma.github.io/Logging_0581/fåglar/A 40095-2025 prioriterade fågelarter.docx", "A 40095-2025")</f>
        <v/>
      </c>
    </row>
    <row r="131" ht="15" customHeight="1">
      <c r="A131" t="inlineStr">
        <is>
          <t>A 34078-2025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46279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HYPERLINK("https://klasma.github.io/Logging_0581/artfynd/A 34078-2025 artfynd.xlsx", "A 34078-2025")</f>
        <v/>
      </c>
      <c r="X131">
        <f>HYPERLINK("https://klasma.github.io/Logging_0581/kartor/A 34078-2025 karta.png", "A 34078-2025")</f>
        <v/>
      </c>
      <c r="Y131">
        <f>HYPERLINK("https://klasma.github.io/Logging_0581/kartor_geotiff/A 34078-2025 georefererad karta.tif", "A 34078-2025")</f>
        <v/>
      </c>
      <c r="AA131">
        <f>HYPERLINK("https://klasma.github.io/Logging_0581/klagomål/A 34078-2025 FSC-klagomål.docx", "A 34078-2025")</f>
        <v/>
      </c>
      <c r="AB131">
        <f>HYPERLINK("https://klasma.github.io/Logging_0581/klagomålsmail/A 34078-2025 FSC-klagomål mail.docx", "A 34078-2025")</f>
        <v/>
      </c>
      <c r="AC131">
        <f>HYPERLINK("https://klasma.github.io/Logging_0581/tillsyn/A 34078-2025 tillsynsbegäran.docx", "A 34078-2025")</f>
        <v/>
      </c>
      <c r="AD131">
        <f>HYPERLINK("https://klasma.github.io/Logging_0581/tillsynsmail/A 34078-2025 tillsynsbegäran mail.docx", "A 34078-2025")</f>
        <v/>
      </c>
      <c r="AE131">
        <f>HYPERLINK("https://klasma.github.io/Logging_0581/fåglar/A 34078-2025 prioriterade fågelarter.docx", "A 34078-2025")</f>
        <v/>
      </c>
    </row>
    <row r="132" ht="15" customHeight="1">
      <c r="A132" t="inlineStr">
        <is>
          <t>A 2545-2023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46279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Hasselticka</t>
        </is>
      </c>
      <c r="W132">
        <f>HYPERLINK("https://klasma.github.io/Logging_0581/artfynd/A 2545-2023 artfynd.xlsx", "A 2545-2023")</f>
        <v/>
      </c>
      <c r="X132">
        <f>HYPERLINK("https://klasma.github.io/Logging_0581/kartor/A 2545-2023 karta.png", "A 2545-2023")</f>
        <v/>
      </c>
      <c r="Y132">
        <f>HYPERLINK("https://klasma.github.io/Logging_0581/kartor_geotiff/A 2545-2023 georefererad karta.tif", "A 2545-2023")</f>
        <v/>
      </c>
      <c r="AA132">
        <f>HYPERLINK("https://klasma.github.io/Logging_0581/klagomål/A 2545-2023 FSC-klagomål.docx", "A 2545-2023")</f>
        <v/>
      </c>
      <c r="AB132">
        <f>HYPERLINK("https://klasma.github.io/Logging_0581/klagomålsmail/A 2545-2023 FSC-klagomål mail.docx", "A 2545-2023")</f>
        <v/>
      </c>
      <c r="AC132">
        <f>HYPERLINK("https://klasma.github.io/Logging_0581/tillsyn/A 2545-2023 tillsynsbegäran.docx", "A 2545-2023")</f>
        <v/>
      </c>
      <c r="AD132">
        <f>HYPERLINK("https://klasma.github.io/Logging_0581/tillsynsmail/A 2545-2023 tillsynsbegäran mail.docx", "A 2545-2023")</f>
        <v/>
      </c>
    </row>
    <row r="133" ht="15" customHeight="1">
      <c r="A133" t="inlineStr">
        <is>
          <t>A 58711-2023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46279</v>
      </c>
      <c r="F133" t="inlineStr">
        <is>
          <t>ÖSTERGÖTLANDS LÄN</t>
        </is>
      </c>
      <c r="G133" t="inlineStr">
        <is>
          <t>NORRKÖPING</t>
        </is>
      </c>
      <c r="I133" t="n">
        <v>4.3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Ängsskära</t>
        </is>
      </c>
      <c r="W133">
        <f>HYPERLINK("https://klasma.github.io/Logging_0581/artfynd/A 58711-2023 artfynd.xlsx", "A 58711-2023")</f>
        <v/>
      </c>
      <c r="X133">
        <f>HYPERLINK("https://klasma.github.io/Logging_0581/kartor/A 58711-2023 karta.png", "A 58711-2023")</f>
        <v/>
      </c>
      <c r="Y133">
        <f>HYPERLINK("https://klasma.github.io/Logging_0581/kartor_geotiff/A 58711-2023 georefererad karta.tif", "A 58711-2023")</f>
        <v/>
      </c>
      <c r="AA133">
        <f>HYPERLINK("https://klasma.github.io/Logging_0581/klagomål/A 58711-2023 FSC-klagomål.docx", "A 58711-2023")</f>
        <v/>
      </c>
      <c r="AB133">
        <f>HYPERLINK("https://klasma.github.io/Logging_0581/klagomålsmail/A 58711-2023 FSC-klagomål mail.docx", "A 58711-2023")</f>
        <v/>
      </c>
      <c r="AC133">
        <f>HYPERLINK("https://klasma.github.io/Logging_0581/tillsyn/A 58711-2023 tillsynsbegäran.docx", "A 58711-2023")</f>
        <v/>
      </c>
      <c r="AD133">
        <f>HYPERLINK("https://klasma.github.io/Logging_0581/tillsynsmail/A 58711-2023 tillsynsbegäran mail.docx", "A 58711-2023")</f>
        <v/>
      </c>
    </row>
    <row r="134" ht="15" customHeight="1">
      <c r="A134" t="inlineStr">
        <is>
          <t>A 42233-2025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46279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HYPERLINK("https://klasma.github.io/Logging_0581/artfynd/A 42233-2025 artfynd.xlsx", "A 42233-2025")</f>
        <v/>
      </c>
      <c r="X134">
        <f>HYPERLINK("https://klasma.github.io/Logging_0581/kartor/A 42233-2025 karta.png", "A 42233-2025")</f>
        <v/>
      </c>
      <c r="Y134">
        <f>HYPERLINK("https://klasma.github.io/Logging_0581/kartor_geotiff/A 42233-2025 georefererad karta.tif", "A 42233-2025")</f>
        <v/>
      </c>
      <c r="AA134">
        <f>HYPERLINK("https://klasma.github.io/Logging_0581/klagomål/A 42233-2025 FSC-klagomål.docx", "A 42233-2025")</f>
        <v/>
      </c>
      <c r="AB134">
        <f>HYPERLINK("https://klasma.github.io/Logging_0581/klagomålsmail/A 42233-2025 FSC-klagomål mail.docx", "A 42233-2025")</f>
        <v/>
      </c>
      <c r="AC134">
        <f>HYPERLINK("https://klasma.github.io/Logging_0581/tillsyn/A 42233-2025 tillsynsbegäran.docx", "A 42233-2025")</f>
        <v/>
      </c>
      <c r="AD134">
        <f>HYPERLINK("https://klasma.github.io/Logging_0581/tillsynsmail/A 42233-2025 tillsynsbegäran mail.docx", "A 42233-2025")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46279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24629-2025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46279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Kråka</t>
        </is>
      </c>
      <c r="W136">
        <f>HYPERLINK("https://klasma.github.io/Logging_0581/artfynd/A 24629-2025 artfynd.xlsx", "A 24629-2025")</f>
        <v/>
      </c>
      <c r="X136">
        <f>HYPERLINK("https://klasma.github.io/Logging_0581/kartor/A 24629-2025 karta.png", "A 24629-2025")</f>
        <v/>
      </c>
      <c r="Y136">
        <f>HYPERLINK("https://klasma.github.io/Logging_0581/kartor_geotiff/A 24629-2025 georefererad karta.tif", "A 24629-2025")</f>
        <v/>
      </c>
      <c r="AA136">
        <f>HYPERLINK("https://klasma.github.io/Logging_0581/klagomål/A 24629-2025 FSC-klagomål.docx", "A 24629-2025")</f>
        <v/>
      </c>
      <c r="AB136">
        <f>HYPERLINK("https://klasma.github.io/Logging_0581/klagomålsmail/A 24629-2025 FSC-klagomål mail.docx", "A 24629-2025")</f>
        <v/>
      </c>
      <c r="AC136">
        <f>HYPERLINK("https://klasma.github.io/Logging_0581/tillsyn/A 24629-2025 tillsynsbegäran.docx", "A 24629-2025")</f>
        <v/>
      </c>
      <c r="AD136">
        <f>HYPERLINK("https://klasma.github.io/Logging_0581/tillsynsmail/A 24629-2025 tillsynsbegäran mail.docx", "A 24629-2025")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46279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46279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46279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46279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19995-2025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46279</v>
      </c>
      <c r="F141" t="inlineStr">
        <is>
          <t>ÖSTERGÖTLANDS LÄN</t>
        </is>
      </c>
      <c r="G141" t="inlineStr">
        <is>
          <t>NORRKÖPING</t>
        </is>
      </c>
      <c r="I141" t="n">
        <v>1.1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Blomkålssvamp</t>
        </is>
      </c>
      <c r="W141">
        <f>HYPERLINK("https://klasma.github.io/Logging_0581/artfynd/A 19995-2025 artfynd.xlsx", "A 19995-2025")</f>
        <v/>
      </c>
      <c r="X141">
        <f>HYPERLINK("https://klasma.github.io/Logging_0581/kartor/A 19995-2025 karta.png", "A 19995-2025")</f>
        <v/>
      </c>
      <c r="Y141">
        <f>HYPERLINK("https://klasma.github.io/Logging_0581/kartor_geotiff/A 19995-2025 georefererad karta.tif", "A 19995-2025")</f>
        <v/>
      </c>
      <c r="AA141">
        <f>HYPERLINK("https://klasma.github.io/Logging_0581/klagomål/A 19995-2025 FSC-klagomål.docx", "A 19995-2025")</f>
        <v/>
      </c>
      <c r="AB141">
        <f>HYPERLINK("https://klasma.github.io/Logging_0581/klagomålsmail/A 19995-2025 FSC-klagomål mail.docx", "A 19995-2025")</f>
        <v/>
      </c>
      <c r="AC141">
        <f>HYPERLINK("https://klasma.github.io/Logging_0581/tillsyn/A 19995-2025 tillsynsbegäran.docx", "A 19995-2025")</f>
        <v/>
      </c>
      <c r="AD141">
        <f>HYPERLINK("https://klasma.github.io/Logging_0581/tillsynsmail/A 19995-2025 tillsynsbegäran mail.docx", "A 19995-2025")</f>
        <v/>
      </c>
    </row>
    <row r="142" ht="15" customHeight="1">
      <c r="A142" t="inlineStr">
        <is>
          <t>A 46201-2025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46279</v>
      </c>
      <c r="F142" t="inlineStr">
        <is>
          <t>ÖSTERGÖTLANDS LÄN</t>
        </is>
      </c>
      <c r="G142" t="inlineStr">
        <is>
          <t>NORRKÖPING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Hasselticka</t>
        </is>
      </c>
      <c r="W142">
        <f>HYPERLINK("https://klasma.github.io/Logging_0581/artfynd/A 46201-2025 artfynd.xlsx", "A 46201-2025")</f>
        <v/>
      </c>
      <c r="X142">
        <f>HYPERLINK("https://klasma.github.io/Logging_0581/kartor/A 46201-2025 karta.png", "A 46201-2025")</f>
        <v/>
      </c>
      <c r="Y142">
        <f>HYPERLINK("https://klasma.github.io/Logging_0581/kartor_geotiff/A 46201-2025 georefererad karta.tif", "A 46201-2025")</f>
        <v/>
      </c>
      <c r="AA142">
        <f>HYPERLINK("https://klasma.github.io/Logging_0581/klagomål/A 46201-2025 FSC-klagomål.docx", "A 46201-2025")</f>
        <v/>
      </c>
      <c r="AB142">
        <f>HYPERLINK("https://klasma.github.io/Logging_0581/klagomålsmail/A 46201-2025 FSC-klagomål mail.docx", "A 46201-2025")</f>
        <v/>
      </c>
      <c r="AC142">
        <f>HYPERLINK("https://klasma.github.io/Logging_0581/tillsyn/A 46201-2025 tillsynsbegäran.docx", "A 46201-2025")</f>
        <v/>
      </c>
      <c r="AD142">
        <f>HYPERLINK("https://klasma.github.io/Logging_0581/tillsynsmail/A 46201-2025 tillsynsbegäran mail.docx", "A 46201-2025")</f>
        <v/>
      </c>
    </row>
    <row r="143" ht="15" customHeight="1">
      <c r="A143" t="inlineStr">
        <is>
          <t>A 11126-2026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46279</v>
      </c>
      <c r="F143" t="inlineStr">
        <is>
          <t>ÖSTERGÖTLANDS LÄN</t>
        </is>
      </c>
      <c r="G143" t="inlineStr">
        <is>
          <t>NORRKÖPING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Svinrot</t>
        </is>
      </c>
      <c r="W143">
        <f>HYPERLINK("https://klasma.github.io/Logging_0581/artfynd/A 11126-2026 artfynd.xlsx", "A 11126-2026")</f>
        <v/>
      </c>
      <c r="X143">
        <f>HYPERLINK("https://klasma.github.io/Logging_0581/kartor/A 11126-2026 karta.png", "A 11126-2026")</f>
        <v/>
      </c>
      <c r="Y143">
        <f>HYPERLINK("https://klasma.github.io/Logging_0581/kartor_geotiff/A 11126-2026 georefererad karta.tif", "A 11126-2026")</f>
        <v/>
      </c>
      <c r="AA143">
        <f>HYPERLINK("https://klasma.github.io/Logging_0581/klagomål/A 11126-2026 FSC-klagomål.docx", "A 11126-2026")</f>
        <v/>
      </c>
      <c r="AB143">
        <f>HYPERLINK("https://klasma.github.io/Logging_0581/klagomålsmail/A 11126-2026 FSC-klagomål mail.docx", "A 11126-2026")</f>
        <v/>
      </c>
      <c r="AC143">
        <f>HYPERLINK("https://klasma.github.io/Logging_0581/tillsyn/A 11126-2026 tillsynsbegäran.docx", "A 11126-2026")</f>
        <v/>
      </c>
      <c r="AD143">
        <f>HYPERLINK("https://klasma.github.io/Logging_0581/tillsynsmail/A 11126-2026 tillsynsbegäran mail.docx", "A 11126-2026")</f>
        <v/>
      </c>
    </row>
    <row r="144" ht="15" customHeight="1">
      <c r="A144" t="inlineStr">
        <is>
          <t>A 60899-2024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46279</v>
      </c>
      <c r="F144" t="inlineStr">
        <is>
          <t>ÖSTERGÖTLANDS LÄN</t>
        </is>
      </c>
      <c r="G144" t="inlineStr">
        <is>
          <t>NORRKÖPING</t>
        </is>
      </c>
      <c r="I144" t="n">
        <v>2.4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HYPERLINK("https://klasma.github.io/Logging_0581/artfynd/A 60899-2024 artfynd.xlsx", "A 60899-2024")</f>
        <v/>
      </c>
      <c r="X144">
        <f>HYPERLINK("https://klasma.github.io/Logging_0581/kartor/A 60899-2024 karta.png", "A 60899-2024")</f>
        <v/>
      </c>
      <c r="Y144">
        <f>HYPERLINK("https://klasma.github.io/Logging_0581/kartor_geotiff/A 60899-2024 georefererad karta.tif", "A 60899-2024")</f>
        <v/>
      </c>
      <c r="AA144">
        <f>HYPERLINK("https://klasma.github.io/Logging_0581/klagomål/A 60899-2024 FSC-klagomål.docx", "A 60899-2024")</f>
        <v/>
      </c>
      <c r="AB144">
        <f>HYPERLINK("https://klasma.github.io/Logging_0581/klagomålsmail/A 60899-2024 FSC-klagomål mail.docx", "A 60899-2024")</f>
        <v/>
      </c>
      <c r="AC144">
        <f>HYPERLINK("https://klasma.github.io/Logging_0581/tillsyn/A 60899-2024 tillsynsbegäran.docx", "A 60899-2024")</f>
        <v/>
      </c>
      <c r="AD144">
        <f>HYPERLINK("https://klasma.github.io/Logging_0581/tillsynsmail/A 60899-2024 tillsynsbegäran mail.docx", "A 60899-2024")</f>
        <v/>
      </c>
    </row>
    <row r="145" ht="15" customHeight="1">
      <c r="A145" t="inlineStr">
        <is>
          <t>A 11714-2026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46279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2.9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Gulsparv</t>
        </is>
      </c>
      <c r="W145">
        <f>HYPERLINK("https://klasma.github.io/Logging_0581/artfynd/A 11714-2026 artfynd.xlsx", "A 11714-2026")</f>
        <v/>
      </c>
      <c r="X145">
        <f>HYPERLINK("https://klasma.github.io/Logging_0581/kartor/A 11714-2026 karta.png", "A 11714-2026")</f>
        <v/>
      </c>
      <c r="Y145">
        <f>HYPERLINK("https://klasma.github.io/Logging_0581/kartor_geotiff/A 11714-2026 georefererad karta.tif", "A 11714-2026")</f>
        <v/>
      </c>
      <c r="AA145">
        <f>HYPERLINK("https://klasma.github.io/Logging_0581/klagomål/A 11714-2026 FSC-klagomål.docx", "A 11714-2026")</f>
        <v/>
      </c>
      <c r="AB145">
        <f>HYPERLINK("https://klasma.github.io/Logging_0581/klagomålsmail/A 11714-2026 FSC-klagomål mail.docx", "A 11714-2026")</f>
        <v/>
      </c>
      <c r="AC145">
        <f>HYPERLINK("https://klasma.github.io/Logging_0581/tillsyn/A 11714-2026 tillsynsbegäran.docx", "A 11714-2026")</f>
        <v/>
      </c>
      <c r="AD145">
        <f>HYPERLINK("https://klasma.github.io/Logging_0581/tillsynsmail/A 11714-2026 tillsynsbegäran mail.docx", "A 11714-2026")</f>
        <v/>
      </c>
      <c r="AE145">
        <f>HYPERLINK("https://klasma.github.io/Logging_0581/fåglar/A 11714-2026 prioriterade fågelarter.docx", "A 11714-2026")</f>
        <v/>
      </c>
    </row>
    <row r="146" ht="15" customHeight="1">
      <c r="A146" t="inlineStr">
        <is>
          <t>A 27236-2023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46279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HYPERLINK("https://klasma.github.io/Logging_0581/artfynd/A 27236-2023 artfynd.xlsx", "A 27236-2023")</f>
        <v/>
      </c>
      <c r="X146">
        <f>HYPERLINK("https://klasma.github.io/Logging_0581/kartor/A 27236-2023 karta.png", "A 27236-2023")</f>
        <v/>
      </c>
      <c r="Y146">
        <f>HYPERLINK("https://klasma.github.io/Logging_0581/kartor_geotiff/A 27236-2023 georefererad karta.tif", "A 27236-2023")</f>
        <v/>
      </c>
      <c r="AA146">
        <f>HYPERLINK("https://klasma.github.io/Logging_0581/klagomål/A 27236-2023 FSC-klagomål.docx", "A 27236-2023")</f>
        <v/>
      </c>
      <c r="AB146">
        <f>HYPERLINK("https://klasma.github.io/Logging_0581/klagomålsmail/A 27236-2023 FSC-klagomål mail.docx", "A 27236-2023")</f>
        <v/>
      </c>
      <c r="AC146">
        <f>HYPERLINK("https://klasma.github.io/Logging_0581/tillsyn/A 27236-2023 tillsynsbegäran.docx", "A 27236-2023")</f>
        <v/>
      </c>
      <c r="AD146">
        <f>HYPERLINK("https://klasma.github.io/Logging_0581/tillsynsmail/A 27236-2023 tillsynsbegäran mail.docx", "A 27236-2023")</f>
        <v/>
      </c>
    </row>
    <row r="147" ht="15" customHeight="1">
      <c r="A147" t="inlineStr">
        <is>
          <t>A 31659-2023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46279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HYPERLINK("https://klasma.github.io/Logging_0581/artfynd/A 31659-2023 artfynd.xlsx", "A 31659-2023")</f>
        <v/>
      </c>
      <c r="X147">
        <f>HYPERLINK("https://klasma.github.io/Logging_0581/kartor/A 31659-2023 karta.png", "A 31659-2023")</f>
        <v/>
      </c>
      <c r="Y147">
        <f>HYPERLINK("https://klasma.github.io/Logging_0581/kartor_geotiff/A 31659-2023 georefererad karta.tif", "A 31659-2023")</f>
        <v/>
      </c>
      <c r="AA147">
        <f>HYPERLINK("https://klasma.github.io/Logging_0581/klagomål/A 31659-2023 FSC-klagomål.docx", "A 31659-2023")</f>
        <v/>
      </c>
      <c r="AB147">
        <f>HYPERLINK("https://klasma.github.io/Logging_0581/klagomålsmail/A 31659-2023 FSC-klagomål mail.docx", "A 31659-2023")</f>
        <v/>
      </c>
      <c r="AC147">
        <f>HYPERLINK("https://klasma.github.io/Logging_0581/tillsyn/A 31659-2023 tillsynsbegäran.docx", "A 31659-2023")</f>
        <v/>
      </c>
      <c r="AD147">
        <f>HYPERLINK("https://klasma.github.io/Logging_0581/tillsynsmail/A 31659-2023 tillsynsbegäran mail.docx", "A 31659-2023")</f>
        <v/>
      </c>
      <c r="AE147">
        <f>HYPERLINK("https://klasma.github.io/Logging_0581/fåglar/A 31659-2023 prioriterade fågelarter.docx", "A 31659-2023")</f>
        <v/>
      </c>
    </row>
    <row r="148" ht="15" customHeight="1">
      <c r="A148" t="inlineStr">
        <is>
          <t>A 7317-2025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46279</v>
      </c>
      <c r="F148" t="inlineStr">
        <is>
          <t>ÖSTERGÖTLANDS LÄN</t>
        </is>
      </c>
      <c r="G148" t="inlineStr">
        <is>
          <t>NORRKÖPING</t>
        </is>
      </c>
      <c r="I148" t="n">
        <v>1.4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Backklöver</t>
        </is>
      </c>
      <c r="W148">
        <f>HYPERLINK("https://klasma.github.io/Logging_0581/artfynd/A 7317-2025 artfynd.xlsx", "A 7317-2025")</f>
        <v/>
      </c>
      <c r="X148">
        <f>HYPERLINK("https://klasma.github.io/Logging_0581/kartor/A 7317-2025 karta.png", "A 7317-2025")</f>
        <v/>
      </c>
      <c r="Y148">
        <f>HYPERLINK("https://klasma.github.io/Logging_0581/kartor_geotiff/A 7317-2025 georefererad karta.tif", "A 7317-2025")</f>
        <v/>
      </c>
      <c r="AA148">
        <f>HYPERLINK("https://klasma.github.io/Logging_0581/klagomål/A 7317-2025 FSC-klagomål.docx", "A 7317-2025")</f>
        <v/>
      </c>
      <c r="AB148">
        <f>HYPERLINK("https://klasma.github.io/Logging_0581/klagomålsmail/A 7317-2025 FSC-klagomål mail.docx", "A 7317-2025")</f>
        <v/>
      </c>
      <c r="AC148">
        <f>HYPERLINK("https://klasma.github.io/Logging_0581/tillsyn/A 7317-2025 tillsynsbegäran.docx", "A 7317-2025")</f>
        <v/>
      </c>
      <c r="AD148">
        <f>HYPERLINK("https://klasma.github.io/Logging_0581/tillsynsmail/A 7317-2025 tillsynsbegäran mail.docx", "A 7317-2025")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46279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46279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16610-2024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46279</v>
      </c>
      <c r="F151" t="inlineStr">
        <is>
          <t>ÖSTERGÖTLANDS LÄN</t>
        </is>
      </c>
      <c r="G151" t="inlineStr">
        <is>
          <t>NORRKÖPING</t>
        </is>
      </c>
      <c r="I151" t="n">
        <v>5.8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Knärot</t>
        </is>
      </c>
      <c r="W151">
        <f>HYPERLINK("https://klasma.github.io/Logging_0581/artfynd/A 16610-2024 artfynd.xlsx", "A 16610-2024")</f>
        <v/>
      </c>
      <c r="X151">
        <f>HYPERLINK("https://klasma.github.io/Logging_0581/kartor/A 16610-2024 karta.png", "A 16610-2024")</f>
        <v/>
      </c>
      <c r="Y151">
        <f>HYPERLINK("https://klasma.github.io/Logging_0581/kartor_geotiff/A 16610-2024 georefererad karta.tif", "A 16610-2024")</f>
        <v/>
      </c>
      <c r="Z151">
        <f>HYPERLINK("https://klasma.github.io/Logging_0581/knärot/A 16610-2024 karta knärot.png", "A 16610-2024")</f>
        <v/>
      </c>
      <c r="AA151">
        <f>HYPERLINK("https://klasma.github.io/Logging_0581/klagomål/A 16610-2024 FSC-klagomål.docx", "A 16610-2024")</f>
        <v/>
      </c>
      <c r="AB151">
        <f>HYPERLINK("https://klasma.github.io/Logging_0581/klagomålsmail/A 16610-2024 FSC-klagomål mail.docx", "A 16610-2024")</f>
        <v/>
      </c>
      <c r="AC151">
        <f>HYPERLINK("https://klasma.github.io/Logging_0581/tillsyn/A 16610-2024 tillsynsbegäran.docx", "A 16610-2024")</f>
        <v/>
      </c>
      <c r="AD151">
        <f>HYPERLINK("https://klasma.github.io/Logging_0581/tillsynsmail/A 16610-2024 tillsynsbegäran mail.docx", "A 16610-2024")</f>
        <v/>
      </c>
    </row>
    <row r="152" ht="15" customHeight="1">
      <c r="A152" t="inlineStr">
        <is>
          <t>A 2832-2026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46279</v>
      </c>
      <c r="F152" t="inlineStr">
        <is>
          <t>ÖSTERGÖTLANDS LÄN</t>
        </is>
      </c>
      <c r="G152" t="inlineStr">
        <is>
          <t>NORRKÖPING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Grönpyrola</t>
        </is>
      </c>
      <c r="W152">
        <f>HYPERLINK("https://klasma.github.io/Logging_0581/artfynd/A 2832-2026 artfynd.xlsx", "A 2832-2026")</f>
        <v/>
      </c>
      <c r="X152">
        <f>HYPERLINK("https://klasma.github.io/Logging_0581/kartor/A 2832-2026 karta.png", "A 2832-2026")</f>
        <v/>
      </c>
      <c r="Y152">
        <f>HYPERLINK("https://klasma.github.io/Logging_0581/kartor_geotiff/A 2832-2026 georefererad karta.tif", "A 2832-2026")</f>
        <v/>
      </c>
      <c r="AA152">
        <f>HYPERLINK("https://klasma.github.io/Logging_0581/klagomål/A 2832-2026 FSC-klagomål.docx", "A 2832-2026")</f>
        <v/>
      </c>
      <c r="AB152">
        <f>HYPERLINK("https://klasma.github.io/Logging_0581/klagomålsmail/A 2832-2026 FSC-klagomål mail.docx", "A 2832-2026")</f>
        <v/>
      </c>
      <c r="AC152">
        <f>HYPERLINK("https://klasma.github.io/Logging_0581/tillsyn/A 2832-2026 tillsynsbegäran.docx", "A 2832-2026")</f>
        <v/>
      </c>
      <c r="AD152">
        <f>HYPERLINK("https://klasma.github.io/Logging_0581/tillsynsmail/A 2832-2026 tillsynsbegäran mail.docx", "A 2832-2026")</f>
        <v/>
      </c>
    </row>
    <row r="153" ht="15" customHeight="1">
      <c r="A153" t="inlineStr">
        <is>
          <t>A 20170-2026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46139</v>
      </c>
      <c r="E153" s="1" t="n">
        <v>46279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Igelkott</t>
        </is>
      </c>
      <c r="W153">
        <f>HYPERLINK("https://klasma.github.io/Logging_0581/artfynd/A 20170-2026 artfynd.xlsx", "A 20170-2026")</f>
        <v/>
      </c>
      <c r="X153">
        <f>HYPERLINK("https://klasma.github.io/Logging_0581/kartor/A 20170-2026 karta.png", "A 20170-2026")</f>
        <v/>
      </c>
      <c r="Y153">
        <f>HYPERLINK("https://klasma.github.io/Logging_0581/kartor_geotiff/A 20170-2026 georefererad karta.tif", "A 20170-2026")</f>
        <v/>
      </c>
      <c r="AA153">
        <f>HYPERLINK("https://klasma.github.io/Logging_0581/klagomål/A 20170-2026 FSC-klagomål.docx", "A 20170-2026")</f>
        <v/>
      </c>
      <c r="AB153">
        <f>HYPERLINK("https://klasma.github.io/Logging_0581/klagomålsmail/A 20170-2026 FSC-klagomål mail.docx", "A 20170-2026")</f>
        <v/>
      </c>
      <c r="AC153">
        <f>HYPERLINK("https://klasma.github.io/Logging_0581/tillsyn/A 20170-2026 tillsynsbegäran.docx", "A 20170-2026")</f>
        <v/>
      </c>
      <c r="AD153">
        <f>HYPERLINK("https://klasma.github.io/Logging_0581/tillsynsmail/A 20170-2026 tillsynsbegäran mail.docx", "A 20170-2026")</f>
        <v/>
      </c>
    </row>
    <row r="154" ht="15" customHeight="1">
      <c r="A154" t="inlineStr">
        <is>
          <t>A 12145-2024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46279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Gullgröppa</t>
        </is>
      </c>
      <c r="W154">
        <f>HYPERLINK("https://klasma.github.io/Logging_0581/artfynd/A 12145-2024 artfynd.xlsx", "A 12145-2024")</f>
        <v/>
      </c>
      <c r="X154">
        <f>HYPERLINK("https://klasma.github.io/Logging_0581/kartor/A 12145-2024 karta.png", "A 12145-2024")</f>
        <v/>
      </c>
      <c r="Y154">
        <f>HYPERLINK("https://klasma.github.io/Logging_0581/kartor_geotiff/A 12145-2024 georefererad karta.tif", "A 12145-2024")</f>
        <v/>
      </c>
      <c r="AA154">
        <f>HYPERLINK("https://klasma.github.io/Logging_0581/klagomål/A 12145-2024 FSC-klagomål.docx", "A 12145-2024")</f>
        <v/>
      </c>
      <c r="AB154">
        <f>HYPERLINK("https://klasma.github.io/Logging_0581/klagomålsmail/A 12145-2024 FSC-klagomål mail.docx", "A 12145-2024")</f>
        <v/>
      </c>
      <c r="AC154">
        <f>HYPERLINK("https://klasma.github.io/Logging_0581/tillsyn/A 12145-2024 tillsynsbegäran.docx", "A 12145-2024")</f>
        <v/>
      </c>
      <c r="AD154">
        <f>HYPERLINK("https://klasma.github.io/Logging_0581/tillsynsmail/A 12145-2024 tillsynsbegäran mail.docx", "A 12145-2024")</f>
        <v/>
      </c>
    </row>
    <row r="155" ht="15" customHeight="1">
      <c r="A155" t="inlineStr">
        <is>
          <t>A 9790-2024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46279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HYPERLINK("https://klasma.github.io/Logging_0581/artfynd/A 9790-2024 artfynd.xlsx", "A 9790-2024")</f>
        <v/>
      </c>
      <c r="X155">
        <f>HYPERLINK("https://klasma.github.io/Logging_0581/kartor/A 9790-2024 karta.png", "A 9790-2024")</f>
        <v/>
      </c>
      <c r="Y155">
        <f>HYPERLINK("https://klasma.github.io/Logging_0581/kartor_geotiff/A 9790-2024 georefererad karta.tif", "A 9790-2024")</f>
        <v/>
      </c>
      <c r="AA155">
        <f>HYPERLINK("https://klasma.github.io/Logging_0581/klagomål/A 9790-2024 FSC-klagomål.docx", "A 9790-2024")</f>
        <v/>
      </c>
      <c r="AB155">
        <f>HYPERLINK("https://klasma.github.io/Logging_0581/klagomålsmail/A 9790-2024 FSC-klagomål mail.docx", "A 9790-2024")</f>
        <v/>
      </c>
      <c r="AC155">
        <f>HYPERLINK("https://klasma.github.io/Logging_0581/tillsyn/A 9790-2024 tillsynsbegäran.docx", "A 9790-2024")</f>
        <v/>
      </c>
      <c r="AD155">
        <f>HYPERLINK("https://klasma.github.io/Logging_0581/tillsynsmail/A 9790-2024 tillsynsbegäran mail.docx", "A 9790-2024")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46279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46279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46279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25707-2026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46279</v>
      </c>
      <c r="F159" t="inlineStr">
        <is>
          <t>ÖSTERGÖTLANDS LÄN</t>
        </is>
      </c>
      <c r="G159" t="inlineStr">
        <is>
          <t>NORRKÖPING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Tallticka</t>
        </is>
      </c>
      <c r="W159">
        <f>HYPERLINK("https://klasma.github.io/Logging_0581/artfynd/A 25707-2026 artfynd.xlsx", "A 25707-2026")</f>
        <v/>
      </c>
      <c r="X159">
        <f>HYPERLINK("https://klasma.github.io/Logging_0581/kartor/A 25707-2026 karta.png", "A 25707-2026")</f>
        <v/>
      </c>
      <c r="Y159">
        <f>HYPERLINK("https://klasma.github.io/Logging_0581/kartor_geotiff/A 25707-2026 georefererad karta.tif", "A 25707-2026")</f>
        <v/>
      </c>
      <c r="AA159">
        <f>HYPERLINK("https://klasma.github.io/Logging_0581/klagomål/A 25707-2026 FSC-klagomål.docx", "A 25707-2026")</f>
        <v/>
      </c>
      <c r="AB159">
        <f>HYPERLINK("https://klasma.github.io/Logging_0581/klagomålsmail/A 25707-2026 FSC-klagomål mail.docx", "A 25707-2026")</f>
        <v/>
      </c>
      <c r="AC159">
        <f>HYPERLINK("https://klasma.github.io/Logging_0581/tillsyn/A 25707-2026 tillsynsbegäran.docx", "A 25707-2026")</f>
        <v/>
      </c>
      <c r="AD159">
        <f>HYPERLINK("https://klasma.github.io/Logging_0581/tillsynsmail/A 25707-2026 tillsynsbegäran mail.docx", "A 25707-2026")</f>
        <v/>
      </c>
    </row>
    <row r="160" ht="15" customHeight="1">
      <c r="A160" t="inlineStr">
        <is>
          <t>A 8245-2023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46279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Svedjenäva</t>
        </is>
      </c>
      <c r="W160">
        <f>HYPERLINK("https://klasma.github.io/Logging_0581/artfynd/A 8245-2023 artfynd.xlsx", "A 8245-2023")</f>
        <v/>
      </c>
      <c r="X160">
        <f>HYPERLINK("https://klasma.github.io/Logging_0581/kartor/A 8245-2023 karta.png", "A 8245-2023")</f>
        <v/>
      </c>
      <c r="Y160">
        <f>HYPERLINK("https://klasma.github.io/Logging_0581/kartor_geotiff/A 8245-2023 georefererad karta.tif", "A 8245-2023")</f>
        <v/>
      </c>
      <c r="AA160">
        <f>HYPERLINK("https://klasma.github.io/Logging_0581/klagomål/A 8245-2023 FSC-klagomål.docx", "A 8245-2023")</f>
        <v/>
      </c>
      <c r="AB160">
        <f>HYPERLINK("https://klasma.github.io/Logging_0581/klagomålsmail/A 8245-2023 FSC-klagomål mail.docx", "A 8245-2023")</f>
        <v/>
      </c>
      <c r="AC160">
        <f>HYPERLINK("https://klasma.github.io/Logging_0581/tillsyn/A 8245-2023 tillsynsbegäran.docx", "A 8245-2023")</f>
        <v/>
      </c>
      <c r="AD160">
        <f>HYPERLINK("https://klasma.github.io/Logging_0581/tillsynsmail/A 8245-2023 tillsynsbegäran mail.docx", "A 8245-2023")</f>
        <v/>
      </c>
    </row>
    <row r="161" ht="15" customHeight="1">
      <c r="A161" t="inlineStr">
        <is>
          <t>A 31897-2022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44777</v>
      </c>
      <c r="E161" s="1" t="n">
        <v>46279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Kommuner</t>
        </is>
      </c>
      <c r="I161" t="n">
        <v>1.8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Grönpyrola</t>
        </is>
      </c>
      <c r="W161">
        <f>HYPERLINK("https://klasma.github.io/Logging_0581/artfynd/A 31897-2022 artfynd.xlsx", "A 31897-2022")</f>
        <v/>
      </c>
      <c r="X161">
        <f>HYPERLINK("https://klasma.github.io/Logging_0581/kartor/A 31897-2022 karta.png", "A 31897-2022")</f>
        <v/>
      </c>
      <c r="Y161">
        <f>HYPERLINK("https://klasma.github.io/Logging_0581/kartor_geotiff/A 31897-2022 georefererad karta.tif", "A 31897-2022")</f>
        <v/>
      </c>
      <c r="AA161">
        <f>HYPERLINK("https://klasma.github.io/Logging_0581/klagomål/A 31897-2022 FSC-klagomål.docx", "A 31897-2022")</f>
        <v/>
      </c>
      <c r="AB161">
        <f>HYPERLINK("https://klasma.github.io/Logging_0581/klagomålsmail/A 31897-2022 FSC-klagomål mail.docx", "A 31897-2022")</f>
        <v/>
      </c>
      <c r="AC161">
        <f>HYPERLINK("https://klasma.github.io/Logging_0581/tillsyn/A 31897-2022 tillsynsbegäran.docx", "A 31897-2022")</f>
        <v/>
      </c>
      <c r="AD161">
        <f>HYPERLINK("https://klasma.github.io/Logging_0581/tillsynsmail/A 31897-2022 tillsynsbegäran mail.docx", "A 31897-2022")</f>
        <v/>
      </c>
    </row>
    <row r="162" ht="15" customHeight="1">
      <c r="A162" t="inlineStr">
        <is>
          <t>A 18636-2023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46279</v>
      </c>
      <c r="F162" t="inlineStr">
        <is>
          <t>ÖSTERGÖTLANDS LÄN</t>
        </is>
      </c>
      <c r="G162" t="inlineStr">
        <is>
          <t>NORRKÖPING</t>
        </is>
      </c>
      <c r="I162" t="n">
        <v>5.7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Spillkråka</t>
        </is>
      </c>
      <c r="W162">
        <f>HYPERLINK("https://klasma.github.io/Logging_0581/artfynd/A 18636-2023 artfynd.xlsx", "A 18636-2023")</f>
        <v/>
      </c>
      <c r="X162">
        <f>HYPERLINK("https://klasma.github.io/Logging_0581/kartor/A 18636-2023 karta.png", "A 18636-2023")</f>
        <v/>
      </c>
      <c r="Y162">
        <f>HYPERLINK("https://klasma.github.io/Logging_0581/kartor_geotiff/A 18636-2023 georefererad karta.tif", "A 18636-2023")</f>
        <v/>
      </c>
      <c r="AA162">
        <f>HYPERLINK("https://klasma.github.io/Logging_0581/klagomål/A 18636-2023 FSC-klagomål.docx", "A 18636-2023")</f>
        <v/>
      </c>
      <c r="AB162">
        <f>HYPERLINK("https://klasma.github.io/Logging_0581/klagomålsmail/A 18636-2023 FSC-klagomål mail.docx", "A 18636-2023")</f>
        <v/>
      </c>
      <c r="AC162">
        <f>HYPERLINK("https://klasma.github.io/Logging_0581/tillsyn/A 18636-2023 tillsynsbegäran.docx", "A 18636-2023")</f>
        <v/>
      </c>
      <c r="AD162">
        <f>HYPERLINK("https://klasma.github.io/Logging_0581/tillsynsmail/A 18636-2023 tillsynsbegäran mail.docx", "A 18636-2023")</f>
        <v/>
      </c>
      <c r="AE162">
        <f>HYPERLINK("https://klasma.github.io/Logging_0581/fåglar/A 18636-2023 prioriterade fågelarter.docx", "A 18636-2023")</f>
        <v/>
      </c>
    </row>
    <row r="163" ht="15" customHeight="1">
      <c r="A163" t="inlineStr">
        <is>
          <t>A 57772-2022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46279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Fällmossa</t>
        </is>
      </c>
      <c r="W163">
        <f>HYPERLINK("https://klasma.github.io/Logging_0581/artfynd/A 57772-2022 artfynd.xlsx", "A 57772-2022")</f>
        <v/>
      </c>
      <c r="X163">
        <f>HYPERLINK("https://klasma.github.io/Logging_0581/kartor/A 57772-2022 karta.png", "A 57772-2022")</f>
        <v/>
      </c>
      <c r="Y163">
        <f>HYPERLINK("https://klasma.github.io/Logging_0581/kartor_geotiff/A 57772-2022 georefererad karta.tif", "A 57772-2022")</f>
        <v/>
      </c>
      <c r="AA163">
        <f>HYPERLINK("https://klasma.github.io/Logging_0581/klagomål/A 57772-2022 FSC-klagomål.docx", "A 57772-2022")</f>
        <v/>
      </c>
      <c r="AB163">
        <f>HYPERLINK("https://klasma.github.io/Logging_0581/klagomålsmail/A 57772-2022 FSC-klagomål mail.docx", "A 57772-2022")</f>
        <v/>
      </c>
      <c r="AC163">
        <f>HYPERLINK("https://klasma.github.io/Logging_0581/tillsyn/A 57772-2022 tillsynsbegäran.docx", "A 57772-2022")</f>
        <v/>
      </c>
      <c r="AD163">
        <f>HYPERLINK("https://klasma.github.io/Logging_0581/tillsynsmail/A 57772-2022 tillsynsbegäran mail.docx", "A 57772-2022")</f>
        <v/>
      </c>
    </row>
    <row r="164" ht="15" customHeight="1">
      <c r="A164" t="inlineStr">
        <is>
          <t>A 32815-2026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46279</v>
      </c>
      <c r="F164" t="inlineStr">
        <is>
          <t>ÖSTERGÖTLANDS LÄN</t>
        </is>
      </c>
      <c r="G164" t="inlineStr">
        <is>
          <t>NORRKÖPING</t>
        </is>
      </c>
      <c r="I164" t="n">
        <v>2.2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Ärtsångare</t>
        </is>
      </c>
      <c r="W164">
        <f>HYPERLINK("https://klasma.github.io/Logging_0581/artfynd/A 32815-2026 artfynd.xlsx", "A 32815-2026")</f>
        <v/>
      </c>
      <c r="X164">
        <f>HYPERLINK("https://klasma.github.io/Logging_0581/kartor/A 32815-2026 karta.png", "A 32815-2026")</f>
        <v/>
      </c>
      <c r="Y164">
        <f>HYPERLINK("https://klasma.github.io/Logging_0581/kartor_geotiff/A 32815-2026 georefererad karta.tif", "A 32815-2026")</f>
        <v/>
      </c>
      <c r="AA164">
        <f>HYPERLINK("https://klasma.github.io/Logging_0581/klagomål/A 32815-2026 FSC-klagomål.docx", "A 32815-2026")</f>
        <v/>
      </c>
      <c r="AB164">
        <f>HYPERLINK("https://klasma.github.io/Logging_0581/klagomålsmail/A 32815-2026 FSC-klagomål mail.docx", "A 32815-2026")</f>
        <v/>
      </c>
      <c r="AC164">
        <f>HYPERLINK("https://klasma.github.io/Logging_0581/tillsyn/A 32815-2026 tillsynsbegäran.docx", "A 32815-2026")</f>
        <v/>
      </c>
      <c r="AD164">
        <f>HYPERLINK("https://klasma.github.io/Logging_0581/tillsynsmail/A 32815-2026 tillsynsbegäran mail.docx", "A 32815-2026")</f>
        <v/>
      </c>
    </row>
    <row r="165" ht="15" customHeight="1">
      <c r="A165" t="inlineStr">
        <is>
          <t>A 41369-2023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46279</v>
      </c>
      <c r="F165" t="inlineStr">
        <is>
          <t>ÖSTERGÖTLANDS LÄN</t>
        </is>
      </c>
      <c r="G165" t="inlineStr">
        <is>
          <t>NORRKÖPING</t>
        </is>
      </c>
      <c r="I165" t="n">
        <v>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Tallticka</t>
        </is>
      </c>
      <c r="W165">
        <f>HYPERLINK("https://klasma.github.io/Logging_0581/artfynd/A 41369-2023 artfynd.xlsx", "A 41369-2023")</f>
        <v/>
      </c>
      <c r="X165">
        <f>HYPERLINK("https://klasma.github.io/Logging_0581/kartor/A 41369-2023 karta.png", "A 41369-2023")</f>
        <v/>
      </c>
      <c r="Y165">
        <f>HYPERLINK("https://klasma.github.io/Logging_0581/kartor_geotiff/A 41369-2023 georefererad karta.tif", "A 41369-2023")</f>
        <v/>
      </c>
      <c r="AA165">
        <f>HYPERLINK("https://klasma.github.io/Logging_0581/klagomål/A 41369-2023 FSC-klagomål.docx", "A 41369-2023")</f>
        <v/>
      </c>
      <c r="AB165">
        <f>HYPERLINK("https://klasma.github.io/Logging_0581/klagomålsmail/A 41369-2023 FSC-klagomål mail.docx", "A 41369-2023")</f>
        <v/>
      </c>
      <c r="AC165">
        <f>HYPERLINK("https://klasma.github.io/Logging_0581/tillsyn/A 41369-2023 tillsynsbegäran.docx", "A 41369-2023")</f>
        <v/>
      </c>
      <c r="AD165">
        <f>HYPERLINK("https://klasma.github.io/Logging_0581/tillsynsmail/A 41369-2023 tillsynsbegäran mail.docx", "A 41369-2023")</f>
        <v/>
      </c>
    </row>
    <row r="166" ht="15" customHeight="1">
      <c r="A166" t="inlineStr">
        <is>
          <t>A 29202-2026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46279</v>
      </c>
      <c r="F166" t="inlineStr">
        <is>
          <t>ÖSTERGÖTLANDS LÄN</t>
        </is>
      </c>
      <c r="G166" t="inlineStr">
        <is>
          <t>NORRKÖPING</t>
        </is>
      </c>
      <c r="I166" t="n">
        <v>2.5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Tibast</t>
        </is>
      </c>
      <c r="W166">
        <f>HYPERLINK("https://klasma.github.io/Logging_0581/artfynd/A 29202-2026 artfynd.xlsx", "A 29202-2026")</f>
        <v/>
      </c>
      <c r="X166">
        <f>HYPERLINK("https://klasma.github.io/Logging_0581/kartor/A 29202-2026 karta.png", "A 29202-2026")</f>
        <v/>
      </c>
      <c r="Y166">
        <f>HYPERLINK("https://klasma.github.io/Logging_0581/kartor_geotiff/A 29202-2026 georefererad karta.tif", "A 29202-2026")</f>
        <v/>
      </c>
      <c r="AA166">
        <f>HYPERLINK("https://klasma.github.io/Logging_0581/klagomål/A 29202-2026 FSC-klagomål.docx", "A 29202-2026")</f>
        <v/>
      </c>
      <c r="AB166">
        <f>HYPERLINK("https://klasma.github.io/Logging_0581/klagomålsmail/A 29202-2026 FSC-klagomål mail.docx", "A 29202-2026")</f>
        <v/>
      </c>
      <c r="AC166">
        <f>HYPERLINK("https://klasma.github.io/Logging_0581/tillsyn/A 29202-2026 tillsynsbegäran.docx", "A 29202-2026")</f>
        <v/>
      </c>
      <c r="AD166">
        <f>HYPERLINK("https://klasma.github.io/Logging_0581/tillsynsmail/A 29202-2026 tillsynsbegäran mail.docx", "A 29202-2026")</f>
        <v/>
      </c>
    </row>
    <row r="167" ht="15" customHeight="1">
      <c r="A167" t="inlineStr">
        <is>
          <t>A 14329-2022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44652</v>
      </c>
      <c r="E167" s="1" t="n">
        <v>46279</v>
      </c>
      <c r="F167" t="inlineStr">
        <is>
          <t>ÖSTERGÖTLANDS LÄN</t>
        </is>
      </c>
      <c r="G167" t="inlineStr">
        <is>
          <t>NORRKÖPING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Röd skogslilja</t>
        </is>
      </c>
      <c r="W167">
        <f>HYPERLINK("https://klasma.github.io/Logging_0581/artfynd/A 14329-2022 artfynd.xlsx", "A 14329-2022")</f>
        <v/>
      </c>
      <c r="X167">
        <f>HYPERLINK("https://klasma.github.io/Logging_0581/kartor/A 14329-2022 karta.png", "A 14329-2022")</f>
        <v/>
      </c>
      <c r="Y167">
        <f>HYPERLINK("https://klasma.github.io/Logging_0581/kartor_geotiff/A 14329-2022 georefererad karta.tif", "A 14329-2022")</f>
        <v/>
      </c>
      <c r="AA167">
        <f>HYPERLINK("https://klasma.github.io/Logging_0581/klagomål/A 14329-2022 FSC-klagomål.docx", "A 14329-2022")</f>
        <v/>
      </c>
      <c r="AB167">
        <f>HYPERLINK("https://klasma.github.io/Logging_0581/klagomålsmail/A 14329-2022 FSC-klagomål mail.docx", "A 14329-2022")</f>
        <v/>
      </c>
      <c r="AC167">
        <f>HYPERLINK("https://klasma.github.io/Logging_0581/tillsyn/A 14329-2022 tillsynsbegäran.docx", "A 14329-2022")</f>
        <v/>
      </c>
      <c r="AD167">
        <f>HYPERLINK("https://klasma.github.io/Logging_0581/tillsynsmail/A 14329-2022 tillsynsbegäran mail.docx", "A 14329-2022")</f>
        <v/>
      </c>
    </row>
    <row r="168" ht="15" customHeight="1">
      <c r="A168" t="inlineStr">
        <is>
          <t>A 15124-2025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46279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3.8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Vedskivlav</t>
        </is>
      </c>
      <c r="W168">
        <f>HYPERLINK("https://klasma.github.io/Logging_0581/artfynd/A 15124-2025 artfynd.xlsx", "A 15124-2025")</f>
        <v/>
      </c>
      <c r="X168">
        <f>HYPERLINK("https://klasma.github.io/Logging_0581/kartor/A 15124-2025 karta.png", "A 15124-2025")</f>
        <v/>
      </c>
      <c r="Y168">
        <f>HYPERLINK("https://klasma.github.io/Logging_0581/kartor_geotiff/A 15124-2025 georefererad karta.tif", "A 15124-2025")</f>
        <v/>
      </c>
      <c r="AA168">
        <f>HYPERLINK("https://klasma.github.io/Logging_0581/klagomål/A 15124-2025 FSC-klagomål.docx", "A 15124-2025")</f>
        <v/>
      </c>
      <c r="AB168">
        <f>HYPERLINK("https://klasma.github.io/Logging_0581/klagomålsmail/A 15124-2025 FSC-klagomål mail.docx", "A 15124-2025")</f>
        <v/>
      </c>
      <c r="AC168">
        <f>HYPERLINK("https://klasma.github.io/Logging_0581/tillsyn/A 15124-2025 tillsynsbegäran.docx", "A 15124-2025")</f>
        <v/>
      </c>
      <c r="AD168">
        <f>HYPERLINK("https://klasma.github.io/Logging_0581/tillsynsmail/A 15124-2025 tillsynsbegäran mail.docx", "A 15124-2025")</f>
        <v/>
      </c>
    </row>
    <row r="169" ht="15" customHeight="1">
      <c r="A169" t="inlineStr">
        <is>
          <t>A 15143-2025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46279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Vedskivlav</t>
        </is>
      </c>
      <c r="W169">
        <f>HYPERLINK("https://klasma.github.io/Logging_0581/artfynd/A 15143-2025 artfynd.xlsx", "A 15143-2025")</f>
        <v/>
      </c>
      <c r="X169">
        <f>HYPERLINK("https://klasma.github.io/Logging_0581/kartor/A 15143-2025 karta.png", "A 15143-2025")</f>
        <v/>
      </c>
      <c r="Y169">
        <f>HYPERLINK("https://klasma.github.io/Logging_0581/kartor_geotiff/A 15143-2025 georefererad karta.tif", "A 15143-2025")</f>
        <v/>
      </c>
      <c r="AA169">
        <f>HYPERLINK("https://klasma.github.io/Logging_0581/klagomål/A 15143-2025 FSC-klagomål.docx", "A 15143-2025")</f>
        <v/>
      </c>
      <c r="AB169">
        <f>HYPERLINK("https://klasma.github.io/Logging_0581/klagomålsmail/A 15143-2025 FSC-klagomål mail.docx", "A 15143-2025")</f>
        <v/>
      </c>
      <c r="AC169">
        <f>HYPERLINK("https://klasma.github.io/Logging_0581/tillsyn/A 15143-2025 tillsynsbegäran.docx", "A 15143-2025")</f>
        <v/>
      </c>
      <c r="AD169">
        <f>HYPERLINK("https://klasma.github.io/Logging_0581/tillsynsmail/A 15143-2025 tillsynsbegäran mail.docx", "A 15143-2025")</f>
        <v/>
      </c>
    </row>
    <row r="170" ht="15" customHeight="1">
      <c r="A170" t="inlineStr">
        <is>
          <t>A 31231-2026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46279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4.2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HYPERLINK("https://klasma.github.io/Logging_0581/artfynd/A 31231-2026 artfynd.xlsx", "A 31231-2026")</f>
        <v/>
      </c>
      <c r="X170">
        <f>HYPERLINK("https://klasma.github.io/Logging_0581/kartor/A 31231-2026 karta.png", "A 31231-2026")</f>
        <v/>
      </c>
      <c r="Y170">
        <f>HYPERLINK("https://klasma.github.io/Logging_0581/kartor_geotiff/A 31231-2026 georefererad karta.tif", "A 31231-2026")</f>
        <v/>
      </c>
      <c r="AA170">
        <f>HYPERLINK("https://klasma.github.io/Logging_0581/klagomål/A 31231-2026 FSC-klagomål.docx", "A 31231-2026")</f>
        <v/>
      </c>
      <c r="AB170">
        <f>HYPERLINK("https://klasma.github.io/Logging_0581/klagomålsmail/A 31231-2026 FSC-klagomål mail.docx", "A 31231-2026")</f>
        <v/>
      </c>
      <c r="AC170">
        <f>HYPERLINK("https://klasma.github.io/Logging_0581/tillsyn/A 31231-2026 tillsynsbegäran.docx", "A 31231-2026")</f>
        <v/>
      </c>
      <c r="AD170">
        <f>HYPERLINK("https://klasma.github.io/Logging_0581/tillsynsmail/A 31231-2026 tillsynsbegäran mail.docx", "A 31231-2026")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46279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Raggbock</t>
        </is>
      </c>
      <c r="W171">
        <f>HYPERLINK("https://klasma.github.io/Logging_0581/artfynd/A 31254-2026 artfynd.xlsx", "A 31254-2026")</f>
        <v/>
      </c>
      <c r="X171">
        <f>HYPERLINK("https://klasma.github.io/Logging_0581/kartor/A 31254-2026 karta.png", "A 31254-2026")</f>
        <v/>
      </c>
      <c r="Y171">
        <f>HYPERLINK("https://klasma.github.io/Logging_0581/kartor_geotiff/A 31254-2026 georefererad karta.tif", "A 31254-2026")</f>
        <v/>
      </c>
      <c r="AA171">
        <f>HYPERLINK("https://klasma.github.io/Logging_0581/klagomål/A 31254-2026 FSC-klagomål.docx", "A 31254-2026")</f>
        <v/>
      </c>
      <c r="AB171">
        <f>HYPERLINK("https://klasma.github.io/Logging_0581/klagomålsmail/A 31254-2026 FSC-klagomål mail.docx", "A 31254-2026")</f>
        <v/>
      </c>
      <c r="AC171">
        <f>HYPERLINK("https://klasma.github.io/Logging_0581/tillsyn/A 31254-2026 tillsynsbegäran.docx", "A 31254-2026")</f>
        <v/>
      </c>
      <c r="AD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31325-2026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46279</v>
      </c>
      <c r="F172" t="inlineStr">
        <is>
          <t>ÖSTERGÖTLANDS LÄN</t>
        </is>
      </c>
      <c r="G172" t="inlineStr">
        <is>
          <t>NORRKÖPING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Bergsslok</t>
        </is>
      </c>
      <c r="W172">
        <f>HYPERLINK("https://klasma.github.io/Logging_0581/artfynd/A 31325-2026 artfynd.xlsx", "A 31325-2026")</f>
        <v/>
      </c>
      <c r="X172">
        <f>HYPERLINK("https://klasma.github.io/Logging_0581/kartor/A 31325-2026 karta.png", "A 31325-2026")</f>
        <v/>
      </c>
      <c r="Y172">
        <f>HYPERLINK("https://klasma.github.io/Logging_0581/kartor_geotiff/A 31325-2026 georefererad karta.tif", "A 31325-2026")</f>
        <v/>
      </c>
      <c r="AA172">
        <f>HYPERLINK("https://klasma.github.io/Logging_0581/klagomål/A 31325-2026 FSC-klagomål.docx", "A 31325-2026")</f>
        <v/>
      </c>
      <c r="AB172">
        <f>HYPERLINK("https://klasma.github.io/Logging_0581/klagomålsmail/A 31325-2026 FSC-klagomål mail.docx", "A 31325-2026")</f>
        <v/>
      </c>
      <c r="AC172">
        <f>HYPERLINK("https://klasma.github.io/Logging_0581/tillsyn/A 31325-2026 tillsynsbegäran.docx", "A 31325-2026")</f>
        <v/>
      </c>
      <c r="AD172">
        <f>HYPERLINK("https://klasma.github.io/Logging_0581/tillsynsmail/A 31325-2026 tillsynsbegäran mail.docx", "A 31325-2026")</f>
        <v/>
      </c>
    </row>
    <row r="173" ht="15" customHeight="1">
      <c r="A173" t="inlineStr">
        <is>
          <t>A 31660-2026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46225</v>
      </c>
      <c r="E173" s="1" t="n">
        <v>46279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8.199999999999999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31660-2026 artfynd.xlsx", "A 31660-2026")</f>
        <v/>
      </c>
      <c r="X173">
        <f>HYPERLINK("https://klasma.github.io/Logging_0581/kartor/A 31660-2026 karta.png", "A 31660-2026")</f>
        <v/>
      </c>
      <c r="Y173">
        <f>HYPERLINK("https://klasma.github.io/Logging_0581/kartor_geotiff/A 31660-2026 georefererad karta.tif", "A 31660-2026")</f>
        <v/>
      </c>
      <c r="AA173">
        <f>HYPERLINK("https://klasma.github.io/Logging_0581/klagomål/A 31660-2026 FSC-klagomål.docx", "A 31660-2026")</f>
        <v/>
      </c>
      <c r="AB173">
        <f>HYPERLINK("https://klasma.github.io/Logging_0581/klagomålsmail/A 31660-2026 FSC-klagomål mail.docx", "A 31660-2026")</f>
        <v/>
      </c>
      <c r="AC173">
        <f>HYPERLINK("https://klasma.github.io/Logging_0581/tillsyn/A 31660-2026 tillsynsbegäran.docx", "A 31660-2026")</f>
        <v/>
      </c>
      <c r="AD173">
        <f>HYPERLINK("https://klasma.github.io/Logging_0581/tillsynsmail/A 31660-2026 tillsynsbegäran mail.docx", "A 31660-2026")</f>
        <v/>
      </c>
    </row>
    <row r="174" ht="15" customHeight="1">
      <c r="A174" t="inlineStr">
        <is>
          <t>A 1077-2023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46279</v>
      </c>
      <c r="F174" t="inlineStr">
        <is>
          <t>ÖSTERGÖTLANDS LÄN</t>
        </is>
      </c>
      <c r="G174" t="inlineStr">
        <is>
          <t>NORRKÖPING</t>
        </is>
      </c>
      <c r="I174" t="n">
        <v>3.4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Äkta lopplummer</t>
        </is>
      </c>
      <c r="W174">
        <f>HYPERLINK("https://klasma.github.io/Logging_0581/artfynd/A 1077-2023 artfynd.xlsx", "A 1077-2023")</f>
        <v/>
      </c>
      <c r="X174">
        <f>HYPERLINK("https://klasma.github.io/Logging_0581/kartor/A 1077-2023 karta.png", "A 1077-2023")</f>
        <v/>
      </c>
      <c r="Y174">
        <f>HYPERLINK("https://klasma.github.io/Logging_0581/kartor_geotiff/A 1077-2023 georefererad karta.tif", "A 1077-2023")</f>
        <v/>
      </c>
      <c r="AA174">
        <f>HYPERLINK("https://klasma.github.io/Logging_0581/klagomål/A 1077-2023 FSC-klagomål.docx", "A 1077-2023")</f>
        <v/>
      </c>
      <c r="AB174">
        <f>HYPERLINK("https://klasma.github.io/Logging_0581/klagomålsmail/A 1077-2023 FSC-klagomål mail.docx", "A 1077-2023")</f>
        <v/>
      </c>
      <c r="AC174">
        <f>HYPERLINK("https://klasma.github.io/Logging_0581/tillsyn/A 1077-2023 tillsynsbegäran.docx", "A 1077-2023")</f>
        <v/>
      </c>
      <c r="AD174">
        <f>HYPERLINK("https://klasma.github.io/Logging_0581/tillsynsmail/A 1077-2023 tillsynsbegäran mail.docx", "A 1077-2023")</f>
        <v/>
      </c>
    </row>
    <row r="175" ht="15" customHeight="1">
      <c r="A175" t="inlineStr">
        <is>
          <t>A 31892-2026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46279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HYPERLINK("https://klasma.github.io/Logging_0581/artfynd/A 31892-2026 artfynd.xlsx", "A 31892-2026")</f>
        <v/>
      </c>
      <c r="X175">
        <f>HYPERLINK("https://klasma.github.io/Logging_0581/kartor/A 31892-2026 karta.png", "A 31892-2026")</f>
        <v/>
      </c>
      <c r="Y175">
        <f>HYPERLINK("https://klasma.github.io/Logging_0581/kartor_geotiff/A 31892-2026 georefererad karta.tif", "A 31892-2026")</f>
        <v/>
      </c>
      <c r="AA175">
        <f>HYPERLINK("https://klasma.github.io/Logging_0581/klagomål/A 31892-2026 FSC-klagomål.docx", "A 31892-2026")</f>
        <v/>
      </c>
      <c r="AB175">
        <f>HYPERLINK("https://klasma.github.io/Logging_0581/klagomålsmail/A 31892-2026 FSC-klagomål mail.docx", "A 31892-2026")</f>
        <v/>
      </c>
      <c r="AC175">
        <f>HYPERLINK("https://klasma.github.io/Logging_0581/tillsyn/A 31892-2026 tillsynsbegäran.docx", "A 31892-2026")</f>
        <v/>
      </c>
      <c r="AD175">
        <f>HYPERLINK("https://klasma.github.io/Logging_0581/tillsynsmail/A 31892-2026 tillsynsbegäran mail.docx", "A 31892-2026")</f>
        <v/>
      </c>
    </row>
    <row r="176" ht="15" customHeight="1">
      <c r="A176" t="inlineStr">
        <is>
          <t>A 58318-2023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45250</v>
      </c>
      <c r="E176" s="1" t="n">
        <v>46279</v>
      </c>
      <c r="F176" t="inlineStr">
        <is>
          <t>ÖSTERGÖTLANDS LÄN</t>
        </is>
      </c>
      <c r="G176" t="inlineStr">
        <is>
          <t>NORRKÖPING</t>
        </is>
      </c>
      <c r="I176" t="n">
        <v>4.2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Havsörn</t>
        </is>
      </c>
      <c r="W176">
        <f>HYPERLINK("https://klasma.github.io/Logging_0581/artfynd/A 58318-2023 artfynd.xlsx", "A 58318-2023")</f>
        <v/>
      </c>
      <c r="X176">
        <f>HYPERLINK("https://klasma.github.io/Logging_0581/kartor/A 58318-2023 karta.png", "A 58318-2023")</f>
        <v/>
      </c>
      <c r="Y176">
        <f>HYPERLINK("https://klasma.github.io/Logging_0581/kartor_geotiff/A 58318-2023 georefererad karta.tif", "A 58318-2023")</f>
        <v/>
      </c>
      <c r="AA176">
        <f>HYPERLINK("https://klasma.github.io/Logging_0581/klagomål/A 58318-2023 FSC-klagomål.docx", "A 58318-2023")</f>
        <v/>
      </c>
      <c r="AB176">
        <f>HYPERLINK("https://klasma.github.io/Logging_0581/klagomålsmail/A 58318-2023 FSC-klagomål mail.docx", "A 58318-2023")</f>
        <v/>
      </c>
      <c r="AC176">
        <f>HYPERLINK("https://klasma.github.io/Logging_0581/tillsyn/A 58318-2023 tillsynsbegäran.docx", "A 58318-2023")</f>
        <v/>
      </c>
      <c r="AD176">
        <f>HYPERLINK("https://klasma.github.io/Logging_0581/tillsynsmail/A 58318-2023 tillsynsbegäran mail.docx", "A 58318-2023")</f>
        <v/>
      </c>
      <c r="AE176">
        <f>HYPERLINK("https://klasma.github.io/Logging_0581/fåglar/A 58318-2023 prioriterade fågelarter.docx", "A 58318-2023")</f>
        <v/>
      </c>
    </row>
    <row r="177" ht="15" customHeight="1">
      <c r="A177" t="inlineStr">
        <is>
          <t>A 15870-2024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46279</v>
      </c>
      <c r="F177" t="inlineStr">
        <is>
          <t>ÖSTERGÖTLANDS LÄN</t>
        </is>
      </c>
      <c r="G177" t="inlineStr">
        <is>
          <t>NORRKÖPING</t>
        </is>
      </c>
      <c r="I177" t="n">
        <v>1.3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Mörk dunört</t>
        </is>
      </c>
      <c r="W177">
        <f>HYPERLINK("https://klasma.github.io/Logging_0581/artfynd/A 15870-2024 artfynd.xlsx", "A 15870-2024")</f>
        <v/>
      </c>
      <c r="X177">
        <f>HYPERLINK("https://klasma.github.io/Logging_0581/kartor/A 15870-2024 karta.png", "A 15870-2024")</f>
        <v/>
      </c>
      <c r="Y177">
        <f>HYPERLINK("https://klasma.github.io/Logging_0581/kartor_geotiff/A 15870-2024 georefererad karta.tif", "A 15870-2024")</f>
        <v/>
      </c>
      <c r="AA177">
        <f>HYPERLINK("https://klasma.github.io/Logging_0581/klagomål/A 15870-2024 FSC-klagomål.docx", "A 15870-2024")</f>
        <v/>
      </c>
      <c r="AB177">
        <f>HYPERLINK("https://klasma.github.io/Logging_0581/klagomålsmail/A 15870-2024 FSC-klagomål mail.docx", "A 15870-2024")</f>
        <v/>
      </c>
      <c r="AC177">
        <f>HYPERLINK("https://klasma.github.io/Logging_0581/tillsyn/A 15870-2024 tillsynsbegäran.docx", "A 15870-2024")</f>
        <v/>
      </c>
      <c r="AD177">
        <f>HYPERLINK("https://klasma.github.io/Logging_0581/tillsynsmail/A 15870-2024 tillsynsbegäran mail.docx", "A 15870-2024")</f>
        <v/>
      </c>
    </row>
    <row r="178" ht="15" customHeight="1">
      <c r="A178" t="inlineStr">
        <is>
          <t>A 11520-2025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46279</v>
      </c>
      <c r="F178" t="inlineStr">
        <is>
          <t>ÖSTERGÖTLANDS LÄN</t>
        </is>
      </c>
      <c r="G178" t="inlineStr">
        <is>
          <t>NORRKÖPING</t>
        </is>
      </c>
      <c r="I178" t="n">
        <v>1.7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Myskbock</t>
        </is>
      </c>
      <c r="W178">
        <f>HYPERLINK("https://klasma.github.io/Logging_0581/artfynd/A 11520-2025 artfynd.xlsx", "A 11520-2025")</f>
        <v/>
      </c>
      <c r="X178">
        <f>HYPERLINK("https://klasma.github.io/Logging_0581/kartor/A 11520-2025 karta.png", "A 11520-2025")</f>
        <v/>
      </c>
      <c r="Y178">
        <f>HYPERLINK("https://klasma.github.io/Logging_0581/kartor_geotiff/A 11520-2025 georefererad karta.tif", "A 11520-2025")</f>
        <v/>
      </c>
      <c r="AA178">
        <f>HYPERLINK("https://klasma.github.io/Logging_0581/klagomål/A 11520-2025 FSC-klagomål.docx", "A 11520-2025")</f>
        <v/>
      </c>
      <c r="AB178">
        <f>HYPERLINK("https://klasma.github.io/Logging_0581/klagomålsmail/A 11520-2025 FSC-klagomål mail.docx", "A 11520-2025")</f>
        <v/>
      </c>
      <c r="AC178">
        <f>HYPERLINK("https://klasma.github.io/Logging_0581/tillsyn/A 11520-2025 tillsynsbegäran.docx", "A 11520-2025")</f>
        <v/>
      </c>
      <c r="AD178">
        <f>HYPERLINK("https://klasma.github.io/Logging_0581/tillsynsmail/A 11520-2025 tillsynsbegäran mail.docx", "A 11520-2025")</f>
        <v/>
      </c>
    </row>
    <row r="179" ht="15" customHeight="1">
      <c r="A179" t="inlineStr">
        <is>
          <t>A 46671-2024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46279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2</v>
      </c>
      <c r="V179" s="2" t="inlineStr">
        <is>
          <t>Kattfotslav</t>
        </is>
      </c>
      <c r="W179">
        <f>HYPERLINK("https://klasma.github.io/Logging_0581/artfynd/A 46671-2024 artfynd.xlsx", "A 46671-2024")</f>
        <v/>
      </c>
      <c r="X179">
        <f>HYPERLINK("https://klasma.github.io/Logging_0581/kartor/A 46671-2024 karta.png", "A 46671-2024")</f>
        <v/>
      </c>
      <c r="Y179">
        <f>HYPERLINK("https://klasma.github.io/Logging_0581/kartor_geotiff/A 46671-2024 georefererad karta.tif", "A 46671-2024")</f>
        <v/>
      </c>
      <c r="AA179">
        <f>HYPERLINK("https://klasma.github.io/Logging_0581/klagomål/A 46671-2024 FSC-klagomål.docx", "A 46671-2024")</f>
        <v/>
      </c>
      <c r="AB179">
        <f>HYPERLINK("https://klasma.github.io/Logging_0581/klagomålsmail/A 46671-2024 FSC-klagomål mail.docx", "A 46671-2024")</f>
        <v/>
      </c>
      <c r="AC179">
        <f>HYPERLINK("https://klasma.github.io/Logging_0581/tillsyn/A 46671-2024 tillsynsbegäran.docx", "A 46671-2024")</f>
        <v/>
      </c>
      <c r="AD179">
        <f>HYPERLINK("https://klasma.github.io/Logging_0581/tillsynsmail/A 46671-2024 tillsynsbegäran mail.docx", "A 46671-2024")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46279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46279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50133-2021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44456</v>
      </c>
      <c r="E182" s="1" t="n">
        <v>46279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44456</v>
      </c>
      <c r="E183" s="1" t="n">
        <v>46279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46279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46279</v>
      </c>
      <c r="F185" t="inlineStr">
        <is>
          <t>ÖSTERGÖTLANDS LÄN</t>
        </is>
      </c>
      <c r="G185" t="inlineStr">
        <is>
          <t>NORRKÖPING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46279</v>
      </c>
      <c r="F186" t="inlineStr">
        <is>
          <t>ÖSTERGÖTLANDS LÄN</t>
        </is>
      </c>
      <c r="G186" t="inlineStr">
        <is>
          <t>NORRKÖPING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71093-2021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46279</v>
      </c>
      <c r="F187" t="inlineStr">
        <is>
          <t>ÖSTERGÖTLANDS LÄN</t>
        </is>
      </c>
      <c r="G187" t="inlineStr">
        <is>
          <t>NORRKÖPING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46279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44739</v>
      </c>
      <c r="E189" s="1" t="n">
        <v>46279</v>
      </c>
      <c r="F189" t="inlineStr">
        <is>
          <t>ÖSTERGÖTLANDS LÄN</t>
        </is>
      </c>
      <c r="G189" t="inlineStr">
        <is>
          <t>NORRKÖPING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46279</v>
      </c>
      <c r="F190" t="inlineStr">
        <is>
          <t>ÖSTERGÖTLANDS LÄN</t>
        </is>
      </c>
      <c r="G190" t="inlineStr">
        <is>
          <t>NORRKÖPING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46279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Allmännings- och besparingsskogar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46279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46279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46279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46279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46279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46279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46279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46279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46279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46279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46279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46279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46279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46279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44459</v>
      </c>
      <c r="E206" s="1" t="n">
        <v>46279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46279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Allmännings- och besparingsskogar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50306-2021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46279</v>
      </c>
      <c r="F208" t="inlineStr">
        <is>
          <t>ÖSTERGÖTLANDS LÄN</t>
        </is>
      </c>
      <c r="G208" t="inlineStr">
        <is>
          <t>NORRKÖPING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55429-2021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46279</v>
      </c>
      <c r="F209" t="inlineStr">
        <is>
          <t>ÖSTERGÖTLANDS LÄN</t>
        </is>
      </c>
      <c r="G209" t="inlineStr">
        <is>
          <t>NORRKÖPING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44574</v>
      </c>
      <c r="E210" s="1" t="n">
        <v>46279</v>
      </c>
      <c r="F210" t="inlineStr">
        <is>
          <t>ÖSTERGÖTLANDS LÄN</t>
        </is>
      </c>
      <c r="G210" t="inlineStr">
        <is>
          <t>NORRKÖPING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44686</v>
      </c>
      <c r="E211" s="1" t="n">
        <v>46279</v>
      </c>
      <c r="F211" t="inlineStr">
        <is>
          <t>ÖSTERGÖTLANDS LÄN</t>
        </is>
      </c>
      <c r="G211" t="inlineStr">
        <is>
          <t>NORRKÖPING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44602</v>
      </c>
      <c r="E212" s="1" t="n">
        <v>46279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46279</v>
      </c>
      <c r="F213" t="inlineStr">
        <is>
          <t>ÖSTERGÖTLANDS LÄN</t>
        </is>
      </c>
      <c r="G213" t="inlineStr">
        <is>
          <t>NORRKÖPING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46279</v>
      </c>
      <c r="F214" t="inlineStr">
        <is>
          <t>ÖSTERGÖTLANDS LÄN</t>
        </is>
      </c>
      <c r="G214" t="inlineStr">
        <is>
          <t>NORRKÖPING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44452</v>
      </c>
      <c r="E215" s="1" t="n">
        <v>46279</v>
      </c>
      <c r="F215" t="inlineStr">
        <is>
          <t>ÖSTERGÖTLANDS LÄN</t>
        </is>
      </c>
      <c r="G215" t="inlineStr">
        <is>
          <t>NORRKÖPING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44582</v>
      </c>
      <c r="E216" s="1" t="n">
        <v>46279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46279</v>
      </c>
      <c r="F217" t="inlineStr">
        <is>
          <t>ÖSTERGÖTLANDS LÄN</t>
        </is>
      </c>
      <c r="G217" t="inlineStr">
        <is>
          <t>NORRKÖPING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44741</v>
      </c>
      <c r="E218" s="1" t="n">
        <v>46279</v>
      </c>
      <c r="F218" t="inlineStr">
        <is>
          <t>ÖSTERGÖTLANDS LÄN</t>
        </is>
      </c>
      <c r="G218" t="inlineStr">
        <is>
          <t>NORRKÖPING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44730</v>
      </c>
      <c r="E219" s="1" t="n">
        <v>46279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Allmännings- och besparingsskogar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46279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BillerudKorsnäs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44886</v>
      </c>
      <c r="E221" s="1" t="n">
        <v>46279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46279</v>
      </c>
      <c r="F222" t="inlineStr">
        <is>
          <t>ÖSTERGÖTLANDS LÄN</t>
        </is>
      </c>
      <c r="G222" t="inlineStr">
        <is>
          <t>NORRKÖPING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44874</v>
      </c>
      <c r="E223" s="1" t="n">
        <v>46279</v>
      </c>
      <c r="F223" t="inlineStr">
        <is>
          <t>ÖSTERGÖTLANDS LÄN</t>
        </is>
      </c>
      <c r="G223" t="inlineStr">
        <is>
          <t>NORRKÖPING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48591-2021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44452</v>
      </c>
      <c r="E224" s="1" t="n">
        <v>46279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44726</v>
      </c>
      <c r="E225" s="1" t="n">
        <v>46279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58093-2021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44487</v>
      </c>
      <c r="E226" s="1" t="n">
        <v>46279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44596</v>
      </c>
      <c r="E227" s="1" t="n">
        <v>46279</v>
      </c>
      <c r="F227" t="inlineStr">
        <is>
          <t>ÖSTERGÖTLANDS LÄN</t>
        </is>
      </c>
      <c r="G227" t="inlineStr">
        <is>
          <t>NORRKÖPING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44468</v>
      </c>
      <c r="E228" s="1" t="n">
        <v>46279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44630</v>
      </c>
      <c r="E229" s="1" t="n">
        <v>46279</v>
      </c>
      <c r="F229" t="inlineStr">
        <is>
          <t>ÖSTERGÖTLANDS LÄN</t>
        </is>
      </c>
      <c r="G229" t="inlineStr">
        <is>
          <t>NORRKÖPING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44869</v>
      </c>
      <c r="E230" s="1" t="n">
        <v>46279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46279</v>
      </c>
      <c r="F231" t="inlineStr">
        <is>
          <t>ÖSTERGÖTLANDS LÄN</t>
        </is>
      </c>
      <c r="G231" t="inlineStr">
        <is>
          <t>NORRKÖPING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46279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45268</v>
      </c>
      <c r="E233" s="1" t="n">
        <v>46279</v>
      </c>
      <c r="F233" t="inlineStr">
        <is>
          <t>ÖSTERGÖTLANDS LÄN</t>
        </is>
      </c>
      <c r="G233" t="inlineStr">
        <is>
          <t>NORRKÖPING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46279</v>
      </c>
      <c r="F234" t="inlineStr">
        <is>
          <t>ÖSTERGÖTLANDS LÄN</t>
        </is>
      </c>
      <c r="G234" t="inlineStr">
        <is>
          <t>NORRKÖPING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50157-2022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44865</v>
      </c>
      <c r="E235" s="1" t="n">
        <v>46279</v>
      </c>
      <c r="F235" t="inlineStr">
        <is>
          <t>ÖSTERGÖTLANDS LÄN</t>
        </is>
      </c>
      <c r="G235" t="inlineStr">
        <is>
          <t>NORRKÖPING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46279</v>
      </c>
      <c r="F236" t="inlineStr">
        <is>
          <t>ÖSTERGÖTLANDS LÄN</t>
        </is>
      </c>
      <c r="G236" t="inlineStr">
        <is>
          <t>NORRKÖPING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46279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49799-2022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44862</v>
      </c>
      <c r="E238" s="1" t="n">
        <v>46279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41083-2022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46279</v>
      </c>
      <c r="F239" t="inlineStr">
        <is>
          <t>ÖSTERGÖTLANDS LÄN</t>
        </is>
      </c>
      <c r="G239" t="inlineStr">
        <is>
          <t>NORRKÖPING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45043</v>
      </c>
      <c r="E240" s="1" t="n">
        <v>46279</v>
      </c>
      <c r="F240" t="inlineStr">
        <is>
          <t>ÖSTERGÖTLANDS LÄN</t>
        </is>
      </c>
      <c r="G240" t="inlineStr">
        <is>
          <t>NORRKÖPING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36954-2022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44805</v>
      </c>
      <c r="E241" s="1" t="n">
        <v>46279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Allmännings- och besparingsskogar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46279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35701-2024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45532</v>
      </c>
      <c r="E243" s="1" t="n">
        <v>46279</v>
      </c>
      <c r="F243" t="inlineStr">
        <is>
          <t>ÖSTERGÖTLANDS LÄN</t>
        </is>
      </c>
      <c r="G243" t="inlineStr">
        <is>
          <t>NORRKÖPING</t>
        </is>
      </c>
      <c r="I243" t="n">
        <v>11.7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45118</v>
      </c>
      <c r="E244" s="1" t="n">
        <v>46279</v>
      </c>
      <c r="F244" t="inlineStr">
        <is>
          <t>ÖSTERGÖTLANDS LÄN</t>
        </is>
      </c>
      <c r="G244" t="inlineStr">
        <is>
          <t>NORRKÖPING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45369</v>
      </c>
      <c r="E245" s="1" t="n">
        <v>46279</v>
      </c>
      <c r="F245" t="inlineStr">
        <is>
          <t>ÖSTERGÖTLANDS LÄN</t>
        </is>
      </c>
      <c r="G245" t="inlineStr">
        <is>
          <t>NORRKÖPING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45336</v>
      </c>
      <c r="E246" s="1" t="n">
        <v>46279</v>
      </c>
      <c r="F246" t="inlineStr">
        <is>
          <t>ÖSTERGÖTLANDS LÄN</t>
        </is>
      </c>
      <c r="G246" t="inlineStr">
        <is>
          <t>NORRKÖPING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46279</v>
      </c>
      <c r="F247" t="inlineStr">
        <is>
          <t>ÖSTERGÖTLANDS LÄN</t>
        </is>
      </c>
      <c r="G247" t="inlineStr">
        <is>
          <t>NORRKÖPING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46279</v>
      </c>
      <c r="F248" t="inlineStr">
        <is>
          <t>ÖSTERGÖTLANDS LÄN</t>
        </is>
      </c>
      <c r="G248" t="inlineStr">
        <is>
          <t>NORRKÖPING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44860</v>
      </c>
      <c r="E249" s="1" t="n">
        <v>46279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46279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46279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51877-2021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44462</v>
      </c>
      <c r="E252" s="1" t="n">
        <v>46279</v>
      </c>
      <c r="F252" t="inlineStr">
        <is>
          <t>ÖSTERGÖTLANDS LÄN</t>
        </is>
      </c>
      <c r="G252" t="inlineStr">
        <is>
          <t>NORRKÖPING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46279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45425</v>
      </c>
      <c r="E254" s="1" t="n">
        <v>46279</v>
      </c>
      <c r="F254" t="inlineStr">
        <is>
          <t>ÖSTERGÖTLANDS LÄN</t>
        </is>
      </c>
      <c r="G254" t="inlineStr">
        <is>
          <t>NORRKÖPING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46279</v>
      </c>
      <c r="F255" t="inlineStr">
        <is>
          <t>ÖSTERGÖTLANDS LÄN</t>
        </is>
      </c>
      <c r="G255" t="inlineStr">
        <is>
          <t>NORRKÖPING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46279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1914-2023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44939</v>
      </c>
      <c r="E257" s="1" t="n">
        <v>46279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Naturvårdsverket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46279</v>
      </c>
      <c r="F258" t="inlineStr">
        <is>
          <t>ÖSTERGÖTLANDS LÄN</t>
        </is>
      </c>
      <c r="G258" t="inlineStr">
        <is>
          <t>NORRKÖPING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45278</v>
      </c>
      <c r="E259" s="1" t="n">
        <v>46279</v>
      </c>
      <c r="F259" t="inlineStr">
        <is>
          <t>ÖSTERGÖTLANDS LÄN</t>
        </is>
      </c>
      <c r="G259" t="inlineStr">
        <is>
          <t>NORRKÖPING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44858</v>
      </c>
      <c r="E260" s="1" t="n">
        <v>46279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45317</v>
      </c>
      <c r="E261" s="1" t="n">
        <v>46279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44861</v>
      </c>
      <c r="E262" s="1" t="n">
        <v>46279</v>
      </c>
      <c r="F262" t="inlineStr">
        <is>
          <t>ÖSTERGÖTLANDS LÄN</t>
        </is>
      </c>
      <c r="G262" t="inlineStr">
        <is>
          <t>NORRKÖPING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45093</v>
      </c>
      <c r="E263" s="1" t="n">
        <v>46279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Allmännings- och besparingsskogar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46279</v>
      </c>
      <c r="F264" t="inlineStr">
        <is>
          <t>ÖSTERGÖTLANDS LÄN</t>
        </is>
      </c>
      <c r="G264" t="inlineStr">
        <is>
          <t>NORRKÖPING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45490</v>
      </c>
      <c r="E265" s="1" t="n">
        <v>46279</v>
      </c>
      <c r="F265" t="inlineStr">
        <is>
          <t>ÖSTERGÖTLANDS LÄN</t>
        </is>
      </c>
      <c r="G265" t="inlineStr">
        <is>
          <t>NORRKÖPING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44930</v>
      </c>
      <c r="E266" s="1" t="n">
        <v>46279</v>
      </c>
      <c r="F266" t="inlineStr">
        <is>
          <t>ÖSTERGÖTLANDS LÄN</t>
        </is>
      </c>
      <c r="G266" t="inlineStr">
        <is>
          <t>NORRKÖPING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46279</v>
      </c>
      <c r="F267" t="inlineStr">
        <is>
          <t>ÖSTERGÖTLANDS LÄN</t>
        </is>
      </c>
      <c r="G267" t="inlineStr">
        <is>
          <t>NORRKÖPING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46279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46279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44582</v>
      </c>
      <c r="E270" s="1" t="n">
        <v>46279</v>
      </c>
      <c r="F270" t="inlineStr">
        <is>
          <t>ÖSTERGÖTLANDS LÄN</t>
        </is>
      </c>
      <c r="G270" t="inlineStr">
        <is>
          <t>NORRKÖPING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46279</v>
      </c>
      <c r="F271" t="inlineStr">
        <is>
          <t>ÖSTERGÖTLANDS LÄN</t>
        </is>
      </c>
      <c r="G271" t="inlineStr">
        <is>
          <t>NORRKÖPING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10393-2024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45365</v>
      </c>
      <c r="E272" s="1" t="n">
        <v>46279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Kommuner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46279</v>
      </c>
      <c r="F273" t="inlineStr">
        <is>
          <t>ÖSTERGÖTLANDS LÄN</t>
        </is>
      </c>
      <c r="G273" t="inlineStr">
        <is>
          <t>NORRKÖPING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44889</v>
      </c>
      <c r="E274" s="1" t="n">
        <v>46279</v>
      </c>
      <c r="F274" t="inlineStr">
        <is>
          <t>ÖSTERGÖTLANDS LÄN</t>
        </is>
      </c>
      <c r="G274" t="inlineStr">
        <is>
          <t>NORRKÖPING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45442</v>
      </c>
      <c r="E275" s="1" t="n">
        <v>46279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60233-2022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46279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16253-2023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45028</v>
      </c>
      <c r="E277" s="1" t="n">
        <v>46279</v>
      </c>
      <c r="F277" t="inlineStr">
        <is>
          <t>ÖSTERGÖTLANDS LÄN</t>
        </is>
      </c>
      <c r="G277" t="inlineStr">
        <is>
          <t>NORRKÖPING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58525-2021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44488</v>
      </c>
      <c r="E278" s="1" t="n">
        <v>46279</v>
      </c>
      <c r="F278" t="inlineStr">
        <is>
          <t>ÖSTERGÖTLANDS LÄN</t>
        </is>
      </c>
      <c r="G278" t="inlineStr">
        <is>
          <t>NORRKÖPING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45030</v>
      </c>
      <c r="E279" s="1" t="n">
        <v>46279</v>
      </c>
      <c r="F279" t="inlineStr">
        <is>
          <t>ÖSTERGÖTLANDS LÄN</t>
        </is>
      </c>
      <c r="G279" t="inlineStr">
        <is>
          <t>NORRKÖPING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45096</v>
      </c>
      <c r="E280" s="1" t="n">
        <v>46279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45106</v>
      </c>
      <c r="E281" s="1" t="n">
        <v>46279</v>
      </c>
      <c r="F281" t="inlineStr">
        <is>
          <t>ÖSTERGÖTLANDS LÄN</t>
        </is>
      </c>
      <c r="G281" t="inlineStr">
        <is>
          <t>NORRKÖPING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46279</v>
      </c>
      <c r="F282" t="inlineStr">
        <is>
          <t>ÖSTERGÖTLANDS LÄN</t>
        </is>
      </c>
      <c r="G282" t="inlineStr">
        <is>
          <t>NORRKÖPING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46279</v>
      </c>
      <c r="F283" t="inlineStr">
        <is>
          <t>ÖSTERGÖTLANDS LÄN</t>
        </is>
      </c>
      <c r="G283" t="inlineStr">
        <is>
          <t>NORRKÖPING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47090-2023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46279</v>
      </c>
      <c r="F284" t="inlineStr">
        <is>
          <t>ÖSTERGÖTLANDS LÄN</t>
        </is>
      </c>
      <c r="G284" t="inlineStr">
        <is>
          <t>NORRKÖPING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46279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46279</v>
      </c>
      <c r="F286" t="inlineStr">
        <is>
          <t>ÖSTERGÖTLANDS LÄN</t>
        </is>
      </c>
      <c r="G286" t="inlineStr">
        <is>
          <t>NORRKÖPING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46279</v>
      </c>
      <c r="F287" t="inlineStr">
        <is>
          <t>ÖSTERGÖTLANDS LÄN</t>
        </is>
      </c>
      <c r="G287" t="inlineStr">
        <is>
          <t>NORRKÖPING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46279</v>
      </c>
      <c r="F288" t="inlineStr">
        <is>
          <t>ÖSTERGÖTLANDS LÄN</t>
        </is>
      </c>
      <c r="G288" t="inlineStr">
        <is>
          <t>NORRKÖPING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45678</v>
      </c>
      <c r="E289" s="1" t="n">
        <v>46279</v>
      </c>
      <c r="F289" t="inlineStr">
        <is>
          <t>ÖSTERGÖTLANDS LÄN</t>
        </is>
      </c>
      <c r="G289" t="inlineStr">
        <is>
          <t>NORRKÖPING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44936</v>
      </c>
      <c r="E290" s="1" t="n">
        <v>46279</v>
      </c>
      <c r="F290" t="inlineStr">
        <is>
          <t>ÖSTERGÖTLANDS LÄN</t>
        </is>
      </c>
      <c r="G290" t="inlineStr">
        <is>
          <t>NORRKÖPING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8292-2023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46279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46279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46279</v>
      </c>
      <c r="F293" t="inlineStr">
        <is>
          <t>ÖSTERGÖTLANDS LÄN</t>
        </is>
      </c>
      <c r="G293" t="inlineStr">
        <is>
          <t>NORRKÖPING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46279</v>
      </c>
      <c r="F294" t="inlineStr">
        <is>
          <t>ÖSTERGÖTLANDS LÄN</t>
        </is>
      </c>
      <c r="G294" t="inlineStr">
        <is>
          <t>NORRKÖPING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46279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46279</v>
      </c>
      <c r="F296" t="inlineStr">
        <is>
          <t>ÖSTERGÖTLANDS LÄN</t>
        </is>
      </c>
      <c r="G296" t="inlineStr">
        <is>
          <t>NORRKÖPING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46279</v>
      </c>
      <c r="F297" t="inlineStr">
        <is>
          <t>ÖSTERGÖTLANDS LÄN</t>
        </is>
      </c>
      <c r="G297" t="inlineStr">
        <is>
          <t>NORRKÖPING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46279</v>
      </c>
      <c r="F298" t="inlineStr">
        <is>
          <t>ÖSTERGÖTLANDS LÄN</t>
        </is>
      </c>
      <c r="G298" t="inlineStr">
        <is>
          <t>NORRKÖPING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46279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46279</v>
      </c>
      <c r="F300" t="inlineStr">
        <is>
          <t>ÖSTERGÖTLANDS LÄN</t>
        </is>
      </c>
      <c r="G300" t="inlineStr">
        <is>
          <t>NORRKÖPING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45840</v>
      </c>
      <c r="E301" s="1" t="n">
        <v>46279</v>
      </c>
      <c r="F301" t="inlineStr">
        <is>
          <t>ÖSTERGÖTLANDS LÄN</t>
        </is>
      </c>
      <c r="G301" t="inlineStr">
        <is>
          <t>NORRKÖPING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46279</v>
      </c>
      <c r="F302" t="inlineStr">
        <is>
          <t>ÖSTERGÖTLANDS LÄN</t>
        </is>
      </c>
      <c r="G302" t="inlineStr">
        <is>
          <t>NORRKÖPING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46279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45894</v>
      </c>
      <c r="E304" s="1" t="n">
        <v>46279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46279</v>
      </c>
      <c r="F305" t="inlineStr">
        <is>
          <t>ÖSTERGÖTLANDS LÄN</t>
        </is>
      </c>
      <c r="G305" t="inlineStr">
        <is>
          <t>NORRKÖPING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46279</v>
      </c>
      <c r="F306" t="inlineStr">
        <is>
          <t>ÖSTERGÖTLANDS LÄN</t>
        </is>
      </c>
      <c r="G306" t="inlineStr">
        <is>
          <t>NORRKÖPING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46279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46279</v>
      </c>
      <c r="F308" t="inlineStr">
        <is>
          <t>ÖSTERGÖTLANDS LÄN</t>
        </is>
      </c>
      <c r="G308" t="inlineStr">
        <is>
          <t>NORRKÖPING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46279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46072</v>
      </c>
      <c r="E310" s="1" t="n">
        <v>46279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Kyrkan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46279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46072</v>
      </c>
      <c r="E312" s="1" t="n">
        <v>46279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Kyrkan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46279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45049</v>
      </c>
      <c r="E314" s="1" t="n">
        <v>46279</v>
      </c>
      <c r="F314" t="inlineStr">
        <is>
          <t>ÖSTERGÖTLANDS LÄN</t>
        </is>
      </c>
      <c r="G314" t="inlineStr">
        <is>
          <t>NORRKÖPING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46279</v>
      </c>
      <c r="F315" t="inlineStr">
        <is>
          <t>ÖSTERGÖTLANDS LÄN</t>
        </is>
      </c>
      <c r="G315" t="inlineStr">
        <is>
          <t>NORRKÖPING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45091</v>
      </c>
      <c r="E316" s="1" t="n">
        <v>46279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Allmännings- och besparingsskogar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45736</v>
      </c>
      <c r="E317" s="1" t="n">
        <v>46279</v>
      </c>
      <c r="F317" t="inlineStr">
        <is>
          <t>ÖSTERGÖTLANDS LÄN</t>
        </is>
      </c>
      <c r="G317" t="inlineStr">
        <is>
          <t>NORRKÖPING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46279</v>
      </c>
      <c r="F318" t="inlineStr">
        <is>
          <t>ÖSTERGÖTLANDS LÄN</t>
        </is>
      </c>
      <c r="G318" t="inlineStr">
        <is>
          <t>NORRKÖPING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46279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45112</v>
      </c>
      <c r="E320" s="1" t="n">
        <v>46279</v>
      </c>
      <c r="F320" t="inlineStr">
        <is>
          <t>ÖSTERGÖTLANDS LÄN</t>
        </is>
      </c>
      <c r="G320" t="inlineStr">
        <is>
          <t>NORRKÖPING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44677</v>
      </c>
      <c r="E321" s="1" t="n">
        <v>46279</v>
      </c>
      <c r="F321" t="inlineStr">
        <is>
          <t>ÖSTERGÖTLANDS LÄN</t>
        </is>
      </c>
      <c r="G321" t="inlineStr">
        <is>
          <t>NORRKÖPING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46279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46279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46279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43322-2022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44834</v>
      </c>
      <c r="E325" s="1" t="n">
        <v>46279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10261-2026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46279</v>
      </c>
      <c r="F326" t="inlineStr">
        <is>
          <t>ÖSTERGÖTLANDS LÄN</t>
        </is>
      </c>
      <c r="G326" t="inlineStr">
        <is>
          <t>NORRKÖPING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46279</v>
      </c>
      <c r="F327" t="inlineStr">
        <is>
          <t>ÖSTERGÖTLANDS LÄN</t>
        </is>
      </c>
      <c r="G327" t="inlineStr">
        <is>
          <t>NORRKÖPING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44741</v>
      </c>
      <c r="E328" s="1" t="n">
        <v>46279</v>
      </c>
      <c r="F328" t="inlineStr">
        <is>
          <t>ÖSTERGÖTLANDS LÄN</t>
        </is>
      </c>
      <c r="G328" t="inlineStr">
        <is>
          <t>NORRKÖPING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46279</v>
      </c>
      <c r="F329" t="inlineStr">
        <is>
          <t>ÖSTERGÖTLANDS LÄN</t>
        </is>
      </c>
      <c r="G329" t="inlineStr">
        <is>
          <t>NORRKÖPING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46279</v>
      </c>
      <c r="F330" t="inlineStr">
        <is>
          <t>ÖSTERGÖTLANDS LÄN</t>
        </is>
      </c>
      <c r="G330" t="inlineStr">
        <is>
          <t>NORRKÖPING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46279</v>
      </c>
      <c r="F331" t="inlineStr">
        <is>
          <t>ÖSTERGÖTLANDS LÄN</t>
        </is>
      </c>
      <c r="G331" t="inlineStr">
        <is>
          <t>NORRKÖPING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14899-2023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45014</v>
      </c>
      <c r="E332" s="1" t="n">
        <v>46279</v>
      </c>
      <c r="F332" t="inlineStr">
        <is>
          <t>ÖSTERGÖTLANDS LÄN</t>
        </is>
      </c>
      <c r="G332" t="inlineStr">
        <is>
          <t>NORRKÖPING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46279</v>
      </c>
      <c r="F333" t="inlineStr">
        <is>
          <t>ÖSTERGÖTLANDS LÄN</t>
        </is>
      </c>
      <c r="G333" t="inlineStr">
        <is>
          <t>NORRKÖPING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46279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46279</v>
      </c>
      <c r="F335" t="inlineStr">
        <is>
          <t>ÖSTERGÖTLANDS LÄN</t>
        </is>
      </c>
      <c r="G335" t="inlineStr">
        <is>
          <t>NORRKÖPING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46279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46279</v>
      </c>
      <c r="F337" t="inlineStr">
        <is>
          <t>ÖSTERGÖTLANDS LÄN</t>
        </is>
      </c>
      <c r="G337" t="inlineStr">
        <is>
          <t>NORRKÖPING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46279</v>
      </c>
      <c r="F338" t="inlineStr">
        <is>
          <t>ÖSTERGÖTLANDS LÄN</t>
        </is>
      </c>
      <c r="G338" t="inlineStr">
        <is>
          <t>NORRKÖPING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45636</v>
      </c>
      <c r="E339" s="1" t="n">
        <v>46279</v>
      </c>
      <c r="F339" t="inlineStr">
        <is>
          <t>ÖSTERGÖTLANDS LÄN</t>
        </is>
      </c>
      <c r="G339" t="inlineStr">
        <is>
          <t>NORRKÖPING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46279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46279</v>
      </c>
      <c r="F341" t="inlineStr">
        <is>
          <t>ÖSTERGÖTLANDS LÄN</t>
        </is>
      </c>
      <c r="G341" t="inlineStr">
        <is>
          <t>NORRKÖPING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46279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23051-2022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44719</v>
      </c>
      <c r="E343" s="1" t="n">
        <v>46279</v>
      </c>
      <c r="F343" t="inlineStr">
        <is>
          <t>ÖSTERGÖTLANDS LÄN</t>
        </is>
      </c>
      <c r="G343" t="inlineStr">
        <is>
          <t>NORRKÖPING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45581</v>
      </c>
      <c r="E344" s="1" t="n">
        <v>46279</v>
      </c>
      <c r="F344" t="inlineStr">
        <is>
          <t>ÖSTERGÖTLANDS LÄN</t>
        </is>
      </c>
      <c r="G344" t="inlineStr">
        <is>
          <t>NORRKÖPING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46279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44573</v>
      </c>
      <c r="E346" s="1" t="n">
        <v>46279</v>
      </c>
      <c r="F346" t="inlineStr">
        <is>
          <t>ÖSTERGÖTLANDS LÄN</t>
        </is>
      </c>
      <c r="G346" t="inlineStr">
        <is>
          <t>NORRKÖPING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46279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46279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46279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46279</v>
      </c>
      <c r="F350" t="inlineStr">
        <is>
          <t>ÖSTERGÖTLANDS LÄN</t>
        </is>
      </c>
      <c r="G350" t="inlineStr">
        <is>
          <t>NORRKÖPING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45883</v>
      </c>
      <c r="E351" s="1" t="n">
        <v>46279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Allmännings- och besparingsskogar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46279</v>
      </c>
      <c r="F352" t="inlineStr">
        <is>
          <t>ÖSTERGÖTLANDS LÄN</t>
        </is>
      </c>
      <c r="G352" t="inlineStr">
        <is>
          <t>NORRKÖPING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46279</v>
      </c>
      <c r="F353" t="inlineStr">
        <is>
          <t>ÖSTERGÖTLANDS LÄN</t>
        </is>
      </c>
      <c r="G353" t="inlineStr">
        <is>
          <t>NORRKÖPING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46279</v>
      </c>
      <c r="F354" t="inlineStr">
        <is>
          <t>ÖSTERGÖTLANDS LÄN</t>
        </is>
      </c>
      <c r="G354" t="inlineStr">
        <is>
          <t>NORRKÖPING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64898-2021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44512</v>
      </c>
      <c r="E355" s="1" t="n">
        <v>46279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46279</v>
      </c>
      <c r="F356" t="inlineStr">
        <is>
          <t>ÖSTERGÖTLANDS LÄN</t>
        </is>
      </c>
      <c r="G356" t="inlineStr">
        <is>
          <t>NORRKÖPING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46279</v>
      </c>
      <c r="F357" t="inlineStr">
        <is>
          <t>ÖSTERGÖTLANDS LÄN</t>
        </is>
      </c>
      <c r="G357" t="inlineStr">
        <is>
          <t>NORRKÖPING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46279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13152-2024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45386</v>
      </c>
      <c r="E359" s="1" t="n">
        <v>46279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46279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46279</v>
      </c>
      <c r="F361" t="inlineStr">
        <is>
          <t>ÖSTERGÖTLANDS LÄN</t>
        </is>
      </c>
      <c r="G361" t="inlineStr">
        <is>
          <t>NORRKÖPING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45873</v>
      </c>
      <c r="E362" s="1" t="n">
        <v>46279</v>
      </c>
      <c r="F362" t="inlineStr">
        <is>
          <t>ÖSTERGÖTLANDS LÄN</t>
        </is>
      </c>
      <c r="G362" t="inlineStr">
        <is>
          <t>NORRKÖPING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23783-2022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44721</v>
      </c>
      <c r="E363" s="1" t="n">
        <v>46279</v>
      </c>
      <c r="F363" t="inlineStr">
        <is>
          <t>ÖSTERGÖTLANDS LÄN</t>
        </is>
      </c>
      <c r="G363" t="inlineStr">
        <is>
          <t>NORRKÖPING</t>
        </is>
      </c>
      <c r="I363" t="n">
        <v>11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45114</v>
      </c>
      <c r="E364" s="1" t="n">
        <v>46279</v>
      </c>
      <c r="F364" t="inlineStr">
        <is>
          <t>ÖSTERGÖTLANDS LÄN</t>
        </is>
      </c>
      <c r="G364" t="inlineStr">
        <is>
          <t>NORRKÖPING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57376-2024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46279</v>
      </c>
      <c r="F365" t="inlineStr">
        <is>
          <t>ÖSTERGÖTLANDS LÄN</t>
        </is>
      </c>
      <c r="G365" t="inlineStr">
        <is>
          <t>NORRKÖPING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46279</v>
      </c>
      <c r="F366" t="inlineStr">
        <is>
          <t>ÖSTERGÖTLANDS LÄN</t>
        </is>
      </c>
      <c r="G366" t="inlineStr">
        <is>
          <t>NORRKÖPING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36887-2022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44805</v>
      </c>
      <c r="E367" s="1" t="n">
        <v>46279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45117</v>
      </c>
      <c r="E368" s="1" t="n">
        <v>46279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45582</v>
      </c>
      <c r="E369" s="1" t="n">
        <v>46279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46279</v>
      </c>
      <c r="F370" t="inlineStr">
        <is>
          <t>ÖSTERGÖTLANDS LÄN</t>
        </is>
      </c>
      <c r="G370" t="inlineStr">
        <is>
          <t>NORRKÖPING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45597</v>
      </c>
      <c r="E371" s="1" t="n">
        <v>46279</v>
      </c>
      <c r="F371" t="inlineStr">
        <is>
          <t>ÖSTERGÖTLANDS LÄN</t>
        </is>
      </c>
      <c r="G371" t="inlineStr">
        <is>
          <t>NORRKÖPING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45469</v>
      </c>
      <c r="E372" s="1" t="n">
        <v>46279</v>
      </c>
      <c r="F372" t="inlineStr">
        <is>
          <t>ÖSTERGÖTLANDS LÄN</t>
        </is>
      </c>
      <c r="G372" t="inlineStr">
        <is>
          <t>NORRKÖPING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46279</v>
      </c>
      <c r="F373" t="inlineStr">
        <is>
          <t>ÖSTERGÖTLANDS LÄN</t>
        </is>
      </c>
      <c r="G373" t="inlineStr">
        <is>
          <t>NORRKÖPING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46279</v>
      </c>
      <c r="F374" t="inlineStr">
        <is>
          <t>ÖSTERGÖTLANDS LÄN</t>
        </is>
      </c>
      <c r="G374" t="inlineStr">
        <is>
          <t>NORRKÖPING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46279</v>
      </c>
      <c r="F375" t="inlineStr">
        <is>
          <t>ÖSTERGÖTLANDS LÄN</t>
        </is>
      </c>
      <c r="G375" t="inlineStr">
        <is>
          <t>NORRKÖPING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46090</v>
      </c>
      <c r="E376" s="1" t="n">
        <v>46279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44713</v>
      </c>
      <c r="E377" s="1" t="n">
        <v>46279</v>
      </c>
      <c r="F377" t="inlineStr">
        <is>
          <t>ÖSTERGÖTLANDS LÄN</t>
        </is>
      </c>
      <c r="G377" t="inlineStr">
        <is>
          <t>NORRKÖPING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46279</v>
      </c>
      <c r="F378" t="inlineStr">
        <is>
          <t>ÖSTERGÖTLANDS LÄN</t>
        </is>
      </c>
      <c r="G378" t="inlineStr">
        <is>
          <t>NORRKÖPING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46279</v>
      </c>
      <c r="F379" t="inlineStr">
        <is>
          <t>ÖSTERGÖTLANDS LÄN</t>
        </is>
      </c>
      <c r="G379" t="inlineStr">
        <is>
          <t>NORRKÖPING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32511-2023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46279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46279</v>
      </c>
      <c r="F381" t="inlineStr">
        <is>
          <t>ÖSTERGÖTLANDS LÄN</t>
        </is>
      </c>
      <c r="G381" t="inlineStr">
        <is>
          <t>NORRKÖPING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46279</v>
      </c>
      <c r="F382" t="inlineStr">
        <is>
          <t>ÖSTERGÖTLANDS LÄN</t>
        </is>
      </c>
      <c r="G382" t="inlineStr">
        <is>
          <t>NORRKÖPING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46279</v>
      </c>
      <c r="F383" t="inlineStr">
        <is>
          <t>ÖSTERGÖTLANDS LÄN</t>
        </is>
      </c>
      <c r="G383" t="inlineStr">
        <is>
          <t>NORRKÖPING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46279</v>
      </c>
      <c r="F384" t="inlineStr">
        <is>
          <t>ÖSTERGÖTLANDS LÄN</t>
        </is>
      </c>
      <c r="G384" t="inlineStr">
        <is>
          <t>NORRKÖPING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46279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46279</v>
      </c>
      <c r="F386" t="inlineStr">
        <is>
          <t>ÖSTERGÖTLANDS LÄN</t>
        </is>
      </c>
      <c r="G386" t="inlineStr">
        <is>
          <t>NORRKÖPING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47051-2023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45201</v>
      </c>
      <c r="E387" s="1" t="n">
        <v>46279</v>
      </c>
      <c r="F387" t="inlineStr">
        <is>
          <t>ÖSTERGÖTLANDS LÄN</t>
        </is>
      </c>
      <c r="G387" t="inlineStr">
        <is>
          <t>NORRKÖPING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45030</v>
      </c>
      <c r="E388" s="1" t="n">
        <v>46279</v>
      </c>
      <c r="F388" t="inlineStr">
        <is>
          <t>ÖSTERGÖTLANDS LÄN</t>
        </is>
      </c>
      <c r="G388" t="inlineStr">
        <is>
          <t>NORRKÖPING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46279</v>
      </c>
      <c r="F389" t="inlineStr">
        <is>
          <t>ÖSTERGÖTLANDS LÄN</t>
        </is>
      </c>
      <c r="G389" t="inlineStr">
        <is>
          <t>NORRKÖPING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46279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46279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47477-2022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44853</v>
      </c>
      <c r="E392" s="1" t="n">
        <v>46279</v>
      </c>
      <c r="F392" t="inlineStr">
        <is>
          <t>ÖSTERGÖTLANDS LÄN</t>
        </is>
      </c>
      <c r="G392" t="inlineStr">
        <is>
          <t>NORRKÖPING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46279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46279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12511-2023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44999</v>
      </c>
      <c r="E395" s="1" t="n">
        <v>46279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Allmännings- och besparingsskogar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45110</v>
      </c>
      <c r="E396" s="1" t="n">
        <v>46279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41223-2022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44826</v>
      </c>
      <c r="E397" s="1" t="n">
        <v>46279</v>
      </c>
      <c r="F397" t="inlineStr">
        <is>
          <t>ÖSTERGÖTLANDS LÄN</t>
        </is>
      </c>
      <c r="G397" t="inlineStr">
        <is>
          <t>NORRKÖPING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45442</v>
      </c>
      <c r="E398" s="1" t="n">
        <v>46279</v>
      </c>
      <c r="F398" t="inlineStr">
        <is>
          <t>ÖSTERGÖTLANDS LÄN</t>
        </is>
      </c>
      <c r="G398" t="inlineStr">
        <is>
          <t>NORRKÖPING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45442</v>
      </c>
      <c r="E399" s="1" t="n">
        <v>46279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45008</v>
      </c>
      <c r="E400" s="1" t="n">
        <v>46279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44980</v>
      </c>
      <c r="E401" s="1" t="n">
        <v>46279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46279</v>
      </c>
      <c r="F402" t="inlineStr">
        <is>
          <t>ÖSTERGÖTLANDS LÄN</t>
        </is>
      </c>
      <c r="G402" t="inlineStr">
        <is>
          <t>NORRKÖPING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46279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46279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46279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53881-2025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45961</v>
      </c>
      <c r="E406" s="1" t="n">
        <v>46279</v>
      </c>
      <c r="F406" t="inlineStr">
        <is>
          <t>ÖSTERGÖTLANDS LÄN</t>
        </is>
      </c>
      <c r="G406" t="inlineStr">
        <is>
          <t>NORRKÖPING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45229</v>
      </c>
      <c r="E407" s="1" t="n">
        <v>46279</v>
      </c>
      <c r="F407" t="inlineStr">
        <is>
          <t>ÖSTERGÖTLANDS LÄN</t>
        </is>
      </c>
      <c r="G407" t="inlineStr">
        <is>
          <t>NORRKÖPING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46279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46108</v>
      </c>
      <c r="E409" s="1" t="n">
        <v>46279</v>
      </c>
      <c r="F409" t="inlineStr">
        <is>
          <t>ÖSTERGÖTLANDS LÄN</t>
        </is>
      </c>
      <c r="G409" t="inlineStr">
        <is>
          <t>NORRKÖPING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18886-2025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45764</v>
      </c>
      <c r="E410" s="1" t="n">
        <v>46279</v>
      </c>
      <c r="F410" t="inlineStr">
        <is>
          <t>ÖSTERGÖTLANDS LÄN</t>
        </is>
      </c>
      <c r="G410" t="inlineStr">
        <is>
          <t>NORRKÖPING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45715</v>
      </c>
      <c r="E411" s="1" t="n">
        <v>46279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16682-2026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46279</v>
      </c>
      <c r="F412" t="inlineStr">
        <is>
          <t>ÖSTERGÖTLANDS LÄN</t>
        </is>
      </c>
      <c r="G412" t="inlineStr">
        <is>
          <t>NORRKÖPING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11587-2023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44992</v>
      </c>
      <c r="E413" s="1" t="n">
        <v>46279</v>
      </c>
      <c r="F413" t="inlineStr">
        <is>
          <t>ÖSTERGÖTLANDS LÄN</t>
        </is>
      </c>
      <c r="G413" t="inlineStr">
        <is>
          <t>NORRKÖPING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44575</v>
      </c>
      <c r="E414" s="1" t="n">
        <v>46279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44957</v>
      </c>
      <c r="E415" s="1" t="n">
        <v>46279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44945</v>
      </c>
      <c r="E416" s="1" t="n">
        <v>46279</v>
      </c>
      <c r="F416" t="inlineStr">
        <is>
          <t>ÖSTERGÖTLANDS LÄN</t>
        </is>
      </c>
      <c r="G416" t="inlineStr">
        <is>
          <t>NORRKÖPING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46279</v>
      </c>
      <c r="F417" t="inlineStr">
        <is>
          <t>ÖSTERGÖTLANDS LÄN</t>
        </is>
      </c>
      <c r="G417" t="inlineStr">
        <is>
          <t>NORRKÖPING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45110</v>
      </c>
      <c r="E418" s="1" t="n">
        <v>46279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63349-2023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45274</v>
      </c>
      <c r="E419" s="1" t="n">
        <v>46279</v>
      </c>
      <c r="F419" t="inlineStr">
        <is>
          <t>ÖSTERGÖTLANDS LÄN</t>
        </is>
      </c>
      <c r="G419" t="inlineStr">
        <is>
          <t>NORRKÖPING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46279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46279</v>
      </c>
      <c r="F421" t="inlineStr">
        <is>
          <t>ÖSTERGÖTLANDS LÄN</t>
        </is>
      </c>
      <c r="G421" t="inlineStr">
        <is>
          <t>NORRKÖPING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56589-2025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45975</v>
      </c>
      <c r="E422" s="1" t="n">
        <v>46279</v>
      </c>
      <c r="F422" t="inlineStr">
        <is>
          <t>ÖSTERGÖTLANDS LÄN</t>
        </is>
      </c>
      <c r="G422" t="inlineStr">
        <is>
          <t>NORRKÖPING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45077</v>
      </c>
      <c r="E423" s="1" t="n">
        <v>46279</v>
      </c>
      <c r="F423" t="inlineStr">
        <is>
          <t>ÖSTERGÖTLANDS LÄN</t>
        </is>
      </c>
      <c r="G423" t="inlineStr">
        <is>
          <t>NORRKÖPING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31801-2024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46279</v>
      </c>
      <c r="F424" t="inlineStr">
        <is>
          <t>ÖSTERGÖTLANDS LÄN</t>
        </is>
      </c>
      <c r="G424" t="inlineStr">
        <is>
          <t>NORRKÖPING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45976</v>
      </c>
      <c r="E425" s="1" t="n">
        <v>46279</v>
      </c>
      <c r="F425" t="inlineStr">
        <is>
          <t>ÖSTERGÖTLANDS LÄN</t>
        </is>
      </c>
      <c r="G425" t="inlineStr">
        <is>
          <t>NORRKÖPING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46279</v>
      </c>
      <c r="F426" t="inlineStr">
        <is>
          <t>ÖSTERGÖTLANDS LÄN</t>
        </is>
      </c>
      <c r="G426" t="inlineStr">
        <is>
          <t>NORRKÖPING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46279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46279</v>
      </c>
      <c r="F428" t="inlineStr">
        <is>
          <t>ÖSTERGÖTLANDS LÄN</t>
        </is>
      </c>
      <c r="G428" t="inlineStr">
        <is>
          <t>NORRKÖPING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46279</v>
      </c>
      <c r="F429" t="inlineStr">
        <is>
          <t>ÖSTERGÖTLANDS LÄN</t>
        </is>
      </c>
      <c r="G429" t="inlineStr">
        <is>
          <t>NORRKÖPING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45049</v>
      </c>
      <c r="E430" s="1" t="n">
        <v>46279</v>
      </c>
      <c r="F430" t="inlineStr">
        <is>
          <t>ÖSTERGÖTLANDS LÄN</t>
        </is>
      </c>
      <c r="G430" t="inlineStr">
        <is>
          <t>NORRKÖPING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46279</v>
      </c>
      <c r="F431" t="inlineStr">
        <is>
          <t>ÖSTERGÖTLANDS LÄN</t>
        </is>
      </c>
      <c r="G431" t="inlineStr">
        <is>
          <t>NORRKÖPING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44939</v>
      </c>
      <c r="E432" s="1" t="n">
        <v>46279</v>
      </c>
      <c r="F432" t="inlineStr">
        <is>
          <t>ÖSTERGÖTLANDS LÄN</t>
        </is>
      </c>
      <c r="G432" t="inlineStr">
        <is>
          <t>NORRKÖPING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14503-2023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46279</v>
      </c>
      <c r="F433" t="inlineStr">
        <is>
          <t>ÖSTERGÖTLANDS LÄN</t>
        </is>
      </c>
      <c r="G433" t="inlineStr">
        <is>
          <t>NORRKÖPING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55063-2023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45237</v>
      </c>
      <c r="E434" s="1" t="n">
        <v>46279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Kyrkan</t>
        </is>
      </c>
      <c r="I434" t="n">
        <v>9.699999999999999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46279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46279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Allmännings- och besparingsskogar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46279</v>
      </c>
      <c r="F437" t="inlineStr">
        <is>
          <t>ÖSTERGÖTLANDS LÄN</t>
        </is>
      </c>
      <c r="G437" t="inlineStr">
        <is>
          <t>NORRKÖPING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46279</v>
      </c>
      <c r="F438" t="inlineStr">
        <is>
          <t>ÖSTERGÖTLANDS LÄN</t>
        </is>
      </c>
      <c r="G438" t="inlineStr">
        <is>
          <t>NORRKÖPING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49452-2021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44454</v>
      </c>
      <c r="E439" s="1" t="n">
        <v>46279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46279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46279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46279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46279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44860</v>
      </c>
      <c r="E444" s="1" t="n">
        <v>46279</v>
      </c>
      <c r="F444" t="inlineStr">
        <is>
          <t>ÖSTERGÖTLANDS LÄN</t>
        </is>
      </c>
      <c r="G444" t="inlineStr">
        <is>
          <t>NORRKÖPING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45741</v>
      </c>
      <c r="E445" s="1" t="n">
        <v>46279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18819-2026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46279</v>
      </c>
      <c r="F446" t="inlineStr">
        <is>
          <t>ÖSTERGÖTLANDS LÄN</t>
        </is>
      </c>
      <c r="G446" t="inlineStr">
        <is>
          <t>NORRKÖPING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46279</v>
      </c>
      <c r="F447" t="inlineStr">
        <is>
          <t>ÖSTERGÖTLANDS LÄN</t>
        </is>
      </c>
      <c r="G447" t="inlineStr">
        <is>
          <t>NORRKÖPING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46279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46279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46279</v>
      </c>
      <c r="F450" t="inlineStr">
        <is>
          <t>ÖSTERGÖTLANDS LÄN</t>
        </is>
      </c>
      <c r="G450" t="inlineStr">
        <is>
          <t>NORRKÖPING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57733-2022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44897</v>
      </c>
      <c r="E451" s="1" t="n">
        <v>46279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44928</v>
      </c>
      <c r="E452" s="1" t="n">
        <v>46279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45836</v>
      </c>
      <c r="E453" s="1" t="n">
        <v>46279</v>
      </c>
      <c r="F453" t="inlineStr">
        <is>
          <t>ÖSTERGÖTLANDS LÄN</t>
        </is>
      </c>
      <c r="G453" t="inlineStr">
        <is>
          <t>NORRKÖPING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44923</v>
      </c>
      <c r="E454" s="1" t="n">
        <v>46279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45884</v>
      </c>
      <c r="E455" s="1" t="n">
        <v>46279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39224-2025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45889</v>
      </c>
      <c r="E456" s="1" t="n">
        <v>46279</v>
      </c>
      <c r="F456" t="inlineStr">
        <is>
          <t>ÖSTERGÖTLANDS LÄN</t>
        </is>
      </c>
      <c r="G456" t="inlineStr">
        <is>
          <t>NORRKÖPING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46279</v>
      </c>
      <c r="F457" t="inlineStr">
        <is>
          <t>ÖSTERGÖTLANDS LÄN</t>
        </is>
      </c>
      <c r="G457" t="inlineStr">
        <is>
          <t>NORRKÖPING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46279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46279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46279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46279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20001-2026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46135</v>
      </c>
      <c r="E462" s="1" t="n">
        <v>46279</v>
      </c>
      <c r="F462" t="inlineStr">
        <is>
          <t>ÖSTERGÖTLANDS LÄN</t>
        </is>
      </c>
      <c r="G462" t="inlineStr">
        <is>
          <t>NORRKÖPING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46279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59586-2022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44907</v>
      </c>
      <c r="E464" s="1" t="n">
        <v>46279</v>
      </c>
      <c r="F464" t="inlineStr">
        <is>
          <t>ÖSTERGÖTLANDS LÄN</t>
        </is>
      </c>
      <c r="G464" t="inlineStr">
        <is>
          <t>NORRKÖPING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45657</v>
      </c>
      <c r="E465" s="1" t="n">
        <v>46279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62370-2025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46279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44588</v>
      </c>
      <c r="E467" s="1" t="n">
        <v>46279</v>
      </c>
      <c r="F467" t="inlineStr">
        <is>
          <t>ÖSTERGÖTLANDS LÄN</t>
        </is>
      </c>
      <c r="G467" t="inlineStr">
        <is>
          <t>NORRKÖPING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46279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45833</v>
      </c>
      <c r="E469" s="1" t="n">
        <v>46279</v>
      </c>
      <c r="F469" t="inlineStr">
        <is>
          <t>ÖSTERGÖTLANDS LÄN</t>
        </is>
      </c>
      <c r="G469" t="inlineStr">
        <is>
          <t>NORRKÖPING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63229-2025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46279</v>
      </c>
      <c r="F470" t="inlineStr">
        <is>
          <t>ÖSTERGÖTLANDS LÄN</t>
        </is>
      </c>
      <c r="G470" t="inlineStr">
        <is>
          <t>NORRKÖPING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20587-2024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45436</v>
      </c>
      <c r="E471" s="1" t="n">
        <v>46279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63165-2025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46279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46279</v>
      </c>
      <c r="F473" t="inlineStr">
        <is>
          <t>ÖSTERGÖTLANDS LÄN</t>
        </is>
      </c>
      <c r="G473" t="inlineStr">
        <is>
          <t>NORRKÖPING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32630-2022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44783</v>
      </c>
      <c r="E474" s="1" t="n">
        <v>46279</v>
      </c>
      <c r="F474" t="inlineStr">
        <is>
          <t>ÖSTERGÖTLANDS LÄN</t>
        </is>
      </c>
      <c r="G474" t="inlineStr">
        <is>
          <t>NORRKÖPING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46279</v>
      </c>
      <c r="F475" t="inlineStr">
        <is>
          <t>ÖSTERGÖTLANDS LÄN</t>
        </is>
      </c>
      <c r="G475" t="inlineStr">
        <is>
          <t>NORRKÖPING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45966</v>
      </c>
      <c r="E476" s="1" t="n">
        <v>46279</v>
      </c>
      <c r="F476" t="inlineStr">
        <is>
          <t>ÖSTERGÖTLANDS LÄN</t>
        </is>
      </c>
      <c r="G476" t="inlineStr">
        <is>
          <t>NORRKÖPING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9714-2025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45716</v>
      </c>
      <c r="E477" s="1" t="n">
        <v>46279</v>
      </c>
      <c r="F477" t="inlineStr">
        <is>
          <t>ÖSTERGÖTLANDS LÄN</t>
        </is>
      </c>
      <c r="G477" t="inlineStr">
        <is>
          <t>NORRKÖPING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45891</v>
      </c>
      <c r="E478" s="1" t="n">
        <v>46279</v>
      </c>
      <c r="F478" t="inlineStr">
        <is>
          <t>ÖSTERGÖTLANDS LÄN</t>
        </is>
      </c>
      <c r="G478" t="inlineStr">
        <is>
          <t>NORRKÖPING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39863-2025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45891</v>
      </c>
      <c r="E479" s="1" t="n">
        <v>46279</v>
      </c>
      <c r="F479" t="inlineStr">
        <is>
          <t>ÖSTERGÖTLANDS LÄN</t>
        </is>
      </c>
      <c r="G479" t="inlineStr">
        <is>
          <t>NORRKÖPING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45520</v>
      </c>
      <c r="E480" s="1" t="n">
        <v>46279</v>
      </c>
      <c r="F480" t="inlineStr">
        <is>
          <t>ÖSTERGÖTLANDS LÄN</t>
        </is>
      </c>
      <c r="G480" t="inlineStr">
        <is>
          <t>NORRKÖPING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20340-2026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46279</v>
      </c>
      <c r="F481" t="inlineStr">
        <is>
          <t>ÖSTERGÖTLANDS LÄN</t>
        </is>
      </c>
      <c r="G481" t="inlineStr">
        <is>
          <t>NORRKÖPING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38719-2025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45886</v>
      </c>
      <c r="E482" s="1" t="n">
        <v>46279</v>
      </c>
      <c r="F482" t="inlineStr">
        <is>
          <t>ÖSTERGÖTLANDS LÄN</t>
        </is>
      </c>
      <c r="G482" t="inlineStr">
        <is>
          <t>NORRKÖPING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46279</v>
      </c>
      <c r="F483" t="inlineStr">
        <is>
          <t>ÖSTERGÖTLANDS LÄN</t>
        </is>
      </c>
      <c r="G483" t="inlineStr">
        <is>
          <t>NORRKÖPING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12538-2024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45379</v>
      </c>
      <c r="E484" s="1" t="n">
        <v>46279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63944-2025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46279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56210-2023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45240</v>
      </c>
      <c r="E486" s="1" t="n">
        <v>46279</v>
      </c>
      <c r="F486" t="inlineStr">
        <is>
          <t>ÖSTERGÖTLANDS LÄN</t>
        </is>
      </c>
      <c r="G486" t="inlineStr">
        <is>
          <t>NORRKÖPING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46279</v>
      </c>
      <c r="F487" t="inlineStr">
        <is>
          <t>ÖSTERGÖTLANDS LÄN</t>
        </is>
      </c>
      <c r="G487" t="inlineStr">
        <is>
          <t>NORRKÖPING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46279</v>
      </c>
      <c r="F488" t="inlineStr">
        <is>
          <t>ÖSTERGÖTLANDS LÄN</t>
        </is>
      </c>
      <c r="G488" t="inlineStr">
        <is>
          <t>NORRKÖPING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42173-2023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45178</v>
      </c>
      <c r="E489" s="1" t="n">
        <v>46279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46279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45339</v>
      </c>
      <c r="E491" s="1" t="n">
        <v>46279</v>
      </c>
      <c r="F491" t="inlineStr">
        <is>
          <t>ÖSTERGÖTLANDS LÄN</t>
        </is>
      </c>
      <c r="G491" t="inlineStr">
        <is>
          <t>NORRKÖPING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16590-2024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45408</v>
      </c>
      <c r="E492" s="1" t="n">
        <v>46279</v>
      </c>
      <c r="F492" t="inlineStr">
        <is>
          <t>ÖSTERGÖTLANDS LÄN</t>
        </is>
      </c>
      <c r="G492" t="inlineStr">
        <is>
          <t>NORRKÖPING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59520-2023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45254</v>
      </c>
      <c r="E493" s="1" t="n">
        <v>46279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BillerudKorsnäs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46279</v>
      </c>
      <c r="F494" t="inlineStr">
        <is>
          <t>ÖSTERGÖTLANDS LÄN</t>
        </is>
      </c>
      <c r="G494" t="inlineStr">
        <is>
          <t>NORRKÖPING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46279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46279</v>
      </c>
      <c r="F496" t="inlineStr">
        <is>
          <t>ÖSTERGÖTLANDS LÄN</t>
        </is>
      </c>
      <c r="G496" t="inlineStr">
        <is>
          <t>NORRKÖPING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46042</v>
      </c>
      <c r="E497" s="1" t="n">
        <v>46279</v>
      </c>
      <c r="F497" t="inlineStr">
        <is>
          <t>ÖSTERGÖTLANDS LÄN</t>
        </is>
      </c>
      <c r="G497" t="inlineStr">
        <is>
          <t>NORRKÖPING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44607</v>
      </c>
      <c r="E498" s="1" t="n">
        <v>46279</v>
      </c>
      <c r="F498" t="inlineStr">
        <is>
          <t>ÖSTERGÖTLANDS LÄN</t>
        </is>
      </c>
      <c r="G498" t="inlineStr">
        <is>
          <t>NORRKÖPING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46279</v>
      </c>
      <c r="F499" t="inlineStr">
        <is>
          <t>ÖSTERGÖTLANDS LÄN</t>
        </is>
      </c>
      <c r="G499" t="inlineStr">
        <is>
          <t>NORRKÖPING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46041</v>
      </c>
      <c r="E500" s="1" t="n">
        <v>46279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Kommuner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45796</v>
      </c>
      <c r="E501" s="1" t="n">
        <v>46279</v>
      </c>
      <c r="F501" t="inlineStr">
        <is>
          <t>ÖSTERGÖTLANDS LÄN</t>
        </is>
      </c>
      <c r="G501" t="inlineStr">
        <is>
          <t>NORRKÖPING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44950</v>
      </c>
      <c r="E502" s="1" t="n">
        <v>46279</v>
      </c>
      <c r="F502" t="inlineStr">
        <is>
          <t>ÖSTERGÖTLANDS LÄN</t>
        </is>
      </c>
      <c r="G502" t="inlineStr">
        <is>
          <t>NORRKÖPING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46279</v>
      </c>
      <c r="F503" t="inlineStr">
        <is>
          <t>ÖSTERGÖTLANDS LÄN</t>
        </is>
      </c>
      <c r="G503" t="inlineStr">
        <is>
          <t>NORRKÖPING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46279</v>
      </c>
      <c r="F504" t="inlineStr">
        <is>
          <t>ÖSTERGÖTLANDS LÄN</t>
        </is>
      </c>
      <c r="G504" t="inlineStr">
        <is>
          <t>NORRKÖPING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45006</v>
      </c>
      <c r="E505" s="1" t="n">
        <v>46279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45030</v>
      </c>
      <c r="E506" s="1" t="n">
        <v>46279</v>
      </c>
      <c r="F506" t="inlineStr">
        <is>
          <t>ÖSTERGÖTLANDS LÄN</t>
        </is>
      </c>
      <c r="G506" t="inlineStr">
        <is>
          <t>NORRKÖPING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45030</v>
      </c>
      <c r="E507" s="1" t="n">
        <v>46279</v>
      </c>
      <c r="F507" t="inlineStr">
        <is>
          <t>ÖSTERGÖTLANDS LÄN</t>
        </is>
      </c>
      <c r="G507" t="inlineStr">
        <is>
          <t>NORRKÖPING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46046</v>
      </c>
      <c r="E508" s="1" t="n">
        <v>46279</v>
      </c>
      <c r="F508" t="inlineStr">
        <is>
          <t>ÖSTERGÖTLANDS LÄN</t>
        </is>
      </c>
      <c r="G508" t="inlineStr">
        <is>
          <t>NORRKÖPING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46279</v>
      </c>
      <c r="F509" t="inlineStr">
        <is>
          <t>ÖSTERGÖTLANDS LÄN</t>
        </is>
      </c>
      <c r="G509" t="inlineStr">
        <is>
          <t>NORRKÖPING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46279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46046</v>
      </c>
      <c r="E511" s="1" t="n">
        <v>46279</v>
      </c>
      <c r="F511" t="inlineStr">
        <is>
          <t>ÖSTERGÖTLANDS LÄN</t>
        </is>
      </c>
      <c r="G511" t="inlineStr">
        <is>
          <t>NORRKÖPING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46279</v>
      </c>
      <c r="F512" t="inlineStr">
        <is>
          <t>ÖSTERGÖTLANDS LÄN</t>
        </is>
      </c>
      <c r="G512" t="inlineStr">
        <is>
          <t>NORRKÖPING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11612-2023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44994</v>
      </c>
      <c r="E513" s="1" t="n">
        <v>46279</v>
      </c>
      <c r="F513" t="inlineStr">
        <is>
          <t>ÖSTERGÖTLANDS LÄN</t>
        </is>
      </c>
      <c r="G513" t="inlineStr">
        <is>
          <t>NORRKÖPING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46279</v>
      </c>
      <c r="F514" t="inlineStr">
        <is>
          <t>ÖSTERGÖTLANDS LÄN</t>
        </is>
      </c>
      <c r="G514" t="inlineStr">
        <is>
          <t>NORRKÖPING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30159-2023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46279</v>
      </c>
      <c r="F515" t="inlineStr">
        <is>
          <t>ÖSTERGÖTLANDS LÄN</t>
        </is>
      </c>
      <c r="G515" t="inlineStr">
        <is>
          <t>NORRKÖPING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46279</v>
      </c>
      <c r="F516" t="inlineStr">
        <is>
          <t>ÖSTERGÖTLANDS LÄN</t>
        </is>
      </c>
      <c r="G516" t="inlineStr">
        <is>
          <t>NORRKÖPING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46279</v>
      </c>
      <c r="F517" t="inlineStr">
        <is>
          <t>ÖSTERGÖTLANDS LÄN</t>
        </is>
      </c>
      <c r="G517" t="inlineStr">
        <is>
          <t>NORRKÖPING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46279</v>
      </c>
      <c r="F518" t="inlineStr">
        <is>
          <t>ÖSTERGÖTLANDS LÄN</t>
        </is>
      </c>
      <c r="G518" t="inlineStr">
        <is>
          <t>NORRKÖPING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46279</v>
      </c>
      <c r="F519" t="inlineStr">
        <is>
          <t>ÖSTERGÖTLANDS LÄN</t>
        </is>
      </c>
      <c r="G519" t="inlineStr">
        <is>
          <t>NORRKÖPING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46279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46279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Kommuner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46139</v>
      </c>
      <c r="E522" s="1" t="n">
        <v>46279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46279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46279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20352-2026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46139</v>
      </c>
      <c r="E525" s="1" t="n">
        <v>46279</v>
      </c>
      <c r="F525" t="inlineStr">
        <is>
          <t>ÖSTERGÖTLANDS LÄN</t>
        </is>
      </c>
      <c r="G525" t="inlineStr">
        <is>
          <t>NORRKÖPING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36302-2025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45867</v>
      </c>
      <c r="E526" s="1" t="n">
        <v>46279</v>
      </c>
      <c r="F526" t="inlineStr">
        <is>
          <t>ÖSTERGÖTLANDS LÄN</t>
        </is>
      </c>
      <c r="G526" t="inlineStr">
        <is>
          <t>NORRKÖPING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44957</v>
      </c>
      <c r="E527" s="1" t="n">
        <v>46279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59768-2021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44494</v>
      </c>
      <c r="E528" s="1" t="n">
        <v>46279</v>
      </c>
      <c r="F528" t="inlineStr">
        <is>
          <t>ÖSTERGÖTLANDS LÄN</t>
        </is>
      </c>
      <c r="G528" t="inlineStr">
        <is>
          <t>NORRKÖPING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46279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46279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45637</v>
      </c>
      <c r="E531" s="1" t="n">
        <v>46279</v>
      </c>
      <c r="F531" t="inlineStr">
        <is>
          <t>ÖSTERGÖTLANDS LÄN</t>
        </is>
      </c>
      <c r="G531" t="inlineStr">
        <is>
          <t>NORRKÖPING</t>
        </is>
      </c>
      <c r="I531" t="n">
        <v>24.7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48758-2024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45593</v>
      </c>
      <c r="E532" s="1" t="n">
        <v>46279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33170-2023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45126</v>
      </c>
      <c r="E533" s="1" t="n">
        <v>46279</v>
      </c>
      <c r="F533" t="inlineStr">
        <is>
          <t>ÖSTERGÖTLANDS LÄN</t>
        </is>
      </c>
      <c r="G533" t="inlineStr">
        <is>
          <t>NORRKÖPING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45126</v>
      </c>
      <c r="E534" s="1" t="n">
        <v>46279</v>
      </c>
      <c r="F534" t="inlineStr">
        <is>
          <t>ÖSTERGÖTLANDS LÄN</t>
        </is>
      </c>
      <c r="G534" t="inlineStr">
        <is>
          <t>NORRKÖPING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34977-2023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45141</v>
      </c>
      <c r="E535" s="1" t="n">
        <v>46279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Allmännings- och besparingsskogar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45145</v>
      </c>
      <c r="E536" s="1" t="n">
        <v>46279</v>
      </c>
      <c r="F536" t="inlineStr">
        <is>
          <t>ÖSTERGÖTLANDS LÄN</t>
        </is>
      </c>
      <c r="G536" t="inlineStr">
        <is>
          <t>NORRKÖPING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45400</v>
      </c>
      <c r="E537" s="1" t="n">
        <v>46279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45403</v>
      </c>
      <c r="E538" s="1" t="n">
        <v>46279</v>
      </c>
      <c r="F538" t="inlineStr">
        <is>
          <t>ÖSTERGÖTLANDS LÄN</t>
        </is>
      </c>
      <c r="G538" t="inlineStr">
        <is>
          <t>NORRKÖPING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44935</v>
      </c>
      <c r="E539" s="1" t="n">
        <v>46279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45114</v>
      </c>
      <c r="E540" s="1" t="n">
        <v>46279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31361-2023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45114</v>
      </c>
      <c r="E541" s="1" t="n">
        <v>46279</v>
      </c>
      <c r="F541" t="inlineStr">
        <is>
          <t>ÖSTERGÖTLANDS LÄN</t>
        </is>
      </c>
      <c r="G541" t="inlineStr">
        <is>
          <t>NORRKÖPING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45706</v>
      </c>
      <c r="E542" s="1" t="n">
        <v>46279</v>
      </c>
      <c r="F542" t="inlineStr">
        <is>
          <t>ÖSTERGÖTLANDS LÄN</t>
        </is>
      </c>
      <c r="G542" t="inlineStr">
        <is>
          <t>NORRKÖPING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38441-2024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46279</v>
      </c>
      <c r="F543" t="inlineStr">
        <is>
          <t>ÖSTERGÖTLANDS LÄN</t>
        </is>
      </c>
      <c r="G543" t="inlineStr">
        <is>
          <t>NORRKÖPING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8806-2024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46279</v>
      </c>
      <c r="F544" t="inlineStr">
        <is>
          <t>ÖSTERGÖTLANDS LÄN</t>
        </is>
      </c>
      <c r="G544" t="inlineStr">
        <is>
          <t>NORRKÖPING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46279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46146</v>
      </c>
      <c r="E546" s="1" t="n">
        <v>46279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26392-2023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46279</v>
      </c>
      <c r="F547" t="inlineStr">
        <is>
          <t>ÖSTERGÖTLANDS LÄN</t>
        </is>
      </c>
      <c r="G547" t="inlineStr">
        <is>
          <t>NORRKÖPING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62049-2023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45266</v>
      </c>
      <c r="E548" s="1" t="n">
        <v>46279</v>
      </c>
      <c r="F548" t="inlineStr">
        <is>
          <t>ÖSTERGÖTLANDS LÄN</t>
        </is>
      </c>
      <c r="G548" t="inlineStr">
        <is>
          <t>NORRKÖPING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16949-2023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45033</v>
      </c>
      <c r="E549" s="1" t="n">
        <v>46279</v>
      </c>
      <c r="F549" t="inlineStr">
        <is>
          <t>ÖSTERGÖTLANDS LÄN</t>
        </is>
      </c>
      <c r="G549" t="inlineStr">
        <is>
          <t>NORRKÖPING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70378-2021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44536</v>
      </c>
      <c r="E550" s="1" t="n">
        <v>46279</v>
      </c>
      <c r="F550" t="inlineStr">
        <is>
          <t>ÖSTERGÖTLANDS LÄN</t>
        </is>
      </c>
      <c r="G550" t="inlineStr">
        <is>
          <t>NORRKÖPING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5868-2022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44596</v>
      </c>
      <c r="E551" s="1" t="n">
        <v>46279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1506-2022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44573</v>
      </c>
      <c r="E552" s="1" t="n">
        <v>46279</v>
      </c>
      <c r="F552" t="inlineStr">
        <is>
          <t>ÖSTERGÖTLANDS LÄN</t>
        </is>
      </c>
      <c r="G552" t="inlineStr">
        <is>
          <t>NORRKÖPING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11136-2025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46279</v>
      </c>
      <c r="F553" t="inlineStr">
        <is>
          <t>ÖSTERGÖTLANDS LÄN</t>
        </is>
      </c>
      <c r="G553" t="inlineStr">
        <is>
          <t>NORRKÖPING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45550</v>
      </c>
      <c r="E554" s="1" t="n">
        <v>46279</v>
      </c>
      <c r="F554" t="inlineStr">
        <is>
          <t>ÖSTERGÖTLANDS LÄN</t>
        </is>
      </c>
      <c r="G554" t="inlineStr">
        <is>
          <t>NORRKÖPING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46279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Allmännings- och besparingsskogar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45159</v>
      </c>
      <c r="E556" s="1" t="n">
        <v>46279</v>
      </c>
      <c r="F556" t="inlineStr">
        <is>
          <t>ÖSTERGÖTLANDS LÄN</t>
        </is>
      </c>
      <c r="G556" t="inlineStr">
        <is>
          <t>NORRKÖPING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19702-2024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45432</v>
      </c>
      <c r="E557" s="1" t="n">
        <v>46279</v>
      </c>
      <c r="F557" t="inlineStr">
        <is>
          <t>ÖSTERGÖTLANDS LÄN</t>
        </is>
      </c>
      <c r="G557" t="inlineStr">
        <is>
          <t>NORRKÖPING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45043</v>
      </c>
      <c r="E558" s="1" t="n">
        <v>46279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43344-2023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45183</v>
      </c>
      <c r="E559" s="1" t="n">
        <v>46279</v>
      </c>
      <c r="F559" t="inlineStr">
        <is>
          <t>ÖSTERGÖTLANDS LÄN</t>
        </is>
      </c>
      <c r="G559" t="inlineStr">
        <is>
          <t>NORRKÖPING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45183</v>
      </c>
      <c r="E560" s="1" t="n">
        <v>46279</v>
      </c>
      <c r="F560" t="inlineStr">
        <is>
          <t>ÖSTERGÖTLANDS LÄN</t>
        </is>
      </c>
      <c r="G560" t="inlineStr">
        <is>
          <t>NORRKÖPING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2287-2025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45673</v>
      </c>
      <c r="E561" s="1" t="n">
        <v>46279</v>
      </c>
      <c r="F561" t="inlineStr">
        <is>
          <t>ÖSTERGÖTLANDS LÄN</t>
        </is>
      </c>
      <c r="G561" t="inlineStr">
        <is>
          <t>NORRKÖPING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45053</v>
      </c>
      <c r="E562" s="1" t="n">
        <v>46279</v>
      </c>
      <c r="F562" t="inlineStr">
        <is>
          <t>ÖSTERGÖTLANDS LÄN</t>
        </is>
      </c>
      <c r="G562" t="inlineStr">
        <is>
          <t>NORRKÖPING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45217</v>
      </c>
      <c r="E563" s="1" t="n">
        <v>46279</v>
      </c>
      <c r="F563" t="inlineStr">
        <is>
          <t>ÖSTERGÖTLANDS LÄN</t>
        </is>
      </c>
      <c r="G563" t="inlineStr">
        <is>
          <t>NORRKÖPING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58901-2024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45636</v>
      </c>
      <c r="E564" s="1" t="n">
        <v>46279</v>
      </c>
      <c r="F564" t="inlineStr">
        <is>
          <t>ÖSTERGÖTLANDS LÄN</t>
        </is>
      </c>
      <c r="G564" t="inlineStr">
        <is>
          <t>NORRKÖPING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45313</v>
      </c>
      <c r="E565" s="1" t="n">
        <v>46279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45121</v>
      </c>
      <c r="E566" s="1" t="n">
        <v>46279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46279</v>
      </c>
      <c r="F567" t="inlineStr">
        <is>
          <t>ÖSTERGÖTLANDS LÄN</t>
        </is>
      </c>
      <c r="G567" t="inlineStr">
        <is>
          <t>NORRKÖPING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48091-2023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45205</v>
      </c>
      <c r="E568" s="1" t="n">
        <v>46279</v>
      </c>
      <c r="F568" t="inlineStr">
        <is>
          <t>ÖSTERGÖTLANDS LÄN</t>
        </is>
      </c>
      <c r="G568" t="inlineStr">
        <is>
          <t>NORRKÖPING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48122-2023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45205</v>
      </c>
      <c r="E569" s="1" t="n">
        <v>46279</v>
      </c>
      <c r="F569" t="inlineStr">
        <is>
          <t>ÖSTERGÖTLANDS LÄN</t>
        </is>
      </c>
      <c r="G569" t="inlineStr">
        <is>
          <t>NORRKÖPING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46279</v>
      </c>
      <c r="F570" t="inlineStr">
        <is>
          <t>ÖSTERGÖTLANDS LÄN</t>
        </is>
      </c>
      <c r="G570" t="inlineStr">
        <is>
          <t>NORRKÖPING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44679</v>
      </c>
      <c r="E571" s="1" t="n">
        <v>46279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57380-2024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45629</v>
      </c>
      <c r="E572" s="1" t="n">
        <v>46279</v>
      </c>
      <c r="F572" t="inlineStr">
        <is>
          <t>ÖSTERGÖTLANDS LÄN</t>
        </is>
      </c>
      <c r="G572" t="inlineStr">
        <is>
          <t>NORRKÖPING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18128-2025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45761</v>
      </c>
      <c r="E573" s="1" t="n">
        <v>46279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11344-2022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44630</v>
      </c>
      <c r="E574" s="1" t="n">
        <v>46279</v>
      </c>
      <c r="F574" t="inlineStr">
        <is>
          <t>ÖSTERGÖTLANDS LÄN</t>
        </is>
      </c>
      <c r="G574" t="inlineStr">
        <is>
          <t>NORRKÖPING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49462-2023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45211</v>
      </c>
      <c r="E575" s="1" t="n">
        <v>46279</v>
      </c>
      <c r="F575" t="inlineStr">
        <is>
          <t>ÖSTERGÖTLANDS LÄN</t>
        </is>
      </c>
      <c r="G575" t="inlineStr">
        <is>
          <t>NORRKÖPING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7853-2026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46061</v>
      </c>
      <c r="E576" s="1" t="n">
        <v>46279</v>
      </c>
      <c r="F576" t="inlineStr">
        <is>
          <t>ÖSTERGÖTLANDS LÄN</t>
        </is>
      </c>
      <c r="G576" t="inlineStr">
        <is>
          <t>NORRKÖPING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14138-2022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44651</v>
      </c>
      <c r="E577" s="1" t="n">
        <v>46279</v>
      </c>
      <c r="F577" t="inlineStr">
        <is>
          <t>ÖSTERGÖTLANDS LÄN</t>
        </is>
      </c>
      <c r="G577" t="inlineStr">
        <is>
          <t>NORRKÖPING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19739-2024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45432</v>
      </c>
      <c r="E578" s="1" t="n">
        <v>46279</v>
      </c>
      <c r="F578" t="inlineStr">
        <is>
          <t>ÖSTERGÖTLANDS LÄN</t>
        </is>
      </c>
      <c r="G578" t="inlineStr">
        <is>
          <t>NORRKÖPING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45889</v>
      </c>
      <c r="E579" s="1" t="n">
        <v>46279</v>
      </c>
      <c r="F579" t="inlineStr">
        <is>
          <t>ÖSTERGÖTLANDS LÄN</t>
        </is>
      </c>
      <c r="G579" t="inlineStr">
        <is>
          <t>NORRKÖPING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22319-2024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45446</v>
      </c>
      <c r="E580" s="1" t="n">
        <v>46279</v>
      </c>
      <c r="F580" t="inlineStr">
        <is>
          <t>ÖSTERGÖTLANDS LÄN</t>
        </is>
      </c>
      <c r="G580" t="inlineStr">
        <is>
          <t>NORRKÖPING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45446</v>
      </c>
      <c r="E581" s="1" t="n">
        <v>46279</v>
      </c>
      <c r="F581" t="inlineStr">
        <is>
          <t>ÖSTERGÖTLANDS LÄN</t>
        </is>
      </c>
      <c r="G581" t="inlineStr">
        <is>
          <t>NORRKÖPING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46279</v>
      </c>
      <c r="F582" t="inlineStr">
        <is>
          <t>ÖSTERGÖTLANDS LÄN</t>
        </is>
      </c>
      <c r="G582" t="inlineStr">
        <is>
          <t>NORRKÖPING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50092-2023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45215</v>
      </c>
      <c r="E583" s="1" t="n">
        <v>46279</v>
      </c>
      <c r="F583" t="inlineStr">
        <is>
          <t>ÖSTERGÖTLANDS LÄN</t>
        </is>
      </c>
      <c r="G583" t="inlineStr">
        <is>
          <t>NORRKÖPING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45188</v>
      </c>
      <c r="E584" s="1" t="n">
        <v>46279</v>
      </c>
      <c r="F584" t="inlineStr">
        <is>
          <t>ÖSTERGÖTLANDS LÄN</t>
        </is>
      </c>
      <c r="G584" t="inlineStr">
        <is>
          <t>NORRKÖPING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9542-2025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45715</v>
      </c>
      <c r="E585" s="1" t="n">
        <v>46279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11140-2025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45723</v>
      </c>
      <c r="E586" s="1" t="n">
        <v>46279</v>
      </c>
      <c r="F586" t="inlineStr">
        <is>
          <t>ÖSTERGÖTLANDS LÄN</t>
        </is>
      </c>
      <c r="G586" t="inlineStr">
        <is>
          <t>NORRKÖPING</t>
        </is>
      </c>
      <c r="I586" t="n">
        <v>13.9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45699</v>
      </c>
      <c r="E587" s="1" t="n">
        <v>46279</v>
      </c>
      <c r="F587" t="inlineStr">
        <is>
          <t>ÖSTERGÖTLANDS LÄN</t>
        </is>
      </c>
      <c r="G587" t="inlineStr">
        <is>
          <t>NORRKÖPING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47846-2023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45204</v>
      </c>
      <c r="E588" s="1" t="n">
        <v>46279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Naturvårdsverket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26294-2024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45468</v>
      </c>
      <c r="E589" s="1" t="n">
        <v>46279</v>
      </c>
      <c r="F589" t="inlineStr">
        <is>
          <t>ÖSTERGÖTLANDS LÄN</t>
        </is>
      </c>
      <c r="G589" t="inlineStr">
        <is>
          <t>NORRKÖPING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46175</v>
      </c>
      <c r="E590" s="1" t="n">
        <v>46279</v>
      </c>
      <c r="F590" t="inlineStr">
        <is>
          <t>ÖSTERGÖTLANDS LÄN</t>
        </is>
      </c>
      <c r="G590" t="inlineStr">
        <is>
          <t>NORRKÖPING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45401</v>
      </c>
      <c r="E591" s="1" t="n">
        <v>46279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63417-2023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45274</v>
      </c>
      <c r="E592" s="1" t="n">
        <v>46279</v>
      </c>
      <c r="F592" t="inlineStr">
        <is>
          <t>ÖSTERGÖTLANDS LÄN</t>
        </is>
      </c>
      <c r="G592" t="inlineStr">
        <is>
          <t>NORRKÖPING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45252</v>
      </c>
      <c r="E593" s="1" t="n">
        <v>46279</v>
      </c>
      <c r="F593" t="inlineStr">
        <is>
          <t>ÖSTERGÖTLANDS LÄN</t>
        </is>
      </c>
      <c r="G593" t="inlineStr">
        <is>
          <t>NORRKÖPING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45075-2023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45191</v>
      </c>
      <c r="E594" s="1" t="n">
        <v>46279</v>
      </c>
      <c r="F594" t="inlineStr">
        <is>
          <t>ÖSTERGÖTLANDS LÄN</t>
        </is>
      </c>
      <c r="G594" t="inlineStr">
        <is>
          <t>NORRKÖPING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46279</v>
      </c>
      <c r="F595" t="inlineStr">
        <is>
          <t>ÖSTERGÖTLANDS LÄN</t>
        </is>
      </c>
      <c r="G595" t="inlineStr">
        <is>
          <t>NORRKÖPING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25693-2026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46279</v>
      </c>
      <c r="F596" t="inlineStr">
        <is>
          <t>ÖSTERGÖTLANDS LÄN</t>
        </is>
      </c>
      <c r="G596" t="inlineStr">
        <is>
          <t>NORRKÖPING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46279</v>
      </c>
      <c r="F597" t="inlineStr">
        <is>
          <t>ÖSTERGÖTLANDS LÄN</t>
        </is>
      </c>
      <c r="G597" t="inlineStr">
        <is>
          <t>NORRKÖPING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46279</v>
      </c>
      <c r="F598" t="inlineStr">
        <is>
          <t>ÖSTERGÖTLANDS LÄN</t>
        </is>
      </c>
      <c r="G598" t="inlineStr">
        <is>
          <t>NORRKÖPING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17821-2025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45758</v>
      </c>
      <c r="E599" s="1" t="n">
        <v>46279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59964-2023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46279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46279</v>
      </c>
      <c r="F601" t="inlineStr">
        <is>
          <t>ÖSTERGÖTLANDS LÄN</t>
        </is>
      </c>
      <c r="G601" t="inlineStr">
        <is>
          <t>NORRKÖPING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57492-2023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45246</v>
      </c>
      <c r="E602" s="1" t="n">
        <v>46279</v>
      </c>
      <c r="F602" t="inlineStr">
        <is>
          <t>ÖSTERGÖTLANDS LÄN</t>
        </is>
      </c>
      <c r="G602" t="inlineStr">
        <is>
          <t>NORRKÖPING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57496-2023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45246</v>
      </c>
      <c r="E603" s="1" t="n">
        <v>46279</v>
      </c>
      <c r="F603" t="inlineStr">
        <is>
          <t>ÖSTERGÖTLANDS LÄN</t>
        </is>
      </c>
      <c r="G603" t="inlineStr">
        <is>
          <t>NORRKÖPING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46279</v>
      </c>
      <c r="F604" t="inlineStr">
        <is>
          <t>ÖSTERGÖTLANDS LÄN</t>
        </is>
      </c>
      <c r="G604" t="inlineStr">
        <is>
          <t>NORRKÖPING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46279</v>
      </c>
      <c r="F605" t="inlineStr">
        <is>
          <t>ÖSTERGÖTLANDS LÄN</t>
        </is>
      </c>
      <c r="G605" t="inlineStr">
        <is>
          <t>NORRKÖPING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46279</v>
      </c>
      <c r="F606" t="inlineStr">
        <is>
          <t>ÖSTERGÖTLANDS LÄN</t>
        </is>
      </c>
      <c r="G606" t="inlineStr">
        <is>
          <t>NORRKÖPING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49882-2021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44455</v>
      </c>
      <c r="E607" s="1" t="n">
        <v>46279</v>
      </c>
      <c r="F607" t="inlineStr">
        <is>
          <t>ÖSTERGÖTLANDS LÄN</t>
        </is>
      </c>
      <c r="G607" t="inlineStr">
        <is>
          <t>NORRKÖPING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44956</v>
      </c>
      <c r="E608" s="1" t="n">
        <v>46279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44956</v>
      </c>
      <c r="E609" s="1" t="n">
        <v>46279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59077-2023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45252</v>
      </c>
      <c r="E610" s="1" t="n">
        <v>46279</v>
      </c>
      <c r="F610" t="inlineStr">
        <is>
          <t>ÖSTERGÖTLANDS LÄN</t>
        </is>
      </c>
      <c r="G610" t="inlineStr">
        <is>
          <t>NORRKÖPING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62875-2023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45272</v>
      </c>
      <c r="E611" s="1" t="n">
        <v>46279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46279</v>
      </c>
      <c r="F612" t="inlineStr">
        <is>
          <t>ÖSTERGÖTLANDS LÄN</t>
        </is>
      </c>
      <c r="G612" t="inlineStr">
        <is>
          <t>NORRKÖPING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46279</v>
      </c>
      <c r="F613" t="inlineStr">
        <is>
          <t>ÖSTERGÖTLANDS LÄN</t>
        </is>
      </c>
      <c r="G613" t="inlineStr">
        <is>
          <t>NORRKÖPING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26355-2026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46182</v>
      </c>
      <c r="E614" s="1" t="n">
        <v>46279</v>
      </c>
      <c r="F614" t="inlineStr">
        <is>
          <t>ÖSTERGÖTLANDS LÄN</t>
        </is>
      </c>
      <c r="G614" t="inlineStr">
        <is>
          <t>NORRKÖPING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45399</v>
      </c>
      <c r="E615" s="1" t="n">
        <v>46279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45317</v>
      </c>
      <c r="E616" s="1" t="n">
        <v>46279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22479-2026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46155</v>
      </c>
      <c r="E617" s="1" t="n">
        <v>46279</v>
      </c>
      <c r="F617" t="inlineStr">
        <is>
          <t>ÖSTERGÖTLANDS LÄN</t>
        </is>
      </c>
      <c r="G617" t="inlineStr">
        <is>
          <t>NORRKÖPING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46279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46279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49778-2022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44862</v>
      </c>
      <c r="E620" s="1" t="n">
        <v>46279</v>
      </c>
      <c r="F620" t="inlineStr">
        <is>
          <t>ÖSTERGÖTLANDS LÄN</t>
        </is>
      </c>
      <c r="G620" t="inlineStr">
        <is>
          <t>NORRKÖPING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46279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62033-2023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45266</v>
      </c>
      <c r="E622" s="1" t="n">
        <v>46279</v>
      </c>
      <c r="F622" t="inlineStr">
        <is>
          <t>ÖSTERGÖTLANDS LÄN</t>
        </is>
      </c>
      <c r="G622" t="inlineStr">
        <is>
          <t>NORRKÖPING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44859</v>
      </c>
      <c r="E623" s="1" t="n">
        <v>46279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53899-2021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44469</v>
      </c>
      <c r="E624" s="1" t="n">
        <v>46279</v>
      </c>
      <c r="F624" t="inlineStr">
        <is>
          <t>ÖSTERGÖTLANDS LÄN</t>
        </is>
      </c>
      <c r="G624" t="inlineStr">
        <is>
          <t>NORRKÖPING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5118-2024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46279</v>
      </c>
      <c r="F625" t="inlineStr">
        <is>
          <t>ÖSTERGÖTLANDS LÄN</t>
        </is>
      </c>
      <c r="G625" t="inlineStr">
        <is>
          <t>NORRKÖPING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62061-2023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45266</v>
      </c>
      <c r="E626" s="1" t="n">
        <v>46279</v>
      </c>
      <c r="F626" t="inlineStr">
        <is>
          <t>ÖSTERGÖTLANDS LÄN</t>
        </is>
      </c>
      <c r="G626" t="inlineStr">
        <is>
          <t>NORRKÖPING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46738-2022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44851</v>
      </c>
      <c r="E627" s="1" t="n">
        <v>46279</v>
      </c>
      <c r="F627" t="inlineStr">
        <is>
          <t>ÖSTERGÖTLANDS LÄN</t>
        </is>
      </c>
      <c r="G627" t="inlineStr">
        <is>
          <t>NORRKÖPING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31844-2023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45106</v>
      </c>
      <c r="E628" s="1" t="n">
        <v>46279</v>
      </c>
      <c r="F628" t="inlineStr">
        <is>
          <t>ÖSTERGÖTLANDS LÄN</t>
        </is>
      </c>
      <c r="G628" t="inlineStr">
        <is>
          <t>NORRKÖPING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18537-2025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45763</v>
      </c>
      <c r="E629" s="1" t="n">
        <v>46279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9.300000000000001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18686-2023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45043</v>
      </c>
      <c r="E630" s="1" t="n">
        <v>46279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46279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46279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46279</v>
      </c>
      <c r="F633" t="inlineStr">
        <is>
          <t>ÖSTERGÖTLANDS LÄN</t>
        </is>
      </c>
      <c r="G633" t="inlineStr">
        <is>
          <t>NORRKÖPING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62529-2023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45268</v>
      </c>
      <c r="E634" s="1" t="n">
        <v>46279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44599</v>
      </c>
      <c r="E635" s="1" t="n">
        <v>46279</v>
      </c>
      <c r="F635" t="inlineStr">
        <is>
          <t>ÖSTERGÖTLANDS LÄN</t>
        </is>
      </c>
      <c r="G635" t="inlineStr">
        <is>
          <t>NORRKÖPING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5976-2022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44597</v>
      </c>
      <c r="E636" s="1" t="n">
        <v>46279</v>
      </c>
      <c r="F636" t="inlineStr">
        <is>
          <t>ÖSTERGÖTLANDS LÄN</t>
        </is>
      </c>
      <c r="G636" t="inlineStr">
        <is>
          <t>NORRKÖPING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26085-2026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46181</v>
      </c>
      <c r="E637" s="1" t="n">
        <v>46279</v>
      </c>
      <c r="F637" t="inlineStr">
        <is>
          <t>ÖSTERGÖTLANDS LÄN</t>
        </is>
      </c>
      <c r="G637" t="inlineStr">
        <is>
          <t>NORRKÖPING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3035-2025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45678</v>
      </c>
      <c r="E638" s="1" t="n">
        <v>46279</v>
      </c>
      <c r="F638" t="inlineStr">
        <is>
          <t>ÖSTERGÖTLANDS LÄN</t>
        </is>
      </c>
      <c r="G638" t="inlineStr">
        <is>
          <t>NORRKÖPING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29622-2022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44754</v>
      </c>
      <c r="E639" s="1" t="n">
        <v>46279</v>
      </c>
      <c r="F639" t="inlineStr">
        <is>
          <t>ÖSTERGÖTLANDS LÄN</t>
        </is>
      </c>
      <c r="G639" t="inlineStr">
        <is>
          <t>NORRKÖPING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26583-2022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44739</v>
      </c>
      <c r="E640" s="1" t="n">
        <v>46279</v>
      </c>
      <c r="F640" t="inlineStr">
        <is>
          <t>ÖSTERGÖTLANDS LÄN</t>
        </is>
      </c>
      <c r="G640" t="inlineStr">
        <is>
          <t>NORRKÖPING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7141-2023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44970</v>
      </c>
      <c r="E641" s="1" t="n">
        <v>46279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50119-2023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45215</v>
      </c>
      <c r="E642" s="1" t="n">
        <v>46279</v>
      </c>
      <c r="F642" t="inlineStr">
        <is>
          <t>ÖSTERGÖTLANDS LÄN</t>
        </is>
      </c>
      <c r="G642" t="inlineStr">
        <is>
          <t>NORRKÖPING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31834-2023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46279</v>
      </c>
      <c r="F643" t="inlineStr">
        <is>
          <t>ÖSTERGÖTLANDS LÄN</t>
        </is>
      </c>
      <c r="G643" t="inlineStr">
        <is>
          <t>NORRKÖPING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19853-2023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45053</v>
      </c>
      <c r="E644" s="1" t="n">
        <v>46279</v>
      </c>
      <c r="F644" t="inlineStr">
        <is>
          <t>ÖSTERGÖTLANDS LÄN</t>
        </is>
      </c>
      <c r="G644" t="inlineStr">
        <is>
          <t>NORRKÖPING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45796</v>
      </c>
      <c r="E645" s="1" t="n">
        <v>46279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8.6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28256-2026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46196</v>
      </c>
      <c r="E646" s="1" t="n">
        <v>46279</v>
      </c>
      <c r="F646" t="inlineStr">
        <is>
          <t>ÖSTERGÖTLANDS LÄN</t>
        </is>
      </c>
      <c r="G646" t="inlineStr">
        <is>
          <t>NORRKÖPING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29285-2026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46197</v>
      </c>
      <c r="E647" s="1" t="n">
        <v>46279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28255-2026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46279</v>
      </c>
      <c r="F648" t="inlineStr">
        <is>
          <t>ÖSTERGÖTLANDS LÄN</t>
        </is>
      </c>
      <c r="G648" t="inlineStr">
        <is>
          <t>NORRKÖPING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46279</v>
      </c>
      <c r="F649" t="inlineStr">
        <is>
          <t>ÖSTERGÖTLANDS LÄN</t>
        </is>
      </c>
      <c r="G649" t="inlineStr">
        <is>
          <t>NORRKÖPING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28271-2026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46196</v>
      </c>
      <c r="E650" s="1" t="n">
        <v>46279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12814-2025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45733</v>
      </c>
      <c r="E651" s="1" t="n">
        <v>46279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46279</v>
      </c>
      <c r="F652" t="inlineStr">
        <is>
          <t>ÖSTERGÖTLANDS LÄN</t>
        </is>
      </c>
      <c r="G652" t="inlineStr">
        <is>
          <t>NORRKÖPING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46244</v>
      </c>
      <c r="E653" s="1" t="n">
        <v>46279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Allmännings- och besparingsskogar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50960-2022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44867</v>
      </c>
      <c r="E654" s="1" t="n">
        <v>46279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Allmännings- och besparingsskogar</t>
        </is>
      </c>
      <c r="I654" t="n">
        <v>10.3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46279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46199</v>
      </c>
      <c r="E656" s="1" t="n">
        <v>46279</v>
      </c>
      <c r="F656" t="inlineStr">
        <is>
          <t>ÖSTERGÖTLANDS LÄN</t>
        </is>
      </c>
      <c r="G656" t="inlineStr">
        <is>
          <t>NORRKÖPING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46199</v>
      </c>
      <c r="E657" s="1" t="n">
        <v>46279</v>
      </c>
      <c r="F657" t="inlineStr">
        <is>
          <t>ÖSTERGÖTLANDS LÄN</t>
        </is>
      </c>
      <c r="G657" t="inlineStr">
        <is>
          <t>NORRKÖPING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46279</v>
      </c>
      <c r="F658" t="inlineStr">
        <is>
          <t>ÖSTERGÖTLANDS LÄN</t>
        </is>
      </c>
      <c r="G658" t="inlineStr">
        <is>
          <t>NORRKÖPING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46279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18661-2023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46279</v>
      </c>
      <c r="F660" t="inlineStr">
        <is>
          <t>ÖSTERGÖTLANDS LÄN</t>
        </is>
      </c>
      <c r="G660" t="inlineStr">
        <is>
          <t>NORRKÖPING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46241</v>
      </c>
      <c r="E661" s="1" t="n">
        <v>46279</v>
      </c>
      <c r="F661" t="inlineStr">
        <is>
          <t>ÖSTERGÖTLANDS LÄN</t>
        </is>
      </c>
      <c r="G661" t="inlineStr">
        <is>
          <t>NORRKÖPING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46279</v>
      </c>
      <c r="F662" t="inlineStr">
        <is>
          <t>ÖSTERGÖTLANDS LÄN</t>
        </is>
      </c>
      <c r="G662" t="inlineStr">
        <is>
          <t>NORRKÖPING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28902-2026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46279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49487-2022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44861</v>
      </c>
      <c r="E664" s="1" t="n">
        <v>46279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46241</v>
      </c>
      <c r="E665" s="1" t="n">
        <v>46279</v>
      </c>
      <c r="F665" t="inlineStr">
        <is>
          <t>ÖSTERGÖTLANDS LÄN</t>
        </is>
      </c>
      <c r="G665" t="inlineStr">
        <is>
          <t>NORRKÖPING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13918-2023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45008</v>
      </c>
      <c r="E666" s="1" t="n">
        <v>46279</v>
      </c>
      <c r="F666" t="inlineStr">
        <is>
          <t>ÖSTERGÖTLANDS LÄN</t>
        </is>
      </c>
      <c r="G666" t="inlineStr">
        <is>
          <t>NORRKÖPING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1277-2023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44936</v>
      </c>
      <c r="E667" s="1" t="n">
        <v>46279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44936</v>
      </c>
      <c r="E668" s="1" t="n">
        <v>46279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45030</v>
      </c>
      <c r="E669" s="1" t="n">
        <v>46279</v>
      </c>
      <c r="F669" t="inlineStr">
        <is>
          <t>ÖSTERGÖTLANDS LÄN</t>
        </is>
      </c>
      <c r="G669" t="inlineStr">
        <is>
          <t>NORRKÖPING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29030-2026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46199</v>
      </c>
      <c r="E670" s="1" t="n">
        <v>46279</v>
      </c>
      <c r="F670" t="inlineStr">
        <is>
          <t>ÖSTERGÖTLANDS LÄN</t>
        </is>
      </c>
      <c r="G670" t="inlineStr">
        <is>
          <t>NORRKÖPING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46244</v>
      </c>
      <c r="E671" s="1" t="n">
        <v>46279</v>
      </c>
      <c r="F671" t="inlineStr">
        <is>
          <t>ÖSTERGÖTLANDS LÄN</t>
        </is>
      </c>
      <c r="G671" t="inlineStr">
        <is>
          <t>NORRKÖPING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46279</v>
      </c>
      <c r="F672" t="inlineStr">
        <is>
          <t>ÖSTERGÖTLANDS LÄN</t>
        </is>
      </c>
      <c r="G672" t="inlineStr">
        <is>
          <t>NORRKÖPING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46279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41367-2023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45174</v>
      </c>
      <c r="E674" s="1" t="n">
        <v>46279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41375-2023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45174</v>
      </c>
      <c r="E675" s="1" t="n">
        <v>46279</v>
      </c>
      <c r="F675" t="inlineStr">
        <is>
          <t>ÖSTERGÖTLANDS LÄN</t>
        </is>
      </c>
      <c r="G675" t="inlineStr">
        <is>
          <t>NORRKÖPING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11261-2023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44992</v>
      </c>
      <c r="E676" s="1" t="n">
        <v>46279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12727-2022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44641</v>
      </c>
      <c r="E677" s="1" t="n">
        <v>46279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14901-2023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45014</v>
      </c>
      <c r="E678" s="1" t="n">
        <v>46279</v>
      </c>
      <c r="F678" t="inlineStr">
        <is>
          <t>ÖSTERGÖTLANDS LÄN</t>
        </is>
      </c>
      <c r="G678" t="inlineStr">
        <is>
          <t>NORRKÖPING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46202</v>
      </c>
      <c r="E679" s="1" t="n">
        <v>46279</v>
      </c>
      <c r="F679" t="inlineStr">
        <is>
          <t>ÖSTERGÖTLANDS LÄN</t>
        </is>
      </c>
      <c r="G679" t="inlineStr">
        <is>
          <t>NORRKÖPING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46245</v>
      </c>
      <c r="E680" s="1" t="n">
        <v>46279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57495-2023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45246</v>
      </c>
      <c r="E681" s="1" t="n">
        <v>46279</v>
      </c>
      <c r="F681" t="inlineStr">
        <is>
          <t>ÖSTERGÖTLANDS LÄN</t>
        </is>
      </c>
      <c r="G681" t="inlineStr">
        <is>
          <t>NORRKÖPING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46245</v>
      </c>
      <c r="E682" s="1" t="n">
        <v>46279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46245</v>
      </c>
      <c r="E683" s="1" t="n">
        <v>46279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15843-2023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45022</v>
      </c>
      <c r="E684" s="1" t="n">
        <v>46279</v>
      </c>
      <c r="F684" t="inlineStr">
        <is>
          <t>ÖSTERGÖTLANDS LÄN</t>
        </is>
      </c>
      <c r="G684" t="inlineStr">
        <is>
          <t>NORRKÖPING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46279</v>
      </c>
      <c r="F685" t="inlineStr">
        <is>
          <t>ÖSTERGÖTLANDS LÄN</t>
        </is>
      </c>
      <c r="G685" t="inlineStr">
        <is>
          <t>NORRKÖPING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30485-2026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46204</v>
      </c>
      <c r="E686" s="1" t="n">
        <v>46279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25981-2023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46279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32574-2022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44783</v>
      </c>
      <c r="E688" s="1" t="n">
        <v>46279</v>
      </c>
      <c r="F688" t="inlineStr">
        <is>
          <t>ÖSTERGÖTLANDS LÄN</t>
        </is>
      </c>
      <c r="G688" t="inlineStr">
        <is>
          <t>NORRKÖPING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8815-2024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46279</v>
      </c>
      <c r="F689" t="inlineStr">
        <is>
          <t>ÖSTERGÖTLANDS LÄN</t>
        </is>
      </c>
      <c r="G689" t="inlineStr">
        <is>
          <t>NORRKÖPING</t>
        </is>
      </c>
      <c r="I689" t="n">
        <v>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18664-2023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45043</v>
      </c>
      <c r="E690" s="1" t="n">
        <v>46279</v>
      </c>
      <c r="F690" t="inlineStr">
        <is>
          <t>ÖSTERGÖTLANDS LÄN</t>
        </is>
      </c>
      <c r="G690" t="inlineStr">
        <is>
          <t>NORRKÖPING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45699</v>
      </c>
      <c r="E691" s="1" t="n">
        <v>46279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20356-2024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45435</v>
      </c>
      <c r="E692" s="1" t="n">
        <v>46279</v>
      </c>
      <c r="F692" t="inlineStr">
        <is>
          <t>ÖSTERGÖTLANDS LÄN</t>
        </is>
      </c>
      <c r="G692" t="inlineStr">
        <is>
          <t>NORRKÖPING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38874-2024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45547</v>
      </c>
      <c r="E693" s="1" t="n">
        <v>46279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46279</v>
      </c>
      <c r="F694" t="inlineStr">
        <is>
          <t>ÖSTERGÖTLANDS LÄN</t>
        </is>
      </c>
      <c r="G694" t="inlineStr">
        <is>
          <t>NORRKÖPING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45678</v>
      </c>
      <c r="E695" s="1" t="n">
        <v>46279</v>
      </c>
      <c r="F695" t="inlineStr">
        <is>
          <t>ÖSTERGÖTLANDS LÄN</t>
        </is>
      </c>
      <c r="G695" t="inlineStr">
        <is>
          <t>NORRKÖPING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25287-2023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45086</v>
      </c>
      <c r="E696" s="1" t="n">
        <v>46279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58884-2024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45636</v>
      </c>
      <c r="E697" s="1" t="n">
        <v>46279</v>
      </c>
      <c r="F697" t="inlineStr">
        <is>
          <t>ÖSTERGÖTLANDS LÄN</t>
        </is>
      </c>
      <c r="G697" t="inlineStr">
        <is>
          <t>NORRKÖPING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22651-2023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45071</v>
      </c>
      <c r="E698" s="1" t="n">
        <v>46279</v>
      </c>
      <c r="F698" t="inlineStr">
        <is>
          <t>ÖSTERGÖTLANDS LÄN</t>
        </is>
      </c>
      <c r="G698" t="inlineStr">
        <is>
          <t>NORRKÖPING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46279</v>
      </c>
      <c r="F699" t="inlineStr">
        <is>
          <t>ÖSTERGÖTLANDS LÄN</t>
        </is>
      </c>
      <c r="G699" t="inlineStr">
        <is>
          <t>NORRKÖPING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29010-2023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45096</v>
      </c>
      <c r="E700" s="1" t="n">
        <v>46279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12.3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46696-2024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45583</v>
      </c>
      <c r="E701" s="1" t="n">
        <v>46279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36542-2023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45153</v>
      </c>
      <c r="E702" s="1" t="n">
        <v>46279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31668-2023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45117</v>
      </c>
      <c r="E703" s="1" t="n">
        <v>46279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45757</v>
      </c>
      <c r="E704" s="1" t="n">
        <v>46279</v>
      </c>
      <c r="F704" t="inlineStr">
        <is>
          <t>ÖSTERGÖTLANDS LÄN</t>
        </is>
      </c>
      <c r="G704" t="inlineStr">
        <is>
          <t>NORRKÖPING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26832-2023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45093</v>
      </c>
      <c r="E705" s="1" t="n">
        <v>46279</v>
      </c>
      <c r="F705" t="inlineStr">
        <is>
          <t>ÖSTERGÖTLANDS LÄN</t>
        </is>
      </c>
      <c r="G705" t="inlineStr">
        <is>
          <t>NORRKÖPING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9206-2023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44980</v>
      </c>
      <c r="E706" s="1" t="n">
        <v>46279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44966</v>
      </c>
      <c r="E707" s="1" t="n">
        <v>46279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16705-2023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45030</v>
      </c>
      <c r="E708" s="1" t="n">
        <v>46279</v>
      </c>
      <c r="F708" t="inlineStr">
        <is>
          <t>ÖSTERGÖTLANDS LÄN</t>
        </is>
      </c>
      <c r="G708" t="inlineStr">
        <is>
          <t>NORRKÖPING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28601-2024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45478</v>
      </c>
      <c r="E709" s="1" t="n">
        <v>46279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46213</v>
      </c>
      <c r="E710" s="1" t="n">
        <v>46279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46279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30911-2026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46213</v>
      </c>
      <c r="E712" s="1" t="n">
        <v>46279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46043</v>
      </c>
      <c r="E713" s="1" t="n">
        <v>46279</v>
      </c>
      <c r="F713" t="inlineStr">
        <is>
          <t>ÖSTERGÖTLANDS LÄN</t>
        </is>
      </c>
      <c r="G713" t="inlineStr">
        <is>
          <t>NORRKÖPING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8517-2023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44977</v>
      </c>
      <c r="E714" s="1" t="n">
        <v>46279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24634-2025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45798</v>
      </c>
      <c r="E715" s="1" t="n">
        <v>46279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34809-2026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46258</v>
      </c>
      <c r="E716" s="1" t="n">
        <v>46279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30905-2026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46213</v>
      </c>
      <c r="E717" s="1" t="n">
        <v>46279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46279</v>
      </c>
      <c r="F718" t="inlineStr">
        <is>
          <t>ÖSTERGÖTLANDS LÄN</t>
        </is>
      </c>
      <c r="G718" t="inlineStr">
        <is>
          <t>NORRKÖPING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13173-2022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44644</v>
      </c>
      <c r="E719" s="1" t="n">
        <v>46279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14485-2023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45012</v>
      </c>
      <c r="E720" s="1" t="n">
        <v>46279</v>
      </c>
      <c r="F720" t="inlineStr">
        <is>
          <t>ÖSTERGÖTLANDS LÄN</t>
        </is>
      </c>
      <c r="G720" t="inlineStr">
        <is>
          <t>NORRKÖPING</t>
        </is>
      </c>
      <c r="I720" t="n">
        <v>9.9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46279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34815-2026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46258</v>
      </c>
      <c r="E722" s="1" t="n">
        <v>46279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23462-2023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45076</v>
      </c>
      <c r="E723" s="1" t="n">
        <v>46279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34712-2026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46258</v>
      </c>
      <c r="E724" s="1" t="n">
        <v>46279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7750-2025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45706</v>
      </c>
      <c r="E725" s="1" t="n">
        <v>46279</v>
      </c>
      <c r="F725" t="inlineStr">
        <is>
          <t>ÖSTERGÖTLANDS LÄN</t>
        </is>
      </c>
      <c r="G725" t="inlineStr">
        <is>
          <t>NORRKÖPING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35200-2026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46260</v>
      </c>
      <c r="E726" s="1" t="n">
        <v>46279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35202-2026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46260</v>
      </c>
      <c r="E727" s="1" t="n">
        <v>46279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19114-2023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45048</v>
      </c>
      <c r="E728" s="1" t="n">
        <v>46279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32617-2023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45121</v>
      </c>
      <c r="E729" s="1" t="n">
        <v>46279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31229-2026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46217</v>
      </c>
      <c r="E730" s="1" t="n">
        <v>46279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46279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31225-2026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46217</v>
      </c>
      <c r="E732" s="1" t="n">
        <v>46279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46279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36258-2022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44803</v>
      </c>
      <c r="E734" s="1" t="n">
        <v>46279</v>
      </c>
      <c r="F734" t="inlineStr">
        <is>
          <t>ÖSTERGÖTLANDS LÄN</t>
        </is>
      </c>
      <c r="G734" t="inlineStr">
        <is>
          <t>NORRKÖPING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31266-2026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46218</v>
      </c>
      <c r="E735" s="1" t="n">
        <v>46279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19191-2025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45769</v>
      </c>
      <c r="E736" s="1" t="n">
        <v>46279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56876-2024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45628</v>
      </c>
      <c r="E737" s="1" t="n">
        <v>46279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20583-2024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45436</v>
      </c>
      <c r="E738" s="1" t="n">
        <v>46279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25715-2026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46279</v>
      </c>
      <c r="F739" t="inlineStr">
        <is>
          <t>ÖSTERGÖTLANDS LÄN</t>
        </is>
      </c>
      <c r="G739" t="inlineStr">
        <is>
          <t>NORRKÖPING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17852-2025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45758</v>
      </c>
      <c r="E740" s="1" t="n">
        <v>46279</v>
      </c>
      <c r="F740" t="inlineStr">
        <is>
          <t>ÖSTERGÖTLANDS LÄN</t>
        </is>
      </c>
      <c r="G740" t="inlineStr">
        <is>
          <t>NORRKÖPING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35669-2026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46265</v>
      </c>
      <c r="E741" s="1" t="n">
        <v>46279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35795-2026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46265</v>
      </c>
      <c r="E742" s="1" t="n">
        <v>46279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26407-2023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45092</v>
      </c>
      <c r="E743" s="1" t="n">
        <v>46279</v>
      </c>
      <c r="F743" t="inlineStr">
        <is>
          <t>ÖSTERGÖTLANDS LÄN</t>
        </is>
      </c>
      <c r="G743" t="inlineStr">
        <is>
          <t>NORRKÖPING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36412-2024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45535</v>
      </c>
      <c r="E744" s="1" t="n">
        <v>46279</v>
      </c>
      <c r="F744" t="inlineStr">
        <is>
          <t>ÖSTERGÖTLANDS LÄN</t>
        </is>
      </c>
      <c r="G744" t="inlineStr">
        <is>
          <t>NORRKÖPING</t>
        </is>
      </c>
      <c r="I744" t="n">
        <v>12.8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45373</v>
      </c>
      <c r="E745" s="1" t="n">
        <v>46279</v>
      </c>
      <c r="F745" t="inlineStr">
        <is>
          <t>ÖSTERGÖTLANDS LÄN</t>
        </is>
      </c>
      <c r="G745" t="inlineStr">
        <is>
          <t>NORRKÖPING</t>
        </is>
      </c>
      <c r="I745" t="n">
        <v>8.6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31661-2026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46225</v>
      </c>
      <c r="E746" s="1" t="n">
        <v>46279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Allmännings- och besparingsskogar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51124-2023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45219</v>
      </c>
      <c r="E747" s="1" t="n">
        <v>46279</v>
      </c>
      <c r="F747" t="inlineStr">
        <is>
          <t>ÖSTERGÖTLANDS LÄN</t>
        </is>
      </c>
      <c r="G747" t="inlineStr">
        <is>
          <t>NORRKÖPING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5116-2024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45330</v>
      </c>
      <c r="E748" s="1" t="n">
        <v>46279</v>
      </c>
      <c r="F748" t="inlineStr">
        <is>
          <t>ÖSTERGÖTLANDS LÄN</t>
        </is>
      </c>
      <c r="G748" t="inlineStr">
        <is>
          <t>NORRKÖPING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13133-2024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45386</v>
      </c>
      <c r="E749" s="1" t="n">
        <v>46279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46279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BillerudKorsnäs AB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11144-2025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45723</v>
      </c>
      <c r="E751" s="1" t="n">
        <v>46279</v>
      </c>
      <c r="F751" t="inlineStr">
        <is>
          <t>ÖSTERGÖTLANDS LÄN</t>
        </is>
      </c>
      <c r="G751" t="inlineStr">
        <is>
          <t>NORRKÖPING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16594-2023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45027</v>
      </c>
      <c r="E752" s="1" t="n">
        <v>46279</v>
      </c>
      <c r="F752" t="inlineStr">
        <is>
          <t>ÖSTERGÖTLANDS LÄN</t>
        </is>
      </c>
      <c r="G752" t="inlineStr">
        <is>
          <t>NORRKÖPING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11737-2024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45373</v>
      </c>
      <c r="E753" s="1" t="n">
        <v>46279</v>
      </c>
      <c r="F753" t="inlineStr">
        <is>
          <t>ÖSTERGÖTLANDS LÄN</t>
        </is>
      </c>
      <c r="G753" t="inlineStr">
        <is>
          <t>NORRKÖPING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40816-2024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45558</v>
      </c>
      <c r="E754" s="1" t="n">
        <v>46279</v>
      </c>
      <c r="F754" t="inlineStr">
        <is>
          <t>ÖSTERGÖTLANDS LÄN</t>
        </is>
      </c>
      <c r="G754" t="inlineStr">
        <is>
          <t>NORRKÖPING</t>
        </is>
      </c>
      <c r="I754" t="n">
        <v>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44935</v>
      </c>
      <c r="E755" s="1" t="n">
        <v>46279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28663-2024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45478</v>
      </c>
      <c r="E756" s="1" t="n">
        <v>46279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36581-2026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46269</v>
      </c>
      <c r="E757" s="1" t="n">
        <v>46279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31883-2023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45118</v>
      </c>
      <c r="E758" s="1" t="n">
        <v>46279</v>
      </c>
      <c r="F758" t="inlineStr">
        <is>
          <t>ÖSTERGÖTLANDS LÄN</t>
        </is>
      </c>
      <c r="G758" t="inlineStr">
        <is>
          <t>NORRKÖPING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9201-2023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44980</v>
      </c>
      <c r="E759" s="1" t="n">
        <v>46279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8569-2023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44977</v>
      </c>
      <c r="E760" s="1" t="n">
        <v>46279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45678</v>
      </c>
      <c r="E761" s="1" t="n">
        <v>46279</v>
      </c>
      <c r="F761" t="inlineStr">
        <is>
          <t>ÖSTERGÖTLANDS LÄN</t>
        </is>
      </c>
      <c r="G761" t="inlineStr">
        <is>
          <t>NORRKÖPING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36567-2026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46269</v>
      </c>
      <c r="E762" s="1" t="n">
        <v>46279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45153</v>
      </c>
      <c r="E763" s="1" t="n">
        <v>46279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51112-2024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45603</v>
      </c>
      <c r="E764" s="1" t="n">
        <v>46279</v>
      </c>
      <c r="F764" t="inlineStr">
        <is>
          <t>ÖSTERGÖTLANDS LÄN</t>
        </is>
      </c>
      <c r="G764" t="inlineStr">
        <is>
          <t>NORRKÖPING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6040-2026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46050</v>
      </c>
      <c r="E765" s="1" t="n">
        <v>46279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Allmännings- och besparingsskogar</t>
        </is>
      </c>
      <c r="I765" t="n">
        <v>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1811-2023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44936</v>
      </c>
      <c r="E766" s="1" t="n">
        <v>46279</v>
      </c>
      <c r="F766" t="inlineStr">
        <is>
          <t>ÖSTERGÖTLANDS LÄN</t>
        </is>
      </c>
      <c r="G766" t="inlineStr">
        <is>
          <t>NORRKÖPING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46279</v>
      </c>
      <c r="F767" t="inlineStr">
        <is>
          <t>ÖSTERGÖTLANDS LÄN</t>
        </is>
      </c>
      <c r="G767" t="inlineStr">
        <is>
          <t>NORRKÖPING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36575-2023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45153</v>
      </c>
      <c r="E768" s="1" t="n">
        <v>46279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31880-2026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46231</v>
      </c>
      <c r="E769" s="1" t="n">
        <v>46279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32623-2026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46240</v>
      </c>
      <c r="E770" s="1" t="n">
        <v>46279</v>
      </c>
      <c r="F770" t="inlineStr">
        <is>
          <t>ÖSTERGÖTLANDS LÄN</t>
        </is>
      </c>
      <c r="G770" t="inlineStr">
        <is>
          <t>NORRKÖPING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59580-2022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44907</v>
      </c>
      <c r="E771" s="1" t="n">
        <v>46279</v>
      </c>
      <c r="F771" t="inlineStr">
        <is>
          <t>ÖSTERGÖTLANDS LÄN</t>
        </is>
      </c>
      <c r="G771" t="inlineStr">
        <is>
          <t>NORRKÖPING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49465-2023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45211</v>
      </c>
      <c r="E772" s="1" t="n">
        <v>46279</v>
      </c>
      <c r="F772" t="inlineStr">
        <is>
          <t>ÖSTERGÖTLANDS LÄN</t>
        </is>
      </c>
      <c r="G772" t="inlineStr">
        <is>
          <t>NORRKÖPING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44936</v>
      </c>
      <c r="E773" s="1" t="n">
        <v>46279</v>
      </c>
      <c r="F773" t="inlineStr">
        <is>
          <t>ÖSTERGÖTLANDS LÄN</t>
        </is>
      </c>
      <c r="G773" t="inlineStr">
        <is>
          <t>NORRKÖPING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15177-2023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45016</v>
      </c>
      <c r="E774" s="1" t="n">
        <v>46279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33446-2023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45129</v>
      </c>
      <c r="E775" s="1" t="n">
        <v>46279</v>
      </c>
      <c r="F775" t="inlineStr">
        <is>
          <t>ÖSTERGÖTLANDS LÄN</t>
        </is>
      </c>
      <c r="G775" t="inlineStr">
        <is>
          <t>NORRKÖPING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24354-2024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45457</v>
      </c>
      <c r="E776" s="1" t="n">
        <v>46279</v>
      </c>
      <c r="F776" t="inlineStr">
        <is>
          <t>ÖSTERGÖTLANDS LÄN</t>
        </is>
      </c>
      <c r="G776" t="inlineStr">
        <is>
          <t>NORRKÖPING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46279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30865-2024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45497</v>
      </c>
      <c r="E778" s="1" t="n">
        <v>46279</v>
      </c>
      <c r="F778" t="inlineStr">
        <is>
          <t>ÖSTERGÖTLANDS LÄN</t>
        </is>
      </c>
      <c r="G778" t="inlineStr">
        <is>
          <t>NORRKÖPING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46233</v>
      </c>
      <c r="E779" s="1" t="n">
        <v>46279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7763-2025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46279</v>
      </c>
      <c r="F780" t="inlineStr">
        <is>
          <t>ÖSTERGÖTLANDS LÄN</t>
        </is>
      </c>
      <c r="G780" t="inlineStr">
        <is>
          <t>NORRKÖPING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45310</v>
      </c>
      <c r="E781" s="1" t="n">
        <v>46279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32028-2026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46233</v>
      </c>
      <c r="E782" s="1" t="n">
        <v>46279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14587-2025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45742</v>
      </c>
      <c r="E783" s="1" t="n">
        <v>46279</v>
      </c>
      <c r="F783" t="inlineStr">
        <is>
          <t>ÖSTERGÖTLANDS LÄN</t>
        </is>
      </c>
      <c r="G783" t="inlineStr">
        <is>
          <t>NORRKÖPING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17813-2025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45758</v>
      </c>
      <c r="E784" s="1" t="n">
        <v>46279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46279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46279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8432-2025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45709</v>
      </c>
      <c r="E787" s="1" t="n">
        <v>46279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32020-2026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46279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46233</v>
      </c>
      <c r="E789" s="1" t="n">
        <v>46279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32078-2026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46233</v>
      </c>
      <c r="E790" s="1" t="n">
        <v>46279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46233</v>
      </c>
      <c r="E791" s="1" t="n">
        <v>46279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57405-2024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45629</v>
      </c>
      <c r="E792" s="1" t="n">
        <v>46279</v>
      </c>
      <c r="F792" t="inlineStr">
        <is>
          <t>ÖSTERGÖTLANDS LÄN</t>
        </is>
      </c>
      <c r="G792" t="inlineStr">
        <is>
          <t>NORRKÖPING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32077-2026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46233</v>
      </c>
      <c r="E793" s="1" t="n">
        <v>46279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21093-2025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45777</v>
      </c>
      <c r="E794" s="1" t="n">
        <v>46279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21542-2025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45782</v>
      </c>
      <c r="E795" s="1" t="n">
        <v>46279</v>
      </c>
      <c r="F795" t="inlineStr">
        <is>
          <t>ÖSTERGÖTLANDS LÄN</t>
        </is>
      </c>
      <c r="G795" t="inlineStr">
        <is>
          <t>NORRKÖPING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21770-2025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45783</v>
      </c>
      <c r="E796" s="1" t="n">
        <v>46279</v>
      </c>
      <c r="F796" t="inlineStr">
        <is>
          <t>ÖSTERGÖTLANDS LÄN</t>
        </is>
      </c>
      <c r="G796" t="inlineStr">
        <is>
          <t>NORRKÖPING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21909-2025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45784</v>
      </c>
      <c r="E797" s="1" t="n">
        <v>46279</v>
      </c>
      <c r="F797" t="inlineStr">
        <is>
          <t>ÖSTERGÖTLANDS LÄN</t>
        </is>
      </c>
      <c r="G797" t="inlineStr">
        <is>
          <t>NORRKÖPING</t>
        </is>
      </c>
      <c r="I797" t="n">
        <v>7.9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21967-2025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45784</v>
      </c>
      <c r="E798" s="1" t="n">
        <v>46279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26398-2023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45092</v>
      </c>
      <c r="E799" s="1" t="n">
        <v>46279</v>
      </c>
      <c r="F799" t="inlineStr">
        <is>
          <t>ÖSTERGÖTLANDS LÄN</t>
        </is>
      </c>
      <c r="G799" t="inlineStr">
        <is>
          <t>NORRKÖPING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22307-2025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45786</v>
      </c>
      <c r="E800" s="1" t="n">
        <v>46279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1884-2025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45671</v>
      </c>
      <c r="E801" s="1" t="n">
        <v>46279</v>
      </c>
      <c r="F801" t="inlineStr">
        <is>
          <t>ÖSTERGÖTLANDS LÄN</t>
        </is>
      </c>
      <c r="G801" t="inlineStr">
        <is>
          <t>NORRKÖPING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23366-2024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45453</v>
      </c>
      <c r="E802" s="1" t="n">
        <v>46279</v>
      </c>
      <c r="F802" t="inlineStr">
        <is>
          <t>ÖSTERGÖTLANDS LÄN</t>
        </is>
      </c>
      <c r="G802" t="inlineStr">
        <is>
          <t>NORRKÖPING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23368-2024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45453</v>
      </c>
      <c r="E803" s="1" t="n">
        <v>46279</v>
      </c>
      <c r="F803" t="inlineStr">
        <is>
          <t>ÖSTERGÖTLANDS LÄN</t>
        </is>
      </c>
      <c r="G803" t="inlineStr">
        <is>
          <t>NORRKÖPING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22439-2025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45786</v>
      </c>
      <c r="E804" s="1" t="n">
        <v>46279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Naturvårdsverket</t>
        </is>
      </c>
      <c r="I804" t="n">
        <v>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44565</v>
      </c>
      <c r="E805" s="1" t="n">
        <v>46279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Allmännings- och besparingsskogar</t>
        </is>
      </c>
      <c r="I805" t="n">
        <v>9.300000000000001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2288-2024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45310</v>
      </c>
      <c r="E806" s="1" t="n">
        <v>46279</v>
      </c>
      <c r="F806" t="inlineStr">
        <is>
          <t>ÖSTERGÖTLANDS LÄN</t>
        </is>
      </c>
      <c r="G806" t="inlineStr">
        <is>
          <t>NORRKÖPING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22881-2025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45790</v>
      </c>
      <c r="E807" s="1" t="n">
        <v>46279</v>
      </c>
      <c r="F807" t="inlineStr">
        <is>
          <t>ÖSTERGÖTLANDS LÄN</t>
        </is>
      </c>
      <c r="G807" t="inlineStr">
        <is>
          <t>NORRKÖPING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45678</v>
      </c>
      <c r="E808" s="1" t="n">
        <v>46279</v>
      </c>
      <c r="F808" t="inlineStr">
        <is>
          <t>ÖSTERGÖTLANDS LÄN</t>
        </is>
      </c>
      <c r="G808" t="inlineStr">
        <is>
          <t>NORRKÖPING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24049-2025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45796</v>
      </c>
      <c r="E809" s="1" t="n">
        <v>46279</v>
      </c>
      <c r="F809" t="inlineStr">
        <is>
          <t>ÖSTERGÖTLANDS LÄN</t>
        </is>
      </c>
      <c r="G809" t="inlineStr">
        <is>
          <t>NORRKÖPING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23954-2025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45796</v>
      </c>
      <c r="E810" s="1" t="n">
        <v>46279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60800-2023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45259</v>
      </c>
      <c r="E811" s="1" t="n">
        <v>46279</v>
      </c>
      <c r="F811" t="inlineStr">
        <is>
          <t>ÖSTERGÖTLANDS LÄN</t>
        </is>
      </c>
      <c r="G811" t="inlineStr">
        <is>
          <t>NORRKÖPING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24684-2025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45798</v>
      </c>
      <c r="E812" s="1" t="n">
        <v>46279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46279</v>
      </c>
      <c r="F813" t="inlineStr">
        <is>
          <t>ÖSTERGÖTLANDS LÄN</t>
        </is>
      </c>
      <c r="G813" t="inlineStr">
        <is>
          <t>NORRKÖPING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42514-2024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45565</v>
      </c>
      <c r="E814" s="1" t="n">
        <v>46279</v>
      </c>
      <c r="F814" t="inlineStr">
        <is>
          <t>ÖSTERGÖTLANDS LÄN</t>
        </is>
      </c>
      <c r="G814" t="inlineStr">
        <is>
          <t>NORRKÖPING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45408</v>
      </c>
      <c r="E815" s="1" t="n">
        <v>46279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40068-2024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45554</v>
      </c>
      <c r="E816" s="1" t="n">
        <v>46279</v>
      </c>
      <c r="F816" t="inlineStr">
        <is>
          <t>ÖSTERGÖTLANDS LÄN</t>
        </is>
      </c>
      <c r="G816" t="inlineStr">
        <is>
          <t>NORRKÖPING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10770-2025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45722</v>
      </c>
      <c r="E817" s="1" t="n">
        <v>46279</v>
      </c>
      <c r="F817" t="inlineStr">
        <is>
          <t>ÖSTERGÖTLANDS LÄN</t>
        </is>
      </c>
      <c r="G817" t="inlineStr">
        <is>
          <t>NORRKÖPING</t>
        </is>
      </c>
      <c r="I817" t="n">
        <v>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25546-2025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45803</v>
      </c>
      <c r="E818" s="1" t="n">
        <v>46279</v>
      </c>
      <c r="F818" t="inlineStr">
        <is>
          <t>ÖSTERGÖTLANDS LÄN</t>
        </is>
      </c>
      <c r="G818" t="inlineStr">
        <is>
          <t>NORRKÖPING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25949-2025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45804</v>
      </c>
      <c r="E819" s="1" t="n">
        <v>46279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Kommuner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18474-2025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45762</v>
      </c>
      <c r="E820" s="1" t="n">
        <v>46279</v>
      </c>
      <c r="F820" t="inlineStr">
        <is>
          <t>ÖSTERGÖTLANDS LÄN</t>
        </is>
      </c>
      <c r="G820" t="inlineStr">
        <is>
          <t>NORRKÖPING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10834-2024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45369</v>
      </c>
      <c r="E821" s="1" t="n">
        <v>46279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28039-2025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45817</v>
      </c>
      <c r="E822" s="1" t="n">
        <v>46279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1519-2021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44313</v>
      </c>
      <c r="E823" s="1" t="n">
        <v>46279</v>
      </c>
      <c r="F823" t="inlineStr">
        <is>
          <t>ÖSTERGÖTLANDS LÄN</t>
        </is>
      </c>
      <c r="G823" t="inlineStr">
        <is>
          <t>NORRKÖPING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2289-2020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44130</v>
      </c>
      <c r="E824" s="1" t="n">
        <v>46279</v>
      </c>
      <c r="F824" t="inlineStr">
        <is>
          <t>ÖSTERGÖTLANDS LÄN</t>
        </is>
      </c>
      <c r="G824" t="inlineStr">
        <is>
          <t>NORRKÖPING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161-2021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44230</v>
      </c>
      <c r="E825" s="1" t="n">
        <v>46279</v>
      </c>
      <c r="F825" t="inlineStr">
        <is>
          <t>ÖSTERGÖTLANDS LÄN</t>
        </is>
      </c>
      <c r="G825" t="inlineStr">
        <is>
          <t>NORRKÖPING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1484-2022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44638</v>
      </c>
      <c r="E826" s="1" t="n">
        <v>46279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1678-2022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44649</v>
      </c>
      <c r="E827" s="1" t="n">
        <v>46279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10364-2021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44551</v>
      </c>
      <c r="E828" s="1" t="n">
        <v>46279</v>
      </c>
      <c r="F828" t="inlineStr">
        <is>
          <t>ÖSTERGÖTLANDS LÄN</t>
        </is>
      </c>
      <c r="G828" t="inlineStr">
        <is>
          <t>NORRKÖPING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2481-2022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44692</v>
      </c>
      <c r="E829" s="1" t="n">
        <v>46279</v>
      </c>
      <c r="F829" t="inlineStr">
        <is>
          <t>ÖSTERGÖTLANDS LÄN</t>
        </is>
      </c>
      <c r="G829" t="inlineStr">
        <is>
          <t>NORRKÖPING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211-2024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45316</v>
      </c>
      <c r="E830" s="1" t="n">
        <v>46279</v>
      </c>
      <c r="F830" t="inlineStr">
        <is>
          <t>ÖSTERGÖTLANDS LÄN</t>
        </is>
      </c>
      <c r="G830" t="inlineStr">
        <is>
          <t>NORRKÖPING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4973-2024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45629</v>
      </c>
      <c r="E831" s="1" t="n">
        <v>46279</v>
      </c>
      <c r="F831" t="inlineStr">
        <is>
          <t>ÖSTERGÖTLANDS LÄN</t>
        </is>
      </c>
      <c r="G831" t="inlineStr">
        <is>
          <t>NORRKÖPING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4011-2024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45571</v>
      </c>
      <c r="E832" s="1" t="n">
        <v>46279</v>
      </c>
      <c r="F832" t="inlineStr">
        <is>
          <t>ÖSTERGÖTLANDS LÄN</t>
        </is>
      </c>
      <c r="G832" t="inlineStr">
        <is>
          <t>NORRKÖPING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1663-2024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45432</v>
      </c>
      <c r="E833" s="1" t="n">
        <v>46279</v>
      </c>
      <c r="F833" t="inlineStr">
        <is>
          <t>ÖSTERGÖTLANDS LÄN</t>
        </is>
      </c>
      <c r="G833" t="inlineStr">
        <is>
          <t>NORRKÖPING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4012-2024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45571</v>
      </c>
      <c r="E834" s="1" t="n">
        <v>46279</v>
      </c>
      <c r="F834" t="inlineStr">
        <is>
          <t>ÖSTERGÖTLANDS LÄN</t>
        </is>
      </c>
      <c r="G834" t="inlineStr">
        <is>
          <t>NORRKÖPING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1486-2025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45789</v>
      </c>
      <c r="E835" s="1" t="n">
        <v>46279</v>
      </c>
      <c r="F835" t="inlineStr">
        <is>
          <t>ÖSTERGÖTLANDS LÄN</t>
        </is>
      </c>
      <c r="G835" t="inlineStr">
        <is>
          <t>NORRKÖPING</t>
        </is>
      </c>
      <c r="I835" t="n">
        <v>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1433-2025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45784</v>
      </c>
      <c r="E836" s="1" t="n">
        <v>46279</v>
      </c>
      <c r="F836" t="inlineStr">
        <is>
          <t>ÖSTERGÖTLANDS LÄN</t>
        </is>
      </c>
      <c r="G836" t="inlineStr">
        <is>
          <t>NORRKÖPING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2026-09-14T02:15:20Z</dcterms:created>
  <dcterms:modified xmlns:dcterms="http://purl.org/dc/terms/" xmlns:xsi="http://www.w3.org/2001/XMLSchema-instance" xsi:type="dcterms:W3CDTF">2026-09-14T02:15:21Z</dcterms:modified>
</cp:coreProperties>
</file>