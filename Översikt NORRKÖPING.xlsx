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46075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46075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46075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46075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46075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46075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46075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46075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46075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46075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46075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46075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46075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46075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11109-2025</t>
        </is>
      </c>
      <c r="B16" s="1" t="n">
        <v>45723.61545138889</v>
      </c>
      <c r="C16" s="1" t="n">
        <v>46075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8.5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Motaggsvamp
Spillkråka
Vedskivlav
Blåmossa
Hasselticka
Scharlakansvårskål agg.</t>
        </is>
      </c>
      <c r="S16">
        <f>HYPERLINK("https://klasma.github.io/Logging_0581/artfynd/A 11109-2025 artfynd.xlsx", "A 11109-2025")</f>
        <v/>
      </c>
      <c r="T16">
        <f>HYPERLINK("https://klasma.github.io/Logging_0581/kartor/A 11109-2025 karta.png", "A 11109-2025")</f>
        <v/>
      </c>
      <c r="U16">
        <f>HYPERLINK("https://klasma.github.io/Logging_0581/knärot/A 11109-2025 karta knärot.png", "A 11109-2025")</f>
        <v/>
      </c>
      <c r="V16">
        <f>HYPERLINK("https://klasma.github.io/Logging_0581/klagomål/A 11109-2025 FSC-klagomål.docx", "A 11109-2025")</f>
        <v/>
      </c>
      <c r="W16">
        <f>HYPERLINK("https://klasma.github.io/Logging_0581/klagomålsmail/A 11109-2025 FSC-klagomål mail.docx", "A 11109-2025")</f>
        <v/>
      </c>
      <c r="X16">
        <f>HYPERLINK("https://klasma.github.io/Logging_0581/tillsyn/A 11109-2025 tillsynsbegäran.docx", "A 11109-2025")</f>
        <v/>
      </c>
      <c r="Y16">
        <f>HYPERLINK("https://klasma.github.io/Logging_0581/tillsynsmail/A 11109-2025 tillsynsbegäran mail.docx", "A 11109-2025")</f>
        <v/>
      </c>
      <c r="Z16">
        <f>HYPERLINK("https://klasma.github.io/Logging_0581/fåglar/A 11109-2025 prioriterade fågelarter.docx", "A 11109-2025")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46075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46075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46075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46075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46075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46075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11077-2025</t>
        </is>
      </c>
      <c r="B23" s="1" t="n">
        <v>45723.55663194445</v>
      </c>
      <c r="C23" s="1" t="n">
        <v>46075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1.6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Motaggsvamp
Talltita
Dropptaggsvamp
Kopparödla</t>
        </is>
      </c>
      <c r="S23">
        <f>HYPERLINK("https://klasma.github.io/Logging_0581/artfynd/A 11077-2025 artfynd.xlsx", "A 11077-2025")</f>
        <v/>
      </c>
      <c r="T23">
        <f>HYPERLINK("https://klasma.github.io/Logging_0581/kartor/A 11077-2025 karta.png", "A 11077-2025")</f>
        <v/>
      </c>
      <c r="U23">
        <f>HYPERLINK("https://klasma.github.io/Logging_0581/knärot/A 11077-2025 karta knärot.png", "A 11077-2025")</f>
        <v/>
      </c>
      <c r="V23">
        <f>HYPERLINK("https://klasma.github.io/Logging_0581/klagomål/A 11077-2025 FSC-klagomål.docx", "A 11077-2025")</f>
        <v/>
      </c>
      <c r="W23">
        <f>HYPERLINK("https://klasma.github.io/Logging_0581/klagomålsmail/A 11077-2025 FSC-klagomål mail.docx", "A 11077-2025")</f>
        <v/>
      </c>
      <c r="X23">
        <f>HYPERLINK("https://klasma.github.io/Logging_0581/tillsyn/A 11077-2025 tillsynsbegäran.docx", "A 11077-2025")</f>
        <v/>
      </c>
      <c r="Y23">
        <f>HYPERLINK("https://klasma.github.io/Logging_0581/tillsynsmail/A 11077-2025 tillsynsbegäran mail.docx", "A 11077-2025")</f>
        <v/>
      </c>
      <c r="Z23">
        <f>HYPERLINK("https://klasma.github.io/Logging_0581/fåglar/A 11077-2025 prioriterade fågelarter.docx", "A 11077-2025")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46075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46075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46075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46075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46075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46075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46075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46075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46075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46075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46075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46075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46075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46075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46075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46075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46075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46075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46075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46075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46075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46075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46075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46075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46075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46075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46075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46075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46075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46075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46075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46075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46075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46075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46075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46075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46075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46075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46075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46075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46075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46075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46075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46075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46075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46075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46075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46075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46075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46075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46075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46696-2024</t>
        </is>
      </c>
      <c r="B75" s="1" t="n">
        <v>45583</v>
      </c>
      <c r="C75" s="1" t="n">
        <v>46075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HYPERLINK("https://klasma.github.io/Logging_0581/artfynd/A 46696-2024 artfynd.xlsx", "A 46696-2024")</f>
        <v/>
      </c>
      <c r="T75">
        <f>HYPERLINK("https://klasma.github.io/Logging_0581/kartor/A 46696-2024 karta.png", "A 46696-2024")</f>
        <v/>
      </c>
      <c r="V75">
        <f>HYPERLINK("https://klasma.github.io/Logging_0581/klagomål/A 46696-2024 FSC-klagomål.docx", "A 46696-2024")</f>
        <v/>
      </c>
      <c r="W75">
        <f>HYPERLINK("https://klasma.github.io/Logging_0581/klagomålsmail/A 46696-2024 FSC-klagomål mail.docx", "A 46696-2024")</f>
        <v/>
      </c>
      <c r="X75">
        <f>HYPERLINK("https://klasma.github.io/Logging_0581/tillsyn/A 46696-2024 tillsynsbegäran.docx", "A 46696-2024")</f>
        <v/>
      </c>
      <c r="Y75">
        <f>HYPERLINK("https://klasma.github.io/Logging_0581/tillsynsmail/A 46696-2024 tillsynsbegäran mail.docx", "A 46696-2024")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46075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41369-2023</t>
        </is>
      </c>
      <c r="B77" s="1" t="n">
        <v>45174</v>
      </c>
      <c r="C77" s="1" t="n">
        <v>46075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HYPERLINK("https://klasma.github.io/Logging_0581/artfynd/A 41369-2023 artfynd.xlsx", "A 41369-2023")</f>
        <v/>
      </c>
      <c r="T77">
        <f>HYPERLINK("https://klasma.github.io/Logging_0581/kartor/A 41369-2023 karta.png", "A 41369-2023")</f>
        <v/>
      </c>
      <c r="V77">
        <f>HYPERLINK("https://klasma.github.io/Logging_0581/klagomål/A 41369-2023 FSC-klagomål.docx", "A 41369-2023")</f>
        <v/>
      </c>
      <c r="W77">
        <f>HYPERLINK("https://klasma.github.io/Logging_0581/klagomålsmail/A 41369-2023 FSC-klagomål mail.docx", "A 41369-2023")</f>
        <v/>
      </c>
      <c r="X77">
        <f>HYPERLINK("https://klasma.github.io/Logging_0581/tillsyn/A 41369-2023 tillsynsbegäran.docx", "A 41369-2023")</f>
        <v/>
      </c>
      <c r="Y77">
        <f>HYPERLINK("https://klasma.github.io/Logging_0581/tillsynsmail/A 41369-2023 tillsynsbegäran mail.docx", "A 41369-2023")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46075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46075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46075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46075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15143-2025</t>
        </is>
      </c>
      <c r="B82" s="1" t="n">
        <v>45744.41443287037</v>
      </c>
      <c r="C82" s="1" t="n">
        <v>46075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15143-2025 artfynd.xlsx", "A 15143-2025")</f>
        <v/>
      </c>
      <c r="T82">
        <f>HYPERLINK("https://klasma.github.io/Logging_0581/kartor/A 15143-2025 karta.png", "A 15143-2025")</f>
        <v/>
      </c>
      <c r="V82">
        <f>HYPERLINK("https://klasma.github.io/Logging_0581/klagomål/A 15143-2025 FSC-klagomål.docx", "A 15143-2025")</f>
        <v/>
      </c>
      <c r="W82">
        <f>HYPERLINK("https://klasma.github.io/Logging_0581/klagomålsmail/A 15143-2025 FSC-klagomål mail.docx", "A 15143-2025")</f>
        <v/>
      </c>
      <c r="X82">
        <f>HYPERLINK("https://klasma.github.io/Logging_0581/tillsyn/A 15143-2025 tillsynsbegäran.docx", "A 15143-2025")</f>
        <v/>
      </c>
      <c r="Y82">
        <f>HYPERLINK("https://klasma.github.io/Logging_0581/tillsynsmail/A 15143-2025 tillsynsbegäran mail.docx", "A 15143-2025")</f>
        <v/>
      </c>
    </row>
    <row r="83" ht="15" customHeight="1">
      <c r="A83" t="inlineStr">
        <is>
          <t>A 11490-2023</t>
        </is>
      </c>
      <c r="B83" s="1" t="n">
        <v>44993</v>
      </c>
      <c r="C83" s="1" t="n">
        <v>46075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Trädlärka</t>
        </is>
      </c>
      <c r="S83">
        <f>HYPERLINK("https://klasma.github.io/Logging_0581/artfynd/A 11490-2023 artfynd.xlsx", "A 11490-2023")</f>
        <v/>
      </c>
      <c r="T83">
        <f>HYPERLINK("https://klasma.github.io/Logging_0581/kartor/A 11490-2023 karta.png", "A 11490-2023")</f>
        <v/>
      </c>
      <c r="V83">
        <f>HYPERLINK("https://klasma.github.io/Logging_0581/klagomål/A 11490-2023 FSC-klagomål.docx", "A 11490-2023")</f>
        <v/>
      </c>
      <c r="W83">
        <f>HYPERLINK("https://klasma.github.io/Logging_0581/klagomålsmail/A 11490-2023 FSC-klagomål mail.docx", "A 11490-2023")</f>
        <v/>
      </c>
      <c r="X83">
        <f>HYPERLINK("https://klasma.github.io/Logging_0581/tillsyn/A 11490-2023 tillsynsbegäran.docx", "A 11490-2023")</f>
        <v/>
      </c>
      <c r="Y83">
        <f>HYPERLINK("https://klasma.github.io/Logging_0581/tillsynsmail/A 11490-2023 tillsynsbegäran mail.docx", "A 11490-2023")</f>
        <v/>
      </c>
      <c r="Z83">
        <f>HYPERLINK("https://klasma.github.io/Logging_0581/fåglar/A 11490-2023 prioriterade fågelarter.docx", "A 11490-2023")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46075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46075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46075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46075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18267-2024</t>
        </is>
      </c>
      <c r="B88" s="1" t="n">
        <v>45421</v>
      </c>
      <c r="C88" s="1" t="n">
        <v>46075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HYPERLINK("https://klasma.github.io/Logging_0581/artfynd/A 18267-2024 artfynd.xlsx", "A 18267-2024")</f>
        <v/>
      </c>
      <c r="T88">
        <f>HYPERLINK("https://klasma.github.io/Logging_0581/kartor/A 18267-2024 karta.png", "A 18267-2024")</f>
        <v/>
      </c>
      <c r="V88">
        <f>HYPERLINK("https://klasma.github.io/Logging_0581/klagomål/A 18267-2024 FSC-klagomål.docx", "A 18267-2024")</f>
        <v/>
      </c>
      <c r="W88">
        <f>HYPERLINK("https://klasma.github.io/Logging_0581/klagomålsmail/A 18267-2024 FSC-klagomål mail.docx", "A 18267-2024")</f>
        <v/>
      </c>
      <c r="X88">
        <f>HYPERLINK("https://klasma.github.io/Logging_0581/tillsyn/A 18267-2024 tillsynsbegäran.docx", "A 18267-2024")</f>
        <v/>
      </c>
      <c r="Y88">
        <f>HYPERLINK("https://klasma.github.io/Logging_0581/tillsynsmail/A 18267-2024 tillsynsbegäran mail.docx", "A 18267-2024")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46075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55209-2025</t>
        </is>
      </c>
      <c r="B90" s="1" t="n">
        <v>45968.57920138889</v>
      </c>
      <c r="C90" s="1" t="n">
        <v>46075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55209-2025 artfynd.xlsx", "A 55209-2025")</f>
        <v/>
      </c>
      <c r="T90">
        <f>HYPERLINK("https://klasma.github.io/Logging_0581/kartor/A 55209-2025 karta.png", "A 55209-2025")</f>
        <v/>
      </c>
      <c r="V90">
        <f>HYPERLINK("https://klasma.github.io/Logging_0581/klagomål/A 55209-2025 FSC-klagomål.docx", "A 55209-2025")</f>
        <v/>
      </c>
      <c r="W90">
        <f>HYPERLINK("https://klasma.github.io/Logging_0581/klagomålsmail/A 55209-2025 FSC-klagomål mail.docx", "A 55209-2025")</f>
        <v/>
      </c>
      <c r="X90">
        <f>HYPERLINK("https://klasma.github.io/Logging_0581/tillsyn/A 55209-2025 tillsynsbegäran.docx", "A 55209-2025")</f>
        <v/>
      </c>
      <c r="Y90">
        <f>HYPERLINK("https://klasma.github.io/Logging_0581/tillsynsmail/A 55209-2025 tillsynsbegäran mail.docx", "A 55209-2025")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46075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46075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46075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3815-2026</t>
        </is>
      </c>
      <c r="B94" s="1" t="n">
        <v>46043.58462962963</v>
      </c>
      <c r="C94" s="1" t="n">
        <v>46075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Grönfink</t>
        </is>
      </c>
      <c r="S94">
        <f>HYPERLINK("https://klasma.github.io/Logging_0581/artfynd/A 3815-2026 artfynd.xlsx", "A 3815-2026")</f>
        <v/>
      </c>
      <c r="T94">
        <f>HYPERLINK("https://klasma.github.io/Logging_0581/kartor/A 3815-2026 karta.png", "A 3815-2026")</f>
        <v/>
      </c>
      <c r="V94">
        <f>HYPERLINK("https://klasma.github.io/Logging_0581/klagomål/A 3815-2026 FSC-klagomål.docx", "A 3815-2026")</f>
        <v/>
      </c>
      <c r="W94">
        <f>HYPERLINK("https://klasma.github.io/Logging_0581/klagomålsmail/A 3815-2026 FSC-klagomål mail.docx", "A 3815-2026")</f>
        <v/>
      </c>
      <c r="X94">
        <f>HYPERLINK("https://klasma.github.io/Logging_0581/tillsyn/A 3815-2026 tillsynsbegäran.docx", "A 3815-2026")</f>
        <v/>
      </c>
      <c r="Y94">
        <f>HYPERLINK("https://klasma.github.io/Logging_0581/tillsynsmail/A 3815-2026 tillsynsbegäran mail.docx", "A 3815-2026")</f>
        <v/>
      </c>
      <c r="Z94">
        <f>HYPERLINK("https://klasma.github.io/Logging_0581/fåglar/A 3815-2026 prioriterade fågelarter.docx", "A 3815-2026")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46075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46075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46075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46075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46075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46075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46075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46075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46075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46075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46075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46075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46075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46075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46075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46075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46075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46075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46075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46075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46075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46075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46075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46075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46075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46075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46075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46075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46075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46075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46075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46075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46075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46075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46075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46075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46075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46075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46075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46075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46075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46075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46075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46075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46075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46075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46075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46075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46075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46075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46075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46075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46075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46075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46075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46075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46075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46075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46075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46075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46075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46075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13163-2021</t>
        </is>
      </c>
      <c r="B157" s="1" t="n">
        <v>44272</v>
      </c>
      <c r="C157" s="1" t="n">
        <v>46075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55488-2021</t>
        </is>
      </c>
      <c r="B158" s="1" t="n">
        <v>44475</v>
      </c>
      <c r="C158" s="1" t="n">
        <v>46075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55494-2021</t>
        </is>
      </c>
      <c r="B159" s="1" t="n">
        <v>44475</v>
      </c>
      <c r="C159" s="1" t="n">
        <v>46075</v>
      </c>
      <c r="D159" t="inlineStr">
        <is>
          <t>ÖSTERGÖTLANDS LÄN</t>
        </is>
      </c>
      <c r="E159" t="inlineStr">
        <is>
          <t>NORRKÖPING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46075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46075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46075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46075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46075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46075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67646-2021</t>
        </is>
      </c>
      <c r="B166" s="1" t="n">
        <v>44524</v>
      </c>
      <c r="C166" s="1" t="n">
        <v>46075</v>
      </c>
      <c r="D166" t="inlineStr">
        <is>
          <t>ÖSTERGÖTLANDS LÄN</t>
        </is>
      </c>
      <c r="E166" t="inlineStr">
        <is>
          <t>NORRKÖPING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13022-2021</t>
        </is>
      </c>
      <c r="B167" s="1" t="n">
        <v>44271.81282407408</v>
      </c>
      <c r="C167" s="1" t="n">
        <v>46075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46075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62574-2021</t>
        </is>
      </c>
      <c r="B169" s="1" t="n">
        <v>44503</v>
      </c>
      <c r="C169" s="1" t="n">
        <v>46075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19827-2021</t>
        </is>
      </c>
      <c r="B170" s="1" t="n">
        <v>44313</v>
      </c>
      <c r="C170" s="1" t="n">
        <v>46075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17633-2021</t>
        </is>
      </c>
      <c r="B171" s="1" t="n">
        <v>44300</v>
      </c>
      <c r="C171" s="1" t="n">
        <v>46075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17636-2021</t>
        </is>
      </c>
      <c r="B172" s="1" t="n">
        <v>44300</v>
      </c>
      <c r="C172" s="1" t="n">
        <v>46075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46075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46075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46075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46075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46075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46075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46075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46075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46075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46075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46075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46075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46075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46075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46075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46075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46075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46075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46075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46075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46075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46075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46075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46075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46075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46075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46075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46075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46075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46075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46075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46075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46075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46075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46075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46075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46075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46075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46075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46075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46075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46075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46075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46075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46075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46075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46075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46075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46075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46075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74113-2021</t>
        </is>
      </c>
      <c r="B223" s="1" t="n">
        <v>44557</v>
      </c>
      <c r="C223" s="1" t="n">
        <v>46075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46075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46075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46075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9281-2021</t>
        </is>
      </c>
      <c r="B227" s="1" t="n">
        <v>44249</v>
      </c>
      <c r="C227" s="1" t="n">
        <v>46075</v>
      </c>
      <c r="D227" t="inlineStr">
        <is>
          <t>ÖSTERGÖTLANDS LÄN</t>
        </is>
      </c>
      <c r="E227" t="inlineStr">
        <is>
          <t>NORRKÖPING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4743-2023</t>
        </is>
      </c>
      <c r="B228" s="1" t="n">
        <v>44957</v>
      </c>
      <c r="C228" s="1" t="n">
        <v>46075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41223-2022</t>
        </is>
      </c>
      <c r="B229" s="1" t="n">
        <v>44826</v>
      </c>
      <c r="C229" s="1" t="n">
        <v>46075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17664-2025</t>
        </is>
      </c>
      <c r="B230" s="1" t="n">
        <v>45758.36203703703</v>
      </c>
      <c r="C230" s="1" t="n">
        <v>46075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61043-2024</t>
        </is>
      </c>
      <c r="B231" s="1" t="n">
        <v>45644</v>
      </c>
      <c r="C231" s="1" t="n">
        <v>46075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2975-2025</t>
        </is>
      </c>
      <c r="B232" s="1" t="n">
        <v>45678.47236111111</v>
      </c>
      <c r="C232" s="1" t="n">
        <v>46075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53852-2022</t>
        </is>
      </c>
      <c r="B233" s="1" t="n">
        <v>44880</v>
      </c>
      <c r="C233" s="1" t="n">
        <v>46075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26390-2024</t>
        </is>
      </c>
      <c r="B234" s="1" t="n">
        <v>45469.43265046296</v>
      </c>
      <c r="C234" s="1" t="n">
        <v>46075</v>
      </c>
      <c r="D234" t="inlineStr">
        <is>
          <t>ÖSTERGÖTLANDS LÄN</t>
        </is>
      </c>
      <c r="E234" t="inlineStr">
        <is>
          <t>NORRKÖPING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46075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57979-2022</t>
        </is>
      </c>
      <c r="B236" s="1" t="n">
        <v>44900</v>
      </c>
      <c r="C236" s="1" t="n">
        <v>46075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25287-2023</t>
        </is>
      </c>
      <c r="B237" s="1" t="n">
        <v>45086.71662037037</v>
      </c>
      <c r="C237" s="1" t="n">
        <v>46075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15459-2024</t>
        </is>
      </c>
      <c r="B238" s="1" t="n">
        <v>45401.46640046296</v>
      </c>
      <c r="C238" s="1" t="n">
        <v>46075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32630-2022</t>
        </is>
      </c>
      <c r="B239" s="1" t="n">
        <v>44783</v>
      </c>
      <c r="C239" s="1" t="n">
        <v>46075</v>
      </c>
      <c r="D239" t="inlineStr">
        <is>
          <t>ÖSTERGÖTLANDS LÄN</t>
        </is>
      </c>
      <c r="E239" t="inlineStr">
        <is>
          <t>NORRKÖPING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23462-2023</t>
        </is>
      </c>
      <c r="B240" s="1" t="n">
        <v>45076</v>
      </c>
      <c r="C240" s="1" t="n">
        <v>46075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14138-2022</t>
        </is>
      </c>
      <c r="B241" s="1" t="n">
        <v>44651.42819444444</v>
      </c>
      <c r="C241" s="1" t="n">
        <v>46075</v>
      </c>
      <c r="D241" t="inlineStr">
        <is>
          <t>ÖSTERGÖTLANDS LÄN</t>
        </is>
      </c>
      <c r="E241" t="inlineStr">
        <is>
          <t>NORRKÖPING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13133-2024</t>
        </is>
      </c>
      <c r="B242" s="1" t="n">
        <v>45386.32806712963</v>
      </c>
      <c r="C242" s="1" t="n">
        <v>46075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64898-2021</t>
        </is>
      </c>
      <c r="B243" s="1" t="n">
        <v>44512</v>
      </c>
      <c r="C243" s="1" t="n">
        <v>46075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45699-2024</t>
        </is>
      </c>
      <c r="B244" s="1" t="n">
        <v>45579.56570601852</v>
      </c>
      <c r="C244" s="1" t="n">
        <v>46075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45309-2023</t>
        </is>
      </c>
      <c r="B245" s="1" t="n">
        <v>45191</v>
      </c>
      <c r="C245" s="1" t="n">
        <v>46075</v>
      </c>
      <c r="D245" t="inlineStr">
        <is>
          <t>ÖSTERGÖTLANDS LÄN</t>
        </is>
      </c>
      <c r="E245" t="inlineStr">
        <is>
          <t>NORRKÖPING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7750-2025</t>
        </is>
      </c>
      <c r="B246" s="1" t="n">
        <v>45706.49520833333</v>
      </c>
      <c r="C246" s="1" t="n">
        <v>46075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31850-2023</t>
        </is>
      </c>
      <c r="B247" s="1" t="n">
        <v>45106</v>
      </c>
      <c r="C247" s="1" t="n">
        <v>46075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9714-2025</t>
        </is>
      </c>
      <c r="B248" s="1" t="n">
        <v>45716.39159722222</v>
      </c>
      <c r="C248" s="1" t="n">
        <v>46075</v>
      </c>
      <c r="D248" t="inlineStr">
        <is>
          <t>ÖSTERGÖTLANDS LÄN</t>
        </is>
      </c>
      <c r="E248" t="inlineStr">
        <is>
          <t>NORRKÖPING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33703-2024</t>
        </is>
      </c>
      <c r="B249" s="1" t="n">
        <v>45520.52375</v>
      </c>
      <c r="C249" s="1" t="n">
        <v>46075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1146-2023</t>
        </is>
      </c>
      <c r="B250" s="1" t="n">
        <v>44935.64165509259</v>
      </c>
      <c r="C250" s="1" t="n">
        <v>46075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26832-2023</t>
        </is>
      </c>
      <c r="B251" s="1" t="n">
        <v>45093</v>
      </c>
      <c r="C251" s="1" t="n">
        <v>46075</v>
      </c>
      <c r="D251" t="inlineStr">
        <is>
          <t>ÖSTERGÖTLANDS LÄN</t>
        </is>
      </c>
      <c r="E251" t="inlineStr">
        <is>
          <t>NORRKÖPING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19844-2023</t>
        </is>
      </c>
      <c r="B252" s="1" t="n">
        <v>45053.36554398148</v>
      </c>
      <c r="C252" s="1" t="n">
        <v>46075</v>
      </c>
      <c r="D252" t="inlineStr">
        <is>
          <t>ÖSTERGÖTLANDS LÄN</t>
        </is>
      </c>
      <c r="E252" t="inlineStr">
        <is>
          <t>NORRKÖPING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49456-2022</t>
        </is>
      </c>
      <c r="B253" s="1" t="n">
        <v>44861</v>
      </c>
      <c r="C253" s="1" t="n">
        <v>46075</v>
      </c>
      <c r="D253" t="inlineStr">
        <is>
          <t>ÖSTERGÖTLANDS LÄN</t>
        </is>
      </c>
      <c r="E253" t="inlineStr">
        <is>
          <t>NORRKÖPING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30095-2023</t>
        </is>
      </c>
      <c r="B254" s="1" t="n">
        <v>45110</v>
      </c>
      <c r="C254" s="1" t="n">
        <v>46075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12191-2023</t>
        </is>
      </c>
      <c r="B255" s="1" t="n">
        <v>44998</v>
      </c>
      <c r="C255" s="1" t="n">
        <v>46075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62061-2023</t>
        </is>
      </c>
      <c r="B256" s="1" t="n">
        <v>45266</v>
      </c>
      <c r="C256" s="1" t="n">
        <v>46075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8815-2024</t>
        </is>
      </c>
      <c r="B257" s="1" t="n">
        <v>45356.66037037037</v>
      </c>
      <c r="C257" s="1" t="n">
        <v>46075</v>
      </c>
      <c r="D257" t="inlineStr">
        <is>
          <t>ÖSTERGÖTLANDS LÄN</t>
        </is>
      </c>
      <c r="E257" t="inlineStr">
        <is>
          <t>NORRKÖPING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26391-2023</t>
        </is>
      </c>
      <c r="B258" s="1" t="n">
        <v>45092.35266203704</v>
      </c>
      <c r="C258" s="1" t="n">
        <v>46075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8292-2023</t>
        </is>
      </c>
      <c r="B259" s="1" t="n">
        <v>44974.65918981482</v>
      </c>
      <c r="C259" s="1" t="n">
        <v>46075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58889-2024</t>
        </is>
      </c>
      <c r="B260" s="1" t="n">
        <v>45636.45989583333</v>
      </c>
      <c r="C260" s="1" t="n">
        <v>46075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2540-2024</t>
        </is>
      </c>
      <c r="B261" s="1" t="n">
        <v>45313</v>
      </c>
      <c r="C261" s="1" t="n">
        <v>46075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55359-2023</t>
        </is>
      </c>
      <c r="B262" s="1" t="n">
        <v>45238.33091435185</v>
      </c>
      <c r="C262" s="1" t="n">
        <v>46075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27040-2022</t>
        </is>
      </c>
      <c r="B263" s="1" t="n">
        <v>44741</v>
      </c>
      <c r="C263" s="1" t="n">
        <v>46075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46806-2024</t>
        </is>
      </c>
      <c r="B264" s="1" t="n">
        <v>45583.55850694444</v>
      </c>
      <c r="C264" s="1" t="n">
        <v>46075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46633-2024</t>
        </is>
      </c>
      <c r="B265" s="1" t="n">
        <v>45583.34371527778</v>
      </c>
      <c r="C265" s="1" t="n">
        <v>46075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13152-2024</t>
        </is>
      </c>
      <c r="B266" s="1" t="n">
        <v>45386.35986111111</v>
      </c>
      <c r="C266" s="1" t="n">
        <v>46075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18650-2023</t>
        </is>
      </c>
      <c r="B267" s="1" t="n">
        <v>45043.53597222222</v>
      </c>
      <c r="C267" s="1" t="n">
        <v>46075</v>
      </c>
      <c r="D267" t="inlineStr">
        <is>
          <t>ÖSTERGÖTLANDS LÄN</t>
        </is>
      </c>
      <c r="E267" t="inlineStr">
        <is>
          <t>NORRKÖPING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15843-2023</t>
        </is>
      </c>
      <c r="B268" s="1" t="n">
        <v>45022.34695601852</v>
      </c>
      <c r="C268" s="1" t="n">
        <v>46075</v>
      </c>
      <c r="D268" t="inlineStr">
        <is>
          <t>ÖSTERGÖTLANDS LÄN</t>
        </is>
      </c>
      <c r="E268" t="inlineStr">
        <is>
          <t>NORRKÖPING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34907-2024</t>
        </is>
      </c>
      <c r="B269" s="1" t="n">
        <v>45527.41597222222</v>
      </c>
      <c r="C269" s="1" t="n">
        <v>46075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59544-2023</t>
        </is>
      </c>
      <c r="B270" s="1" t="n">
        <v>45254.54892361111</v>
      </c>
      <c r="C270" s="1" t="n">
        <v>46075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7141-2023</t>
        </is>
      </c>
      <c r="B271" s="1" t="n">
        <v>44970.44197916667</v>
      </c>
      <c r="C271" s="1" t="n">
        <v>46075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49778-2022</t>
        </is>
      </c>
      <c r="B272" s="1" t="n">
        <v>44862</v>
      </c>
      <c r="C272" s="1" t="n">
        <v>46075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36412-2024</t>
        </is>
      </c>
      <c r="B273" s="1" t="n">
        <v>45535.91413194445</v>
      </c>
      <c r="C273" s="1" t="n">
        <v>46075</v>
      </c>
      <c r="D273" t="inlineStr">
        <is>
          <t>ÖSTERGÖTLANDS LÄN</t>
        </is>
      </c>
      <c r="E273" t="inlineStr">
        <is>
          <t>NORRKÖPING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8805-2024</t>
        </is>
      </c>
      <c r="B274" s="1" t="n">
        <v>45356.64724537037</v>
      </c>
      <c r="C274" s="1" t="n">
        <v>46075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9174-2023</t>
        </is>
      </c>
      <c r="B275" s="1" t="n">
        <v>44980</v>
      </c>
      <c r="C275" s="1" t="n">
        <v>46075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7317-2025</t>
        </is>
      </c>
      <c r="B276" s="1" t="n">
        <v>45702.76590277778</v>
      </c>
      <c r="C276" s="1" t="n">
        <v>46075</v>
      </c>
      <c r="D276" t="inlineStr">
        <is>
          <t>ÖSTERGÖTLANDS LÄN</t>
        </is>
      </c>
      <c r="E276" t="inlineStr">
        <is>
          <t>NORRKÖPING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4460-2023</t>
        </is>
      </c>
      <c r="B277" s="1" t="n">
        <v>44956</v>
      </c>
      <c r="C277" s="1" t="n">
        <v>46075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18867-2025</t>
        </is>
      </c>
      <c r="B278" s="1" t="n">
        <v>45764.43002314815</v>
      </c>
      <c r="C278" s="1" t="n">
        <v>46075</v>
      </c>
      <c r="D278" t="inlineStr">
        <is>
          <t>ÖSTERGÖTLANDS LÄN</t>
        </is>
      </c>
      <c r="E278" t="inlineStr">
        <is>
          <t>NORRKÖPING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6636-2023</t>
        </is>
      </c>
      <c r="B279" s="1" t="n">
        <v>44966.57550925926</v>
      </c>
      <c r="C279" s="1" t="n">
        <v>46075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57495-2023</t>
        </is>
      </c>
      <c r="B280" s="1" t="n">
        <v>45246.41783564815</v>
      </c>
      <c r="C280" s="1" t="n">
        <v>46075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14585-2025</t>
        </is>
      </c>
      <c r="B281" s="1" t="n">
        <v>45742.31784722222</v>
      </c>
      <c r="C281" s="1" t="n">
        <v>46075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1935-2022</t>
        </is>
      </c>
      <c r="B282" s="1" t="n">
        <v>44575</v>
      </c>
      <c r="C282" s="1" t="n">
        <v>46075</v>
      </c>
      <c r="D282" t="inlineStr">
        <is>
          <t>ÖSTERGÖTLANDS LÄN</t>
        </is>
      </c>
      <c r="E282" t="inlineStr">
        <is>
          <t>NORRKÖPING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1811-2023</t>
        </is>
      </c>
      <c r="B283" s="1" t="n">
        <v>44936</v>
      </c>
      <c r="C283" s="1" t="n">
        <v>46075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17327-2024</t>
        </is>
      </c>
      <c r="B284" s="1" t="n">
        <v>45414.5519212963</v>
      </c>
      <c r="C284" s="1" t="n">
        <v>46075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62875-2023</t>
        </is>
      </c>
      <c r="B285" s="1" t="n">
        <v>45272</v>
      </c>
      <c r="C285" s="1" t="n">
        <v>46075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63417-2023</t>
        </is>
      </c>
      <c r="B286" s="1" t="n">
        <v>45274</v>
      </c>
      <c r="C286" s="1" t="n">
        <v>46075</v>
      </c>
      <c r="D286" t="inlineStr">
        <is>
          <t>ÖSTERGÖTLANDS LÄN</t>
        </is>
      </c>
      <c r="E286" t="inlineStr">
        <is>
          <t>NORRKÖPING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29622-2022</t>
        </is>
      </c>
      <c r="B287" s="1" t="n">
        <v>44754.57658564814</v>
      </c>
      <c r="C287" s="1" t="n">
        <v>46075</v>
      </c>
      <c r="D287" t="inlineStr">
        <is>
          <t>ÖSTERGÖTLANDS LÄN</t>
        </is>
      </c>
      <c r="E287" t="inlineStr">
        <is>
          <t>NORRKÖPING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51112-2024</t>
        </is>
      </c>
      <c r="B288" s="1" t="n">
        <v>45603.49528935185</v>
      </c>
      <c r="C288" s="1" t="n">
        <v>46075</v>
      </c>
      <c r="D288" t="inlineStr">
        <is>
          <t>ÖSTERGÖTLANDS LÄN</t>
        </is>
      </c>
      <c r="E288" t="inlineStr">
        <is>
          <t>NORRKÖPING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15190-2024</t>
        </is>
      </c>
      <c r="B289" s="1" t="n">
        <v>45400</v>
      </c>
      <c r="C289" s="1" t="n">
        <v>46075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41367-2023</t>
        </is>
      </c>
      <c r="B290" s="1" t="n">
        <v>45174</v>
      </c>
      <c r="C290" s="1" t="n">
        <v>46075</v>
      </c>
      <c r="D290" t="inlineStr">
        <is>
          <t>ÖSTERGÖTLANDS LÄN</t>
        </is>
      </c>
      <c r="E290" t="inlineStr">
        <is>
          <t>NORRKÖPING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41375-2023</t>
        </is>
      </c>
      <c r="B291" s="1" t="n">
        <v>45174.87439814815</v>
      </c>
      <c r="C291" s="1" t="n">
        <v>46075</v>
      </c>
      <c r="D291" t="inlineStr">
        <is>
          <t>ÖSTERGÖTLANDS LÄN</t>
        </is>
      </c>
      <c r="E291" t="inlineStr">
        <is>
          <t>NORRKÖPING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9941-2024</t>
        </is>
      </c>
      <c r="B292" s="1" t="n">
        <v>45363.58979166667</v>
      </c>
      <c r="C292" s="1" t="n">
        <v>46075</v>
      </c>
      <c r="D292" t="inlineStr">
        <is>
          <t>ÖSTERGÖTLANDS LÄN</t>
        </is>
      </c>
      <c r="E292" t="inlineStr">
        <is>
          <t>NORRKÖPING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56876-2024</t>
        </is>
      </c>
      <c r="B293" s="1" t="n">
        <v>45628.56513888889</v>
      </c>
      <c r="C293" s="1" t="n">
        <v>46075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12564-2025</t>
        </is>
      </c>
      <c r="B294" s="1" t="n">
        <v>45731.60166666667</v>
      </c>
      <c r="C294" s="1" t="n">
        <v>46075</v>
      </c>
      <c r="D294" t="inlineStr">
        <is>
          <t>ÖSTERGÖTLANDS LÄN</t>
        </is>
      </c>
      <c r="E294" t="inlineStr">
        <is>
          <t>NORRKÖPING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57733-2022</t>
        </is>
      </c>
      <c r="B295" s="1" t="n">
        <v>44897</v>
      </c>
      <c r="C295" s="1" t="n">
        <v>46075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57413-2022</t>
        </is>
      </c>
      <c r="B296" s="1" t="n">
        <v>44896</v>
      </c>
      <c r="C296" s="1" t="n">
        <v>46075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1077-2023</t>
        </is>
      </c>
      <c r="B297" s="1" t="n">
        <v>44935</v>
      </c>
      <c r="C297" s="1" t="n">
        <v>46075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1115-2023</t>
        </is>
      </c>
      <c r="B298" s="1" t="n">
        <v>44935.60138888889</v>
      </c>
      <c r="C298" s="1" t="n">
        <v>46075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48462-2022</t>
        </is>
      </c>
      <c r="B299" s="1" t="n">
        <v>44858</v>
      </c>
      <c r="C299" s="1" t="n">
        <v>46075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20583-2024</t>
        </is>
      </c>
      <c r="B300" s="1" t="n">
        <v>45436.41305555555</v>
      </c>
      <c r="C300" s="1" t="n">
        <v>46075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17821-2025</t>
        </is>
      </c>
      <c r="B301" s="1" t="n">
        <v>45758.56946759259</v>
      </c>
      <c r="C301" s="1" t="n">
        <v>46075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28507-2025</t>
        </is>
      </c>
      <c r="B302" s="1" t="n">
        <v>45817</v>
      </c>
      <c r="C302" s="1" t="n">
        <v>46075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28497-2025</t>
        </is>
      </c>
      <c r="B303" s="1" t="n">
        <v>45817</v>
      </c>
      <c r="C303" s="1" t="n">
        <v>46075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38740-2025</t>
        </is>
      </c>
      <c r="B304" s="1" t="n">
        <v>45887</v>
      </c>
      <c r="C304" s="1" t="n">
        <v>46075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23910-2025</t>
        </is>
      </c>
      <c r="B305" s="1" t="n">
        <v>45794.82150462963</v>
      </c>
      <c r="C305" s="1" t="n">
        <v>46075</v>
      </c>
      <c r="D305" t="inlineStr">
        <is>
          <t>ÖSTERGÖTLANDS LÄN</t>
        </is>
      </c>
      <c r="E305" t="inlineStr">
        <is>
          <t>NORRKÖPING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3650-2023</t>
        </is>
      </c>
      <c r="B306" s="1" t="n">
        <v>44950</v>
      </c>
      <c r="C306" s="1" t="n">
        <v>46075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13173-2022</t>
        </is>
      </c>
      <c r="B307" s="1" t="n">
        <v>44644</v>
      </c>
      <c r="C307" s="1" t="n">
        <v>46075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38692-2025</t>
        </is>
      </c>
      <c r="B308" s="1" t="n">
        <v>45884.68263888889</v>
      </c>
      <c r="C308" s="1" t="n">
        <v>46075</v>
      </c>
      <c r="D308" t="inlineStr">
        <is>
          <t>ÖSTERGÖTLANDS LÄN</t>
        </is>
      </c>
      <c r="E308" t="inlineStr">
        <is>
          <t>NORRKÖPING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38719-2025</t>
        </is>
      </c>
      <c r="B309" s="1" t="n">
        <v>45886.65516203704</v>
      </c>
      <c r="C309" s="1" t="n">
        <v>46075</v>
      </c>
      <c r="D309" t="inlineStr">
        <is>
          <t>ÖSTERGÖTLANDS LÄN</t>
        </is>
      </c>
      <c r="E309" t="inlineStr">
        <is>
          <t>NORRKÖPING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49452-2021</t>
        </is>
      </c>
      <c r="B310" s="1" t="n">
        <v>44454</v>
      </c>
      <c r="C310" s="1" t="n">
        <v>46075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38571-2025</t>
        </is>
      </c>
      <c r="B311" s="1" t="n">
        <v>45884.45916666667</v>
      </c>
      <c r="C311" s="1" t="n">
        <v>46075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30156-2023</t>
        </is>
      </c>
      <c r="B312" s="1" t="n">
        <v>45110.56027777777</v>
      </c>
      <c r="C312" s="1" t="n">
        <v>46075</v>
      </c>
      <c r="D312" t="inlineStr">
        <is>
          <t>ÖSTERGÖTLANDS LÄN</t>
        </is>
      </c>
      <c r="E312" t="inlineStr">
        <is>
          <t>NORRKÖPING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30159-2023</t>
        </is>
      </c>
      <c r="B313" s="1" t="n">
        <v>45110</v>
      </c>
      <c r="C313" s="1" t="n">
        <v>46075</v>
      </c>
      <c r="D313" t="inlineStr">
        <is>
          <t>ÖSTERGÖTLANDS LÄN</t>
        </is>
      </c>
      <c r="E313" t="inlineStr">
        <is>
          <t>NORRKÖPING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62176-2024</t>
        </is>
      </c>
      <c r="B314" s="1" t="n">
        <v>45657.94784722223</v>
      </c>
      <c r="C314" s="1" t="n">
        <v>46075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46075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1854-2025</t>
        </is>
      </c>
      <c r="B316" s="1" t="n">
        <v>45671.59245370371</v>
      </c>
      <c r="C316" s="1" t="n">
        <v>46075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27236-2023</t>
        </is>
      </c>
      <c r="B317" s="1" t="n">
        <v>45096</v>
      </c>
      <c r="C317" s="1" t="n">
        <v>46075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35701-2024</t>
        </is>
      </c>
      <c r="B318" s="1" t="n">
        <v>45532</v>
      </c>
      <c r="C318" s="1" t="n">
        <v>46075</v>
      </c>
      <c r="D318" t="inlineStr">
        <is>
          <t>ÖSTERGÖTLANDS LÄN</t>
        </is>
      </c>
      <c r="E318" t="inlineStr">
        <is>
          <t>NORRKÖPING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28750-2025</t>
        </is>
      </c>
      <c r="B319" s="1" t="n">
        <v>45820.39863425926</v>
      </c>
      <c r="C319" s="1" t="n">
        <v>46075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47435-2023</t>
        </is>
      </c>
      <c r="B320" s="1" t="n">
        <v>45202</v>
      </c>
      <c r="C320" s="1" t="n">
        <v>46075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28734-2025</t>
        </is>
      </c>
      <c r="B321" s="1" t="n">
        <v>45820.37113425926</v>
      </c>
      <c r="C321" s="1" t="n">
        <v>46075</v>
      </c>
      <c r="D321" t="inlineStr">
        <is>
          <t>ÖSTERGÖTLANDS LÄN</t>
        </is>
      </c>
      <c r="E321" t="inlineStr">
        <is>
          <t>NORRKÖPING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32648-2023</t>
        </is>
      </c>
      <c r="B322" s="1" t="n">
        <v>45121</v>
      </c>
      <c r="C322" s="1" t="n">
        <v>46075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49818-2024</t>
        </is>
      </c>
      <c r="B323" s="1" t="n">
        <v>45597.40140046296</v>
      </c>
      <c r="C323" s="1" t="n">
        <v>46075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39155-2025</t>
        </is>
      </c>
      <c r="B324" s="1" t="n">
        <v>45888.61847222222</v>
      </c>
      <c r="C324" s="1" t="n">
        <v>46075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29216-2025</t>
        </is>
      </c>
      <c r="B325" s="1" t="n">
        <v>45824.31493055556</v>
      </c>
      <c r="C325" s="1" t="n">
        <v>46075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64188-2023</t>
        </is>
      </c>
      <c r="B326" s="1" t="n">
        <v>45279.66864583334</v>
      </c>
      <c r="C326" s="1" t="n">
        <v>46075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22651-2023</t>
        </is>
      </c>
      <c r="B327" s="1" t="n">
        <v>45071</v>
      </c>
      <c r="C327" s="1" t="n">
        <v>46075</v>
      </c>
      <c r="D327" t="inlineStr">
        <is>
          <t>ÖSTERGÖTLANDS LÄN</t>
        </is>
      </c>
      <c r="E327" t="inlineStr">
        <is>
          <t>NORRKÖPING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39071-2025</t>
        </is>
      </c>
      <c r="B328" s="1" t="n">
        <v>45888.46922453704</v>
      </c>
      <c r="C328" s="1" t="n">
        <v>46075</v>
      </c>
      <c r="D328" t="inlineStr">
        <is>
          <t>ÖSTERGÖTLANDS LÄN</t>
        </is>
      </c>
      <c r="E328" t="inlineStr">
        <is>
          <t>NORRKÖPING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3912-2025</t>
        </is>
      </c>
      <c r="B329" s="1" t="n">
        <v>45684.4203125</v>
      </c>
      <c r="C329" s="1" t="n">
        <v>46075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39223-2025</t>
        </is>
      </c>
      <c r="B330" s="1" t="n">
        <v>45889</v>
      </c>
      <c r="C330" s="1" t="n">
        <v>46075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3070-2025</t>
        </is>
      </c>
      <c r="B331" s="1" t="n">
        <v>45678.6377199074</v>
      </c>
      <c r="C331" s="1" t="n">
        <v>46075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39067-2025</t>
        </is>
      </c>
      <c r="B332" s="1" t="n">
        <v>45888.4658449074</v>
      </c>
      <c r="C332" s="1" t="n">
        <v>46075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55941-2022</t>
        </is>
      </c>
      <c r="B333" s="1" t="n">
        <v>44889</v>
      </c>
      <c r="C333" s="1" t="n">
        <v>46075</v>
      </c>
      <c r="D333" t="inlineStr">
        <is>
          <t>ÖSTERGÖTLANDS LÄN</t>
        </is>
      </c>
      <c r="E333" t="inlineStr">
        <is>
          <t>NORRKÖPING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39224-2025</t>
        </is>
      </c>
      <c r="B334" s="1" t="n">
        <v>45889</v>
      </c>
      <c r="C334" s="1" t="n">
        <v>46075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29298-2025</t>
        </is>
      </c>
      <c r="B335" s="1" t="n">
        <v>45824.45221064815</v>
      </c>
      <c r="C335" s="1" t="n">
        <v>46075</v>
      </c>
      <c r="D335" t="inlineStr">
        <is>
          <t>ÖSTERGÖTLANDS LÄN</t>
        </is>
      </c>
      <c r="E335" t="inlineStr">
        <is>
          <t>NORRKÖPING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29220-2025</t>
        </is>
      </c>
      <c r="B336" s="1" t="n">
        <v>45824.32293981482</v>
      </c>
      <c r="C336" s="1" t="n">
        <v>46075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23907-2025</t>
        </is>
      </c>
      <c r="B337" s="1" t="n">
        <v>45794.81583333333</v>
      </c>
      <c r="C337" s="1" t="n">
        <v>46075</v>
      </c>
      <c r="D337" t="inlineStr">
        <is>
          <t>ÖSTERGÖTLANDS LÄN</t>
        </is>
      </c>
      <c r="E337" t="inlineStr">
        <is>
          <t>NORRKÖPING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3035-2025</t>
        </is>
      </c>
      <c r="B338" s="1" t="n">
        <v>45678.59783564815</v>
      </c>
      <c r="C338" s="1" t="n">
        <v>46075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3325-2024</t>
        </is>
      </c>
      <c r="B339" s="1" t="n">
        <v>45317</v>
      </c>
      <c r="C339" s="1" t="n">
        <v>46075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39072-2025</t>
        </is>
      </c>
      <c r="B340" s="1" t="n">
        <v>45888.4712037037</v>
      </c>
      <c r="C340" s="1" t="n">
        <v>46075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47345-2023</t>
        </is>
      </c>
      <c r="B341" s="1" t="n">
        <v>45202.56994212963</v>
      </c>
      <c r="C341" s="1" t="n">
        <v>46075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39861-2025</t>
        </is>
      </c>
      <c r="B342" s="1" t="n">
        <v>45891.59726851852</v>
      </c>
      <c r="C342" s="1" t="n">
        <v>46075</v>
      </c>
      <c r="D342" t="inlineStr">
        <is>
          <t>ÖSTERGÖTLANDS LÄN</t>
        </is>
      </c>
      <c r="E342" t="inlineStr">
        <is>
          <t>NORRKÖPING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39862-2025</t>
        </is>
      </c>
      <c r="B343" s="1" t="n">
        <v>45891.59938657407</v>
      </c>
      <c r="C343" s="1" t="n">
        <v>46075</v>
      </c>
      <c r="D343" t="inlineStr">
        <is>
          <t>ÖSTERGÖTLANDS LÄN</t>
        </is>
      </c>
      <c r="E343" t="inlineStr">
        <is>
          <t>NORRKÖPING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27632-2025</t>
        </is>
      </c>
      <c r="B344" s="1" t="n">
        <v>45813.56320601852</v>
      </c>
      <c r="C344" s="1" t="n">
        <v>46075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18664-2023</t>
        </is>
      </c>
      <c r="B345" s="1" t="n">
        <v>45043</v>
      </c>
      <c r="C345" s="1" t="n">
        <v>46075</v>
      </c>
      <c r="D345" t="inlineStr">
        <is>
          <t>ÖSTERGÖTLANDS LÄN</t>
        </is>
      </c>
      <c r="E345" t="inlineStr">
        <is>
          <t>NORRKÖPING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39863-2025</t>
        </is>
      </c>
      <c r="B346" s="1" t="n">
        <v>45891.60103009259</v>
      </c>
      <c r="C346" s="1" t="n">
        <v>46075</v>
      </c>
      <c r="D346" t="inlineStr">
        <is>
          <t>ÖSTERGÖTLANDS LÄN</t>
        </is>
      </c>
      <c r="E346" t="inlineStr">
        <is>
          <t>NORRKÖPING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23373-2024</t>
        </is>
      </c>
      <c r="B347" s="1" t="n">
        <v>45453.55534722222</v>
      </c>
      <c r="C347" s="1" t="n">
        <v>46075</v>
      </c>
      <c r="D347" t="inlineStr">
        <is>
          <t>ÖSTERGÖTLANDS LÄN</t>
        </is>
      </c>
      <c r="E347" t="inlineStr">
        <is>
          <t>NORRKÖPING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39865-2025</t>
        </is>
      </c>
      <c r="B348" s="1" t="n">
        <v>45891.60346064815</v>
      </c>
      <c r="C348" s="1" t="n">
        <v>46075</v>
      </c>
      <c r="D348" t="inlineStr">
        <is>
          <t>ÖSTERGÖTLANDS LÄN</t>
        </is>
      </c>
      <c r="E348" t="inlineStr">
        <is>
          <t>NORRKÖPING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28600-2024</t>
        </is>
      </c>
      <c r="B349" s="1" t="n">
        <v>45478.42675925926</v>
      </c>
      <c r="C349" s="1" t="n">
        <v>46075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40053-2025</t>
        </is>
      </c>
      <c r="B350" s="1" t="n">
        <v>45894.41133101852</v>
      </c>
      <c r="C350" s="1" t="n">
        <v>46075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27735-2023</t>
        </is>
      </c>
      <c r="B351" s="1" t="n">
        <v>45098.37322916667</v>
      </c>
      <c r="C351" s="1" t="n">
        <v>46075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40315-2025</t>
        </is>
      </c>
      <c r="B352" s="1" t="n">
        <v>45895.42582175926</v>
      </c>
      <c r="C352" s="1" t="n">
        <v>46075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40284-2025</t>
        </is>
      </c>
      <c r="B353" s="1" t="n">
        <v>45895.373125</v>
      </c>
      <c r="C353" s="1" t="n">
        <v>46075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40278-2025</t>
        </is>
      </c>
      <c r="B354" s="1" t="n">
        <v>45895.3627662037</v>
      </c>
      <c r="C354" s="1" t="n">
        <v>46075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40134-2025</t>
        </is>
      </c>
      <c r="B355" s="1" t="n">
        <v>45894.55337962963</v>
      </c>
      <c r="C355" s="1" t="n">
        <v>46075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40095-2025</t>
        </is>
      </c>
      <c r="B356" s="1" t="n">
        <v>45894.4825</v>
      </c>
      <c r="C356" s="1" t="n">
        <v>46075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12223-2025</t>
        </is>
      </c>
      <c r="B357" s="1" t="n">
        <v>45729</v>
      </c>
      <c r="C357" s="1" t="n">
        <v>46075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40132-2025</t>
        </is>
      </c>
      <c r="B358" s="1" t="n">
        <v>45894.55216435185</v>
      </c>
      <c r="C358" s="1" t="n">
        <v>46075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17249-2024</t>
        </is>
      </c>
      <c r="B359" s="1" t="n">
        <v>45414.39614583334</v>
      </c>
      <c r="C359" s="1" t="n">
        <v>46075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40669-2025</t>
        </is>
      </c>
      <c r="B360" s="1" t="n">
        <v>45896.66505787037</v>
      </c>
      <c r="C360" s="1" t="n">
        <v>46075</v>
      </c>
      <c r="D360" t="inlineStr">
        <is>
          <t>ÖSTERGÖTLANDS LÄN</t>
        </is>
      </c>
      <c r="E360" t="inlineStr">
        <is>
          <t>NORRKÖPING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33131-2025</t>
        </is>
      </c>
      <c r="B361" s="1" t="n">
        <v>45832</v>
      </c>
      <c r="C361" s="1" t="n">
        <v>46075</v>
      </c>
      <c r="D361" t="inlineStr">
        <is>
          <t>ÖSTERGÖTLANDS LÄN</t>
        </is>
      </c>
      <c r="E361" t="inlineStr">
        <is>
          <t>NORRKÖPING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40679-2025</t>
        </is>
      </c>
      <c r="B362" s="1" t="n">
        <v>45896.81087962963</v>
      </c>
      <c r="C362" s="1" t="n">
        <v>46075</v>
      </c>
      <c r="D362" t="inlineStr">
        <is>
          <t>ÖSTERGÖTLANDS LÄN</t>
        </is>
      </c>
      <c r="E362" t="inlineStr">
        <is>
          <t>NORRKÖPING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31564-2025</t>
        </is>
      </c>
      <c r="B363" s="1" t="n">
        <v>45833.65659722222</v>
      </c>
      <c r="C363" s="1" t="n">
        <v>46075</v>
      </c>
      <c r="D363" t="inlineStr">
        <is>
          <t>ÖSTERGÖTLANDS LÄN</t>
        </is>
      </c>
      <c r="E363" t="inlineStr">
        <is>
          <t>NORRKÖPING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43277-2023</t>
        </is>
      </c>
      <c r="B364" s="1" t="n">
        <v>45183</v>
      </c>
      <c r="C364" s="1" t="n">
        <v>46075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31320-2025</t>
        </is>
      </c>
      <c r="B365" s="1" t="n">
        <v>45833.40451388889</v>
      </c>
      <c r="C365" s="1" t="n">
        <v>46075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40670-2025</t>
        </is>
      </c>
      <c r="B366" s="1" t="n">
        <v>45896.66944444444</v>
      </c>
      <c r="C366" s="1" t="n">
        <v>46075</v>
      </c>
      <c r="D366" t="inlineStr">
        <is>
          <t>ÖSTERGÖTLANDS LÄN</t>
        </is>
      </c>
      <c r="E366" t="inlineStr">
        <is>
          <t>NORRKÖPING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31364-2025</t>
        </is>
      </c>
      <c r="B367" s="1" t="n">
        <v>45833.4374537037</v>
      </c>
      <c r="C367" s="1" t="n">
        <v>46075</v>
      </c>
      <c r="D367" t="inlineStr">
        <is>
          <t>ÖSTERGÖTLANDS LÄN</t>
        </is>
      </c>
      <c r="E367" t="inlineStr">
        <is>
          <t>NORRKÖPING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33126-2025</t>
        </is>
      </c>
      <c r="B368" s="1" t="n">
        <v>45832</v>
      </c>
      <c r="C368" s="1" t="n">
        <v>46075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33138-2025</t>
        </is>
      </c>
      <c r="B369" s="1" t="n">
        <v>45832</v>
      </c>
      <c r="C369" s="1" t="n">
        <v>46075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18877-2025</t>
        </is>
      </c>
      <c r="B370" s="1" t="n">
        <v>45764.43782407408</v>
      </c>
      <c r="C370" s="1" t="n">
        <v>46075</v>
      </c>
      <c r="D370" t="inlineStr">
        <is>
          <t>ÖSTERGÖTLANDS LÄN</t>
        </is>
      </c>
      <c r="E370" t="inlineStr">
        <is>
          <t>NORRKÖPING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18886-2025</t>
        </is>
      </c>
      <c r="B371" s="1" t="n">
        <v>45764.44263888889</v>
      </c>
      <c r="C371" s="1" t="n">
        <v>46075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18705-2023</t>
        </is>
      </c>
      <c r="B372" s="1" t="n">
        <v>45043</v>
      </c>
      <c r="C372" s="1" t="n">
        <v>46075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41215-2025</t>
        </is>
      </c>
      <c r="B373" s="1" t="n">
        <v>45898.58202546297</v>
      </c>
      <c r="C373" s="1" t="n">
        <v>46075</v>
      </c>
      <c r="D373" t="inlineStr">
        <is>
          <t>ÖSTERGÖTLANDS LÄN</t>
        </is>
      </c>
      <c r="E373" t="inlineStr">
        <is>
          <t>NORRKÖPING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17582-2025</t>
        </is>
      </c>
      <c r="B374" s="1" t="n">
        <v>45757.66474537037</v>
      </c>
      <c r="C374" s="1" t="n">
        <v>46075</v>
      </c>
      <c r="D374" t="inlineStr">
        <is>
          <t>ÖSTERGÖTLANDS LÄN</t>
        </is>
      </c>
      <c r="E374" t="inlineStr">
        <is>
          <t>NORRKÖPING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17660-2025</t>
        </is>
      </c>
      <c r="B375" s="1" t="n">
        <v>45758.35732638889</v>
      </c>
      <c r="C375" s="1" t="n">
        <v>46075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56210-2023</t>
        </is>
      </c>
      <c r="B376" s="1" t="n">
        <v>45240</v>
      </c>
      <c r="C376" s="1" t="n">
        <v>46075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41321-2025</t>
        </is>
      </c>
      <c r="B377" s="1" t="n">
        <v>45898.86685185185</v>
      </c>
      <c r="C377" s="1" t="n">
        <v>46075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27857-2025</t>
        </is>
      </c>
      <c r="B378" s="1" t="n">
        <v>45817.41037037037</v>
      </c>
      <c r="C378" s="1" t="n">
        <v>46075</v>
      </c>
      <c r="D378" t="inlineStr">
        <is>
          <t>ÖSTERGÖTLANDS LÄN</t>
        </is>
      </c>
      <c r="E378" t="inlineStr">
        <is>
          <t>NORRKÖPING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31883-2023</t>
        </is>
      </c>
      <c r="B379" s="1" t="n">
        <v>45118</v>
      </c>
      <c r="C379" s="1" t="n">
        <v>46075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41933-2025</t>
        </is>
      </c>
      <c r="B380" s="1" t="n">
        <v>45903.43489583334</v>
      </c>
      <c r="C380" s="1" t="n">
        <v>46075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41952-2025</t>
        </is>
      </c>
      <c r="B381" s="1" t="n">
        <v>45903.45952546296</v>
      </c>
      <c r="C381" s="1" t="n">
        <v>46075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37528-2025</t>
        </is>
      </c>
      <c r="B382" s="1" t="n">
        <v>45877</v>
      </c>
      <c r="C382" s="1" t="n">
        <v>46075</v>
      </c>
      <c r="D382" t="inlineStr">
        <is>
          <t>ÖSTERGÖTLANDS LÄN</t>
        </is>
      </c>
      <c r="E382" t="inlineStr">
        <is>
          <t>NORRKÖPING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62973-2021</t>
        </is>
      </c>
      <c r="B383" s="1" t="n">
        <v>44504</v>
      </c>
      <c r="C383" s="1" t="n">
        <v>46075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32681-2025</t>
        </is>
      </c>
      <c r="B384" s="1" t="n">
        <v>45836</v>
      </c>
      <c r="C384" s="1" t="n">
        <v>46075</v>
      </c>
      <c r="D384" t="inlineStr">
        <is>
          <t>ÖSTERGÖTLANDS LÄN</t>
        </is>
      </c>
      <c r="E384" t="inlineStr">
        <is>
          <t>NORRKÖPING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32664-2025</t>
        </is>
      </c>
      <c r="B385" s="1" t="n">
        <v>45838.683125</v>
      </c>
      <c r="C385" s="1" t="n">
        <v>46075</v>
      </c>
      <c r="D385" t="inlineStr">
        <is>
          <t>ÖSTERGÖTLANDS LÄN</t>
        </is>
      </c>
      <c r="E385" t="inlineStr">
        <is>
          <t>NORRKÖPING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9532-2025</t>
        </is>
      </c>
      <c r="B386" s="1" t="n">
        <v>45715.56964120371</v>
      </c>
      <c r="C386" s="1" t="n">
        <v>46075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70378-2021</t>
        </is>
      </c>
      <c r="B387" s="1" t="n">
        <v>44536</v>
      </c>
      <c r="C387" s="1" t="n">
        <v>46075</v>
      </c>
      <c r="D387" t="inlineStr">
        <is>
          <t>ÖSTERGÖTLANDS LÄN</t>
        </is>
      </c>
      <c r="E387" t="inlineStr">
        <is>
          <t>NORRKÖPING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36575-2023</t>
        </is>
      </c>
      <c r="B388" s="1" t="n">
        <v>45153</v>
      </c>
      <c r="C388" s="1" t="n">
        <v>46075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42233-2025</t>
        </is>
      </c>
      <c r="B389" s="1" t="n">
        <v>45904.55924768518</v>
      </c>
      <c r="C389" s="1" t="n">
        <v>46075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50092-2023</t>
        </is>
      </c>
      <c r="B390" s="1" t="n">
        <v>45215</v>
      </c>
      <c r="C390" s="1" t="n">
        <v>46075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42758-2025</t>
        </is>
      </c>
      <c r="B391" s="1" t="n">
        <v>45908.46045138889</v>
      </c>
      <c r="C391" s="1" t="n">
        <v>46075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42766-2025</t>
        </is>
      </c>
      <c r="B392" s="1" t="n">
        <v>45908.47244212963</v>
      </c>
      <c r="C392" s="1" t="n">
        <v>46075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27288-2023</t>
        </is>
      </c>
      <c r="B393" s="1" t="n">
        <v>45096</v>
      </c>
      <c r="C393" s="1" t="n">
        <v>46075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6067-2022</t>
        </is>
      </c>
      <c r="B394" s="1" t="n">
        <v>44599</v>
      </c>
      <c r="C394" s="1" t="n">
        <v>46075</v>
      </c>
      <c r="D394" t="inlineStr">
        <is>
          <t>ÖSTERGÖTLANDS LÄN</t>
        </is>
      </c>
      <c r="E394" t="inlineStr">
        <is>
          <t>NORRKÖPING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12511-2023</t>
        </is>
      </c>
      <c r="B395" s="1" t="n">
        <v>44999</v>
      </c>
      <c r="C395" s="1" t="n">
        <v>46075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19334-2023</t>
        </is>
      </c>
      <c r="B396" s="1" t="n">
        <v>45049</v>
      </c>
      <c r="C396" s="1" t="n">
        <v>46075</v>
      </c>
      <c r="D396" t="inlineStr">
        <is>
          <t>ÖSTERGÖTLANDS LÄN</t>
        </is>
      </c>
      <c r="E396" t="inlineStr">
        <is>
          <t>NORRKÖPING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5118-2024</t>
        </is>
      </c>
      <c r="B397" s="1" t="n">
        <v>45330</v>
      </c>
      <c r="C397" s="1" t="n">
        <v>46075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33246-2025</t>
        </is>
      </c>
      <c r="B398" s="1" t="n">
        <v>45840.65592592592</v>
      </c>
      <c r="C398" s="1" t="n">
        <v>46075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33256-2025</t>
        </is>
      </c>
      <c r="B399" s="1" t="n">
        <v>45840.66978009259</v>
      </c>
      <c r="C399" s="1" t="n">
        <v>46075</v>
      </c>
      <c r="D399" t="inlineStr">
        <is>
          <t>ÖSTERGÖTLANDS LÄN</t>
        </is>
      </c>
      <c r="E399" t="inlineStr">
        <is>
          <t>NORRKÖPING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51124-2023</t>
        </is>
      </c>
      <c r="B400" s="1" t="n">
        <v>45219.32268518519</v>
      </c>
      <c r="C400" s="1" t="n">
        <v>46075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33255-2025</t>
        </is>
      </c>
      <c r="B401" s="1" t="n">
        <v>45840.66780092593</v>
      </c>
      <c r="C401" s="1" t="n">
        <v>46075</v>
      </c>
      <c r="D401" t="inlineStr">
        <is>
          <t>ÖSTERGÖTLANDS LÄN</t>
        </is>
      </c>
      <c r="E401" t="inlineStr">
        <is>
          <t>NORRKÖPING</t>
        </is>
      </c>
      <c r="G401" t="n">
        <v>20.3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26294-2024</t>
        </is>
      </c>
      <c r="B402" s="1" t="n">
        <v>45468.82832175926</v>
      </c>
      <c r="C402" s="1" t="n">
        <v>46075</v>
      </c>
      <c r="D402" t="inlineStr">
        <is>
          <t>ÖSTERGÖTLANDS LÄN</t>
        </is>
      </c>
      <c r="E402" t="inlineStr">
        <is>
          <t>NORRKÖPING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47090-2023</t>
        </is>
      </c>
      <c r="B403" s="1" t="n">
        <v>45201.63637731481</v>
      </c>
      <c r="C403" s="1" t="n">
        <v>46075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34231-2025</t>
        </is>
      </c>
      <c r="B404" s="1" t="n">
        <v>45845.65797453704</v>
      </c>
      <c r="C404" s="1" t="n">
        <v>46075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2955-2025</t>
        </is>
      </c>
      <c r="B405" s="1" t="n">
        <v>45678.44092592593</v>
      </c>
      <c r="C405" s="1" t="n">
        <v>46075</v>
      </c>
      <c r="D405" t="inlineStr">
        <is>
          <t>ÖSTERGÖTLANDS LÄN</t>
        </is>
      </c>
      <c r="E405" t="inlineStr">
        <is>
          <t>NORRKÖPING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9206-2023</t>
        </is>
      </c>
      <c r="B406" s="1" t="n">
        <v>44980.48200231481</v>
      </c>
      <c r="C406" s="1" t="n">
        <v>46075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34078-2025</t>
        </is>
      </c>
      <c r="B407" s="1" t="n">
        <v>45845.45563657407</v>
      </c>
      <c r="C407" s="1" t="n">
        <v>46075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44554-2025</t>
        </is>
      </c>
      <c r="B408" s="1" t="n">
        <v>45917.34253472222</v>
      </c>
      <c r="C408" s="1" t="n">
        <v>46075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44560-2025</t>
        </is>
      </c>
      <c r="B409" s="1" t="n">
        <v>45917.34472222222</v>
      </c>
      <c r="C409" s="1" t="n">
        <v>46075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3329-2024</t>
        </is>
      </c>
      <c r="B410" s="1" t="n">
        <v>45317</v>
      </c>
      <c r="C410" s="1" t="n">
        <v>46075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27865-2025</t>
        </is>
      </c>
      <c r="B411" s="1" t="n">
        <v>45817.42607638889</v>
      </c>
      <c r="C411" s="1" t="n">
        <v>46075</v>
      </c>
      <c r="D411" t="inlineStr">
        <is>
          <t>ÖSTERGÖTLANDS LÄN</t>
        </is>
      </c>
      <c r="E411" t="inlineStr">
        <is>
          <t>NORRKÖPING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13419-2025</t>
        </is>
      </c>
      <c r="B412" s="1" t="n">
        <v>45736.31508101852</v>
      </c>
      <c r="C412" s="1" t="n">
        <v>46075</v>
      </c>
      <c r="D412" t="inlineStr">
        <is>
          <t>ÖSTERGÖTLANDS LÄN</t>
        </is>
      </c>
      <c r="E412" t="inlineStr">
        <is>
          <t>NORRKÖPING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10393-2024</t>
        </is>
      </c>
      <c r="B413" s="1" t="n">
        <v>45365</v>
      </c>
      <c r="C413" s="1" t="n">
        <v>46075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15869-2024</t>
        </is>
      </c>
      <c r="B414" s="1" t="n">
        <v>45405</v>
      </c>
      <c r="C414" s="1" t="n">
        <v>46075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19230-2025</t>
        </is>
      </c>
      <c r="B415" s="1" t="n">
        <v>45769.45751157407</v>
      </c>
      <c r="C415" s="1" t="n">
        <v>46075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62376-2022</t>
        </is>
      </c>
      <c r="B416" s="1" t="n">
        <v>44923.67971064815</v>
      </c>
      <c r="C416" s="1" t="n">
        <v>46075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19995-2025</t>
        </is>
      </c>
      <c r="B417" s="1" t="n">
        <v>45771.76943287037</v>
      </c>
      <c r="C417" s="1" t="n">
        <v>46075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1018-2023</t>
        </is>
      </c>
      <c r="B418" s="1" t="n">
        <v>44930</v>
      </c>
      <c r="C418" s="1" t="n">
        <v>46075</v>
      </c>
      <c r="D418" t="inlineStr">
        <is>
          <t>ÖSTERGÖTLANDS LÄN</t>
        </is>
      </c>
      <c r="E418" t="inlineStr">
        <is>
          <t>NORRKÖPING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45538-2025</t>
        </is>
      </c>
      <c r="B419" s="1" t="n">
        <v>45922.61070601852</v>
      </c>
      <c r="C419" s="1" t="n">
        <v>46075</v>
      </c>
      <c r="D419" t="inlineStr">
        <is>
          <t>ÖSTERGÖTLANDS LÄN</t>
        </is>
      </c>
      <c r="E419" t="inlineStr">
        <is>
          <t>NORRKÖPING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8987-2023</t>
        </is>
      </c>
      <c r="B420" s="1" t="n">
        <v>44974</v>
      </c>
      <c r="C420" s="1" t="n">
        <v>46075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35736-2025</t>
        </is>
      </c>
      <c r="B421" s="1" t="n">
        <v>45860</v>
      </c>
      <c r="C421" s="1" t="n">
        <v>46075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45526-2025</t>
        </is>
      </c>
      <c r="B422" s="1" t="n">
        <v>45922.59829861111</v>
      </c>
      <c r="C422" s="1" t="n">
        <v>46075</v>
      </c>
      <c r="D422" t="inlineStr">
        <is>
          <t>ÖSTERGÖTLANDS LÄN</t>
        </is>
      </c>
      <c r="E422" t="inlineStr">
        <is>
          <t>NORRKÖPING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45534-2025</t>
        </is>
      </c>
      <c r="B423" s="1" t="n">
        <v>45922.60783564814</v>
      </c>
      <c r="C423" s="1" t="n">
        <v>46075</v>
      </c>
      <c r="D423" t="inlineStr">
        <is>
          <t>ÖSTERGÖTLANDS LÄN</t>
        </is>
      </c>
      <c r="E423" t="inlineStr">
        <is>
          <t>NORRKÖPING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45891-2025</t>
        </is>
      </c>
      <c r="B424" s="1" t="n">
        <v>45923.67458333333</v>
      </c>
      <c r="C424" s="1" t="n">
        <v>46075</v>
      </c>
      <c r="D424" t="inlineStr">
        <is>
          <t>ÖSTERGÖTLANDS LÄN</t>
        </is>
      </c>
      <c r="E424" t="inlineStr">
        <is>
          <t>NORRKÖPING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46177-2025</t>
        </is>
      </c>
      <c r="B425" s="1" t="n">
        <v>45924.65238425926</v>
      </c>
      <c r="C425" s="1" t="n">
        <v>46075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7762-2025</t>
        </is>
      </c>
      <c r="B426" s="1" t="n">
        <v>45706.54385416667</v>
      </c>
      <c r="C426" s="1" t="n">
        <v>46075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18661-2023</t>
        </is>
      </c>
      <c r="B427" s="1" t="n">
        <v>45043</v>
      </c>
      <c r="C427" s="1" t="n">
        <v>46075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9822-2025</t>
        </is>
      </c>
      <c r="B428" s="1" t="n">
        <v>45716.57158564815</v>
      </c>
      <c r="C428" s="1" t="n">
        <v>46075</v>
      </c>
      <c r="D428" t="inlineStr">
        <is>
          <t>ÖSTERGÖTLANDS LÄN</t>
        </is>
      </c>
      <c r="E428" t="inlineStr">
        <is>
          <t>NORRKÖPING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46154-2025</t>
        </is>
      </c>
      <c r="B429" s="1" t="n">
        <v>45924.61788194445</v>
      </c>
      <c r="C429" s="1" t="n">
        <v>46075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46205-2025</t>
        </is>
      </c>
      <c r="B430" s="1" t="n">
        <v>45924.70513888889</v>
      </c>
      <c r="C430" s="1" t="n">
        <v>46075</v>
      </c>
      <c r="D430" t="inlineStr">
        <is>
          <t>ÖSTERGÖTLANDS LÄN</t>
        </is>
      </c>
      <c r="E430" t="inlineStr">
        <is>
          <t>NORRKÖPING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26392-2023</t>
        </is>
      </c>
      <c r="B431" s="1" t="n">
        <v>45092.35369212963</v>
      </c>
      <c r="C431" s="1" t="n">
        <v>46075</v>
      </c>
      <c r="D431" t="inlineStr">
        <is>
          <t>ÖSTERGÖTLANDS LÄN</t>
        </is>
      </c>
      <c r="E431" t="inlineStr">
        <is>
          <t>NORRKÖPING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15872-2021</t>
        </is>
      </c>
      <c r="B432" s="1" t="n">
        <v>44286.88952546296</v>
      </c>
      <c r="C432" s="1" t="n">
        <v>46075</v>
      </c>
      <c r="D432" t="inlineStr">
        <is>
          <t>ÖSTERGÖTLANDS LÄN</t>
        </is>
      </c>
      <c r="E432" t="inlineStr">
        <is>
          <t>NORRKÖPING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24629-2025</t>
        </is>
      </c>
      <c r="B433" s="1" t="n">
        <v>45798.59671296296</v>
      </c>
      <c r="C433" s="1" t="n">
        <v>46075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7275-2023</t>
        </is>
      </c>
      <c r="B434" s="1" t="n">
        <v>44970.65930555556</v>
      </c>
      <c r="C434" s="1" t="n">
        <v>46075</v>
      </c>
      <c r="D434" t="inlineStr">
        <is>
          <t>ÖSTERGÖTLANDS LÄN</t>
        </is>
      </c>
      <c r="E434" t="inlineStr">
        <is>
          <t>NORRKÖPING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50157-2022</t>
        </is>
      </c>
      <c r="B435" s="1" t="n">
        <v>44865</v>
      </c>
      <c r="C435" s="1" t="n">
        <v>46075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36302-2025</t>
        </is>
      </c>
      <c r="B436" s="1" t="n">
        <v>45867.7115625</v>
      </c>
      <c r="C436" s="1" t="n">
        <v>46075</v>
      </c>
      <c r="D436" t="inlineStr">
        <is>
          <t>ÖSTERGÖTLANDS LÄN</t>
        </is>
      </c>
      <c r="E436" t="inlineStr">
        <is>
          <t>NORRKÖPING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19681-2025</t>
        </is>
      </c>
      <c r="B437" s="1" t="n">
        <v>45770.84420138889</v>
      </c>
      <c r="C437" s="1" t="n">
        <v>46075</v>
      </c>
      <c r="D437" t="inlineStr">
        <is>
          <t>ÖSTERGÖTLANDS LÄN</t>
        </is>
      </c>
      <c r="E437" t="inlineStr">
        <is>
          <t>NORRKÖPING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46148-2025</t>
        </is>
      </c>
      <c r="B438" s="1" t="n">
        <v>45924.61070601852</v>
      </c>
      <c r="C438" s="1" t="n">
        <v>46075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59887-2022</t>
        </is>
      </c>
      <c r="B439" s="1" t="n">
        <v>44908</v>
      </c>
      <c r="C439" s="1" t="n">
        <v>46075</v>
      </c>
      <c r="D439" t="inlineStr">
        <is>
          <t>ÖSTERGÖTLANDS LÄN</t>
        </is>
      </c>
      <c r="E439" t="inlineStr">
        <is>
          <t>NORRKÖPING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2501-2023</t>
        </is>
      </c>
      <c r="B440" s="1" t="n">
        <v>44943.56112268518</v>
      </c>
      <c r="C440" s="1" t="n">
        <v>46075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2545-2023</t>
        </is>
      </c>
      <c r="B441" s="1" t="n">
        <v>44943</v>
      </c>
      <c r="C441" s="1" t="n">
        <v>46075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49462-2023</t>
        </is>
      </c>
      <c r="B442" s="1" t="n">
        <v>45211.52641203703</v>
      </c>
      <c r="C442" s="1" t="n">
        <v>46075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49465-2023</t>
        </is>
      </c>
      <c r="B443" s="1" t="n">
        <v>45211.52895833334</v>
      </c>
      <c r="C443" s="1" t="n">
        <v>46075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38717-2025</t>
        </is>
      </c>
      <c r="B444" s="1" t="n">
        <v>45886</v>
      </c>
      <c r="C444" s="1" t="n">
        <v>46075</v>
      </c>
      <c r="D444" t="inlineStr">
        <is>
          <t>ÖSTERGÖTLANDS LÄN</t>
        </is>
      </c>
      <c r="E444" t="inlineStr">
        <is>
          <t>NORRKÖPING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3011-2025</t>
        </is>
      </c>
      <c r="B445" s="1" t="n">
        <v>45678.57045138889</v>
      </c>
      <c r="C445" s="1" t="n">
        <v>46075</v>
      </c>
      <c r="D445" t="inlineStr">
        <is>
          <t>ÖSTERGÖTLANDS LÄN</t>
        </is>
      </c>
      <c r="E445" t="inlineStr">
        <is>
          <t>NORRKÖPING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3023-2025</t>
        </is>
      </c>
      <c r="B446" s="1" t="n">
        <v>45678.58166666667</v>
      </c>
      <c r="C446" s="1" t="n">
        <v>46075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46746-2025</t>
        </is>
      </c>
      <c r="B447" s="1" t="n">
        <v>45926.61226851852</v>
      </c>
      <c r="C447" s="1" t="n">
        <v>46075</v>
      </c>
      <c r="D447" t="inlineStr">
        <is>
          <t>ÖSTERGÖTLANDS LÄN</t>
        </is>
      </c>
      <c r="E447" t="inlineStr">
        <is>
          <t>NORRKÖPING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46835-2025</t>
        </is>
      </c>
      <c r="B448" s="1" t="n">
        <v>45927.83253472222</v>
      </c>
      <c r="C448" s="1" t="n">
        <v>46075</v>
      </c>
      <c r="D448" t="inlineStr">
        <is>
          <t>ÖSTERGÖTLANDS LÄN</t>
        </is>
      </c>
      <c r="E448" t="inlineStr">
        <is>
          <t>NORRKÖPING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46720-2025</t>
        </is>
      </c>
      <c r="B449" s="1" t="n">
        <v>45926.58292824074</v>
      </c>
      <c r="C449" s="1" t="n">
        <v>46075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3247-2024</t>
        </is>
      </c>
      <c r="B450" s="1" t="n">
        <v>45317</v>
      </c>
      <c r="C450" s="1" t="n">
        <v>46075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50117-2023</t>
        </is>
      </c>
      <c r="B451" s="1" t="n">
        <v>45215.63818287037</v>
      </c>
      <c r="C451" s="1" t="n">
        <v>46075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47202-2025</t>
        </is>
      </c>
      <c r="B452" s="1" t="n">
        <v>45930.36192129629</v>
      </c>
      <c r="C452" s="1" t="n">
        <v>46075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42390-2021</t>
        </is>
      </c>
      <c r="B453" s="1" t="n">
        <v>44427.49322916667</v>
      </c>
      <c r="C453" s="1" t="n">
        <v>46075</v>
      </c>
      <c r="D453" t="inlineStr">
        <is>
          <t>ÖSTERGÖTLANDS LÄN</t>
        </is>
      </c>
      <c r="E453" t="inlineStr">
        <is>
          <t>NORRKÖPING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26494-2025</t>
        </is>
      </c>
      <c r="B454" s="1" t="n">
        <v>45807</v>
      </c>
      <c r="C454" s="1" t="n">
        <v>46075</v>
      </c>
      <c r="D454" t="inlineStr">
        <is>
          <t>ÖSTERGÖTLANDS LÄN</t>
        </is>
      </c>
      <c r="E454" t="inlineStr">
        <is>
          <t>NORRKÖPING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20587-2024</t>
        </is>
      </c>
      <c r="B455" s="1" t="n">
        <v>45436.41847222222</v>
      </c>
      <c r="C455" s="1" t="n">
        <v>46075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47846-2023</t>
        </is>
      </c>
      <c r="B456" s="1" t="n">
        <v>45204</v>
      </c>
      <c r="C456" s="1" t="n">
        <v>46075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Naturvårdsverket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8806-2024</t>
        </is>
      </c>
      <c r="B457" s="1" t="n">
        <v>45356.64872685185</v>
      </c>
      <c r="C457" s="1" t="n">
        <v>46075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29485-2021</t>
        </is>
      </c>
      <c r="B458" s="1" t="n">
        <v>44361</v>
      </c>
      <c r="C458" s="1" t="n">
        <v>46075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23941-2025</t>
        </is>
      </c>
      <c r="B459" s="1" t="n">
        <v>45796</v>
      </c>
      <c r="C459" s="1" t="n">
        <v>46075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48355-2025</t>
        </is>
      </c>
      <c r="B460" s="1" t="n">
        <v>45933.65831018519</v>
      </c>
      <c r="C460" s="1" t="n">
        <v>46075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48361-2025</t>
        </is>
      </c>
      <c r="B461" s="1" t="n">
        <v>45933.66274305555</v>
      </c>
      <c r="C461" s="1" t="n">
        <v>46075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50112-2023</t>
        </is>
      </c>
      <c r="B462" s="1" t="n">
        <v>45215</v>
      </c>
      <c r="C462" s="1" t="n">
        <v>46075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5572-2024</t>
        </is>
      </c>
      <c r="B463" s="1" t="n">
        <v>45334</v>
      </c>
      <c r="C463" s="1" t="n">
        <v>46075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34977-2023</t>
        </is>
      </c>
      <c r="B464" s="1" t="n">
        <v>45141</v>
      </c>
      <c r="C464" s="1" t="n">
        <v>46075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2923-2023</t>
        </is>
      </c>
      <c r="B465" s="1" t="n">
        <v>44945.58030092593</v>
      </c>
      <c r="C465" s="1" t="n">
        <v>46075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23946-2025</t>
        </is>
      </c>
      <c r="B466" s="1" t="n">
        <v>45796</v>
      </c>
      <c r="C466" s="1" t="n">
        <v>46075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38003-2025</t>
        </is>
      </c>
      <c r="B467" s="1" t="n">
        <v>45881</v>
      </c>
      <c r="C467" s="1" t="n">
        <v>46075</v>
      </c>
      <c r="D467" t="inlineStr">
        <is>
          <t>ÖSTERGÖTLANDS LÄN</t>
        </is>
      </c>
      <c r="E467" t="inlineStr">
        <is>
          <t>NORRKÖPING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48500-2025</t>
        </is>
      </c>
      <c r="B468" s="1" t="n">
        <v>45936.3762037037</v>
      </c>
      <c r="C468" s="1" t="n">
        <v>46075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37876-2025</t>
        </is>
      </c>
      <c r="B469" s="1" t="n">
        <v>45881</v>
      </c>
      <c r="C469" s="1" t="n">
        <v>46075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7761-2025</t>
        </is>
      </c>
      <c r="B470" s="1" t="n">
        <v>45706.54204861111</v>
      </c>
      <c r="C470" s="1" t="n">
        <v>46075</v>
      </c>
      <c r="D470" t="inlineStr">
        <is>
          <t>ÖSTERGÖTLANDS LÄN</t>
        </is>
      </c>
      <c r="E470" t="inlineStr">
        <is>
          <t>NORRKÖPING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38455-2025</t>
        </is>
      </c>
      <c r="B471" s="1" t="n">
        <v>45883.69113425926</v>
      </c>
      <c r="C471" s="1" t="n">
        <v>46075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38431-2025</t>
        </is>
      </c>
      <c r="B472" s="1" t="n">
        <v>45883.63648148148</v>
      </c>
      <c r="C472" s="1" t="n">
        <v>46075</v>
      </c>
      <c r="D472" t="inlineStr">
        <is>
          <t>ÖSTERGÖTLANDS LÄN</t>
        </is>
      </c>
      <c r="E472" t="inlineStr">
        <is>
          <t>NORRKÖPING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38400-2025</t>
        </is>
      </c>
      <c r="B473" s="1" t="n">
        <v>45883.58756944445</v>
      </c>
      <c r="C473" s="1" t="n">
        <v>46075</v>
      </c>
      <c r="D473" t="inlineStr">
        <is>
          <t>ÖSTERGÖTLANDS LÄN</t>
        </is>
      </c>
      <c r="E473" t="inlineStr">
        <is>
          <t>NORRKÖPING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38383-2025</t>
        </is>
      </c>
      <c r="B474" s="1" t="n">
        <v>45883.5738425926</v>
      </c>
      <c r="C474" s="1" t="n">
        <v>46075</v>
      </c>
      <c r="D474" t="inlineStr">
        <is>
          <t>ÖSTERGÖTLANDS LÄN</t>
        </is>
      </c>
      <c r="E474" t="inlineStr">
        <is>
          <t>NORRKÖPING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38411-2025</t>
        </is>
      </c>
      <c r="B475" s="1" t="n">
        <v>45883.59934027777</v>
      </c>
      <c r="C475" s="1" t="n">
        <v>46075</v>
      </c>
      <c r="D475" t="inlineStr">
        <is>
          <t>ÖSTERGÖTLANDS LÄN</t>
        </is>
      </c>
      <c r="E475" t="inlineStr">
        <is>
          <t>NORRKÖPING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38404-2025</t>
        </is>
      </c>
      <c r="B476" s="1" t="n">
        <v>45883.58974537037</v>
      </c>
      <c r="C476" s="1" t="n">
        <v>46075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48735-2025</t>
        </is>
      </c>
      <c r="B477" s="1" t="n">
        <v>45936</v>
      </c>
      <c r="C477" s="1" t="n">
        <v>46075</v>
      </c>
      <c r="D477" t="inlineStr">
        <is>
          <t>ÖSTERGÖTLANDS LÄN</t>
        </is>
      </c>
      <c r="E477" t="inlineStr">
        <is>
          <t>NORRKÖPING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18919-2025</t>
        </is>
      </c>
      <c r="B478" s="1" t="n">
        <v>45764.47553240741</v>
      </c>
      <c r="C478" s="1" t="n">
        <v>46075</v>
      </c>
      <c r="D478" t="inlineStr">
        <is>
          <t>ÖSTERGÖTLANDS LÄN</t>
        </is>
      </c>
      <c r="E478" t="inlineStr">
        <is>
          <t>NORRKÖPING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1923-2023</t>
        </is>
      </c>
      <c r="B479" s="1" t="n">
        <v>44936</v>
      </c>
      <c r="C479" s="1" t="n">
        <v>46075</v>
      </c>
      <c r="D479" t="inlineStr">
        <is>
          <t>ÖSTERGÖTLANDS LÄN</t>
        </is>
      </c>
      <c r="E479" t="inlineStr">
        <is>
          <t>NORRKÖPING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19631-2021</t>
        </is>
      </c>
      <c r="B480" s="1" t="n">
        <v>44312</v>
      </c>
      <c r="C480" s="1" t="n">
        <v>46075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38463-2025</t>
        </is>
      </c>
      <c r="B481" s="1" t="n">
        <v>45883.74664351852</v>
      </c>
      <c r="C481" s="1" t="n">
        <v>46075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23911-2025</t>
        </is>
      </c>
      <c r="B482" s="1" t="n">
        <v>45794.82371527778</v>
      </c>
      <c r="C482" s="1" t="n">
        <v>46075</v>
      </c>
      <c r="D482" t="inlineStr">
        <is>
          <t>ÖSTERGÖTLANDS LÄN</t>
        </is>
      </c>
      <c r="E482" t="inlineStr">
        <is>
          <t>NORRKÖPING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13579-2023</t>
        </is>
      </c>
      <c r="B483" s="1" t="n">
        <v>45006</v>
      </c>
      <c r="C483" s="1" t="n">
        <v>46075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36750-2025</t>
        </is>
      </c>
      <c r="B484" s="1" t="n">
        <v>45873</v>
      </c>
      <c r="C484" s="1" t="n">
        <v>46075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48734-2025</t>
        </is>
      </c>
      <c r="B485" s="1" t="n">
        <v>45936</v>
      </c>
      <c r="C485" s="1" t="n">
        <v>46075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2246-2025</t>
        </is>
      </c>
      <c r="B486" s="1" t="n">
        <v>45673.49019675926</v>
      </c>
      <c r="C486" s="1" t="n">
        <v>46075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46610-2024</t>
        </is>
      </c>
      <c r="B487" s="1" t="n">
        <v>45582.98494212963</v>
      </c>
      <c r="C487" s="1" t="n">
        <v>46075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50144-2025</t>
        </is>
      </c>
      <c r="B488" s="1" t="n">
        <v>45943.57129629629</v>
      </c>
      <c r="C488" s="1" t="n">
        <v>46075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50146-2025</t>
        </is>
      </c>
      <c r="B489" s="1" t="n">
        <v>45943.57232638889</v>
      </c>
      <c r="C489" s="1" t="n">
        <v>46075</v>
      </c>
      <c r="D489" t="inlineStr">
        <is>
          <t>ÖSTERGÖTLANDS LÄN</t>
        </is>
      </c>
      <c r="E489" t="inlineStr">
        <is>
          <t>NORRKÖPING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13146-2024</t>
        </is>
      </c>
      <c r="B490" s="1" t="n">
        <v>45386</v>
      </c>
      <c r="C490" s="1" t="n">
        <v>46075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50143-2025</t>
        </is>
      </c>
      <c r="B491" s="1" t="n">
        <v>45943.57040509259</v>
      </c>
      <c r="C491" s="1" t="n">
        <v>46075</v>
      </c>
      <c r="D491" t="inlineStr">
        <is>
          <t>ÖSTERGÖTLANDS LÄN</t>
        </is>
      </c>
      <c r="E491" t="inlineStr">
        <is>
          <t>NORRKÖPING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50154-2025</t>
        </is>
      </c>
      <c r="B492" s="1" t="n">
        <v>45943.57618055555</v>
      </c>
      <c r="C492" s="1" t="n">
        <v>46075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50152-2025</t>
        </is>
      </c>
      <c r="B493" s="1" t="n">
        <v>45943.57453703704</v>
      </c>
      <c r="C493" s="1" t="n">
        <v>46075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49785-2025</t>
        </is>
      </c>
      <c r="B494" s="1" t="n">
        <v>45940.39841435185</v>
      </c>
      <c r="C494" s="1" t="n">
        <v>46075</v>
      </c>
      <c r="D494" t="inlineStr">
        <is>
          <t>ÖSTERGÖTLANDS LÄN</t>
        </is>
      </c>
      <c r="E494" t="inlineStr">
        <is>
          <t>NORRKÖPING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49781-2025</t>
        </is>
      </c>
      <c r="B495" s="1" t="n">
        <v>45940.39386574074</v>
      </c>
      <c r="C495" s="1" t="n">
        <v>46075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41083-2022</t>
        </is>
      </c>
      <c r="B496" s="1" t="n">
        <v>44825</v>
      </c>
      <c r="C496" s="1" t="n">
        <v>46075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60899-2024</t>
        </is>
      </c>
      <c r="B497" s="1" t="n">
        <v>45645.27707175926</v>
      </c>
      <c r="C497" s="1" t="n">
        <v>46075</v>
      </c>
      <c r="D497" t="inlineStr">
        <is>
          <t>ÖSTERGÖTLANDS LÄN</t>
        </is>
      </c>
      <c r="E497" t="inlineStr">
        <is>
          <t>NORRKÖPING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38644-2025</t>
        </is>
      </c>
      <c r="B498" s="1" t="n">
        <v>45884.57759259259</v>
      </c>
      <c r="C498" s="1" t="n">
        <v>46075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38657-2025</t>
        </is>
      </c>
      <c r="B499" s="1" t="n">
        <v>45884.60458333333</v>
      </c>
      <c r="C499" s="1" t="n">
        <v>46075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38913-2025</t>
        </is>
      </c>
      <c r="B500" s="1" t="n">
        <v>45887</v>
      </c>
      <c r="C500" s="1" t="n">
        <v>46075</v>
      </c>
      <c r="D500" t="inlineStr">
        <is>
          <t>ÖSTERGÖTLANDS LÄN</t>
        </is>
      </c>
      <c r="E500" t="inlineStr">
        <is>
          <t>NORRKÖPING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16659-2023</t>
        </is>
      </c>
      <c r="B501" s="1" t="n">
        <v>45030</v>
      </c>
      <c r="C501" s="1" t="n">
        <v>46075</v>
      </c>
      <c r="D501" t="inlineStr">
        <is>
          <t>ÖSTERGÖTLANDS LÄN</t>
        </is>
      </c>
      <c r="E501" t="inlineStr">
        <is>
          <t>NORRKÖPING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43773-2021</t>
        </is>
      </c>
      <c r="B502" s="1" t="n">
        <v>44433</v>
      </c>
      <c r="C502" s="1" t="n">
        <v>46075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16705-2023</t>
        </is>
      </c>
      <c r="B503" s="1" t="n">
        <v>45030.62916666667</v>
      </c>
      <c r="C503" s="1" t="n">
        <v>46075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2021-2023</t>
        </is>
      </c>
      <c r="B504" s="1" t="n">
        <v>44939</v>
      </c>
      <c r="C504" s="1" t="n">
        <v>46075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27579-2023</t>
        </is>
      </c>
      <c r="B505" s="1" t="n">
        <v>45093</v>
      </c>
      <c r="C505" s="1" t="n">
        <v>46075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14485-2023</t>
        </is>
      </c>
      <c r="B506" s="1" t="n">
        <v>45012</v>
      </c>
      <c r="C506" s="1" t="n">
        <v>46075</v>
      </c>
      <c r="D506" t="inlineStr">
        <is>
          <t>ÖSTERGÖTLANDS LÄN</t>
        </is>
      </c>
      <c r="E506" t="inlineStr">
        <is>
          <t>NORRKÖPING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19962-2025</t>
        </is>
      </c>
      <c r="B507" s="1" t="n">
        <v>45771.66951388889</v>
      </c>
      <c r="C507" s="1" t="n">
        <v>46075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36542-2023</t>
        </is>
      </c>
      <c r="B508" s="1" t="n">
        <v>45153.36402777778</v>
      </c>
      <c r="C508" s="1" t="n">
        <v>46075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51719-2025</t>
        </is>
      </c>
      <c r="B509" s="1" t="n">
        <v>45951.57859953704</v>
      </c>
      <c r="C509" s="1" t="n">
        <v>46075</v>
      </c>
      <c r="D509" t="inlineStr">
        <is>
          <t>ÖSTERGÖTLANDS LÄN</t>
        </is>
      </c>
      <c r="E509" t="inlineStr">
        <is>
          <t>NORRKÖPING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8426-2025</t>
        </is>
      </c>
      <c r="B510" s="1" t="n">
        <v>45709.4119212963</v>
      </c>
      <c r="C510" s="1" t="n">
        <v>46075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50960-2022</t>
        </is>
      </c>
      <c r="B511" s="1" t="n">
        <v>44867</v>
      </c>
      <c r="C511" s="1" t="n">
        <v>46075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11737-2024</t>
        </is>
      </c>
      <c r="B512" s="1" t="n">
        <v>45373.72511574074</v>
      </c>
      <c r="C512" s="1" t="n">
        <v>46075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9201-2023</t>
        </is>
      </c>
      <c r="B513" s="1" t="n">
        <v>44980</v>
      </c>
      <c r="C513" s="1" t="n">
        <v>46075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15177-2023</t>
        </is>
      </c>
      <c r="B514" s="1" t="n">
        <v>45016.64986111111</v>
      </c>
      <c r="C514" s="1" t="n">
        <v>46075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59460-2023</t>
        </is>
      </c>
      <c r="B515" s="1" t="n">
        <v>45254</v>
      </c>
      <c r="C515" s="1" t="n">
        <v>46075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14587-2025</t>
        </is>
      </c>
      <c r="B516" s="1" t="n">
        <v>45742.32277777778</v>
      </c>
      <c r="C516" s="1" t="n">
        <v>46075</v>
      </c>
      <c r="D516" t="inlineStr">
        <is>
          <t>ÖSTERGÖTLANDS LÄN</t>
        </is>
      </c>
      <c r="E516" t="inlineStr">
        <is>
          <t>NORRKÖPING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30865-2024</t>
        </is>
      </c>
      <c r="B517" s="1" t="n">
        <v>45497</v>
      </c>
      <c r="C517" s="1" t="n">
        <v>46075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49487-2022</t>
        </is>
      </c>
      <c r="B518" s="1" t="n">
        <v>44861</v>
      </c>
      <c r="C518" s="1" t="n">
        <v>46075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52416-2025</t>
        </is>
      </c>
      <c r="B519" s="1" t="n">
        <v>45954.36793981482</v>
      </c>
      <c r="C519" s="1" t="n">
        <v>46075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46075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57405-2024</t>
        </is>
      </c>
      <c r="B521" s="1" t="n">
        <v>45629.7202662037</v>
      </c>
      <c r="C521" s="1" t="n">
        <v>46075</v>
      </c>
      <c r="D521" t="inlineStr">
        <is>
          <t>ÖSTERGÖTLANDS LÄN</t>
        </is>
      </c>
      <c r="E521" t="inlineStr">
        <is>
          <t>NORRKÖPING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9696-2025</t>
        </is>
      </c>
      <c r="B522" s="1" t="n">
        <v>45716.37259259259</v>
      </c>
      <c r="C522" s="1" t="n">
        <v>46075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31834-2023</t>
        </is>
      </c>
      <c r="B523" s="1" t="n">
        <v>45106</v>
      </c>
      <c r="C523" s="1" t="n">
        <v>46075</v>
      </c>
      <c r="D523" t="inlineStr">
        <is>
          <t>ÖSTERGÖTLANDS LÄN</t>
        </is>
      </c>
      <c r="E523" t="inlineStr">
        <is>
          <t>NORRKÖPING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7763-2025</t>
        </is>
      </c>
      <c r="B524" s="1" t="n">
        <v>45706.54572916667</v>
      </c>
      <c r="C524" s="1" t="n">
        <v>46075</v>
      </c>
      <c r="D524" t="inlineStr">
        <is>
          <t>ÖSTERGÖTLANDS LÄN</t>
        </is>
      </c>
      <c r="E524" t="inlineStr">
        <is>
          <t>NORRKÖPING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19298-2025</t>
        </is>
      </c>
      <c r="B525" s="1" t="n">
        <v>45769</v>
      </c>
      <c r="C525" s="1" t="n">
        <v>46075</v>
      </c>
      <c r="D525" t="inlineStr">
        <is>
          <t>ÖSTERGÖTLANDS LÄN</t>
        </is>
      </c>
      <c r="E525" t="inlineStr">
        <is>
          <t>NORRKÖPING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62049-2023</t>
        </is>
      </c>
      <c r="B526" s="1" t="n">
        <v>45266.69091435185</v>
      </c>
      <c r="C526" s="1" t="n">
        <v>46075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20356-2024</t>
        </is>
      </c>
      <c r="B527" s="1" t="n">
        <v>45435</v>
      </c>
      <c r="C527" s="1" t="n">
        <v>46075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8517-2023</t>
        </is>
      </c>
      <c r="B528" s="1" t="n">
        <v>44977.57584490741</v>
      </c>
      <c r="C528" s="1" t="n">
        <v>46075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53702-2025</t>
        </is>
      </c>
      <c r="B529" s="1" t="n">
        <v>45960.59640046296</v>
      </c>
      <c r="C529" s="1" t="n">
        <v>46075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49295-2024</t>
        </is>
      </c>
      <c r="B530" s="1" t="n">
        <v>45595</v>
      </c>
      <c r="C530" s="1" t="n">
        <v>46075</v>
      </c>
      <c r="D530" t="inlineStr">
        <is>
          <t>ÖSTERGÖTLANDS LÄN</t>
        </is>
      </c>
      <c r="E530" t="inlineStr">
        <is>
          <t>NORRKÖPING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53694-2025</t>
        </is>
      </c>
      <c r="B531" s="1" t="n">
        <v>45960.58719907407</v>
      </c>
      <c r="C531" s="1" t="n">
        <v>46075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25982-2023</t>
        </is>
      </c>
      <c r="B532" s="1" t="n">
        <v>45090</v>
      </c>
      <c r="C532" s="1" t="n">
        <v>46075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8432-2025</t>
        </is>
      </c>
      <c r="B533" s="1" t="n">
        <v>45709.42859953704</v>
      </c>
      <c r="C533" s="1" t="n">
        <v>46075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53881-2025</t>
        </is>
      </c>
      <c r="B534" s="1" t="n">
        <v>45961.39773148148</v>
      </c>
      <c r="C534" s="1" t="n">
        <v>46075</v>
      </c>
      <c r="D534" t="inlineStr">
        <is>
          <t>ÖSTERGÖTLANDS LÄN</t>
        </is>
      </c>
      <c r="E534" t="inlineStr">
        <is>
          <t>NORRKÖPING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31362-2023</t>
        </is>
      </c>
      <c r="B535" s="1" t="n">
        <v>45114</v>
      </c>
      <c r="C535" s="1" t="n">
        <v>46075</v>
      </c>
      <c r="D535" t="inlineStr">
        <is>
          <t>ÖSTERGÖTLANDS LÄN</t>
        </is>
      </c>
      <c r="E535" t="inlineStr">
        <is>
          <t>NORRKÖPING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46075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14031-2023</t>
        </is>
      </c>
      <c r="B537" s="1" t="n">
        <v>45008.62458333333</v>
      </c>
      <c r="C537" s="1" t="n">
        <v>46075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58318-2023</t>
        </is>
      </c>
      <c r="B538" s="1" t="n">
        <v>45250.5799537037</v>
      </c>
      <c r="C538" s="1" t="n">
        <v>46075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54560-2025</t>
        </is>
      </c>
      <c r="B539" s="1" t="n">
        <v>45965.66423611111</v>
      </c>
      <c r="C539" s="1" t="n">
        <v>46075</v>
      </c>
      <c r="D539" t="inlineStr">
        <is>
          <t>ÖSTERGÖTLANDS LÄN</t>
        </is>
      </c>
      <c r="E539" t="inlineStr">
        <is>
          <t>NORRKÖPING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54221-2025</t>
        </is>
      </c>
      <c r="B540" s="1" t="n">
        <v>45964.60148148148</v>
      </c>
      <c r="C540" s="1" t="n">
        <v>46075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32574-2022</t>
        </is>
      </c>
      <c r="B541" s="1" t="n">
        <v>44783</v>
      </c>
      <c r="C541" s="1" t="n">
        <v>46075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61002-2023</t>
        </is>
      </c>
      <c r="B542" s="1" t="n">
        <v>45261.50924768519</v>
      </c>
      <c r="C542" s="1" t="n">
        <v>46075</v>
      </c>
      <c r="D542" t="inlineStr">
        <is>
          <t>ÖSTERGÖTLANDS LÄN</t>
        </is>
      </c>
      <c r="E542" t="inlineStr">
        <is>
          <t>NORRKÖPING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10553-2025</t>
        </is>
      </c>
      <c r="B543" s="1" t="n">
        <v>45721.51255787037</v>
      </c>
      <c r="C543" s="1" t="n">
        <v>46075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10554-2025</t>
        </is>
      </c>
      <c r="B544" s="1" t="n">
        <v>45721.51346064815</v>
      </c>
      <c r="C544" s="1" t="n">
        <v>46075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8569-2023</t>
        </is>
      </c>
      <c r="B545" s="1" t="n">
        <v>44977.63902777778</v>
      </c>
      <c r="C545" s="1" t="n">
        <v>46075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54851-2025</t>
        </is>
      </c>
      <c r="B546" s="1" t="n">
        <v>45966.71596064815</v>
      </c>
      <c r="C546" s="1" t="n">
        <v>46075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44719.43200231482</v>
      </c>
      <c r="C547" s="1" t="n">
        <v>46075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14503-2023</t>
        </is>
      </c>
      <c r="B548" s="1" t="n">
        <v>45012.79270833333</v>
      </c>
      <c r="C548" s="1" t="n">
        <v>46075</v>
      </c>
      <c r="D548" t="inlineStr">
        <is>
          <t>ÖSTERGÖTLANDS LÄN</t>
        </is>
      </c>
      <c r="E548" t="inlineStr">
        <is>
          <t>NORRKÖPING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55156-2025</t>
        </is>
      </c>
      <c r="B549" s="1" t="n">
        <v>45968.46388888889</v>
      </c>
      <c r="C549" s="1" t="n">
        <v>46075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55208-2025</t>
        </is>
      </c>
      <c r="B550" s="1" t="n">
        <v>45968.57751157408</v>
      </c>
      <c r="C550" s="1" t="n">
        <v>46075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55207-2025</t>
        </is>
      </c>
      <c r="B551" s="1" t="n">
        <v>45968.57597222222</v>
      </c>
      <c r="C551" s="1" t="n">
        <v>46075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1549-2025</t>
        </is>
      </c>
      <c r="B552" s="1" t="n">
        <v>45670</v>
      </c>
      <c r="C552" s="1" t="n">
        <v>46075</v>
      </c>
      <c r="D552" t="inlineStr">
        <is>
          <t>ÖSTERGÖTLANDS LÄN</t>
        </is>
      </c>
      <c r="E552" t="inlineStr">
        <is>
          <t>NORRKÖPING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2320-2024</t>
        </is>
      </c>
      <c r="B553" s="1" t="n">
        <v>45310</v>
      </c>
      <c r="C553" s="1" t="n">
        <v>46075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7742-2025</t>
        </is>
      </c>
      <c r="B554" s="1" t="n">
        <v>45706.47790509259</v>
      </c>
      <c r="C554" s="1" t="n">
        <v>46075</v>
      </c>
      <c r="D554" t="inlineStr">
        <is>
          <t>ÖSTERGÖTLANDS LÄN</t>
        </is>
      </c>
      <c r="E554" t="inlineStr">
        <is>
          <t>NORRKÖPING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18128-2025</t>
        </is>
      </c>
      <c r="B555" s="1" t="n">
        <v>45761.59716435185</v>
      </c>
      <c r="C555" s="1" t="n">
        <v>46075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36571-2023</t>
        </is>
      </c>
      <c r="B556" s="1" t="n">
        <v>45153</v>
      </c>
      <c r="C556" s="1" t="n">
        <v>46075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30315-2024</t>
        </is>
      </c>
      <c r="B557" s="1" t="n">
        <v>45490.72372685185</v>
      </c>
      <c r="C557" s="1" t="n">
        <v>46075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19182-2025</t>
        </is>
      </c>
      <c r="B558" s="1" t="n">
        <v>45769.40231481481</v>
      </c>
      <c r="C558" s="1" t="n">
        <v>46075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43559-2021</t>
        </is>
      </c>
      <c r="B559" s="1" t="n">
        <v>44433</v>
      </c>
      <c r="C559" s="1" t="n">
        <v>46075</v>
      </c>
      <c r="D559" t="inlineStr">
        <is>
          <t>ÖSTERGÖTLANDS LÄN</t>
        </is>
      </c>
      <c r="E559" t="inlineStr">
        <is>
          <t>NORRKÖPING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9746-2025</t>
        </is>
      </c>
      <c r="B560" s="1" t="n">
        <v>45716.45121527778</v>
      </c>
      <c r="C560" s="1" t="n">
        <v>46075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56589-2025</t>
        </is>
      </c>
      <c r="B561" s="1" t="n">
        <v>45975.56322916667</v>
      </c>
      <c r="C561" s="1" t="n">
        <v>46075</v>
      </c>
      <c r="D561" t="inlineStr">
        <is>
          <t>ÖSTERGÖTLANDS LÄN</t>
        </is>
      </c>
      <c r="E561" t="inlineStr">
        <is>
          <t>NORRKÖPING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10989-2024</t>
        </is>
      </c>
      <c r="B562" s="1" t="n">
        <v>45370</v>
      </c>
      <c r="C562" s="1" t="n">
        <v>46075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36887-2022</t>
        </is>
      </c>
      <c r="B563" s="1" t="n">
        <v>44805</v>
      </c>
      <c r="C563" s="1" t="n">
        <v>46075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56603-2025</t>
        </is>
      </c>
      <c r="B564" s="1" t="n">
        <v>45975.57780092592</v>
      </c>
      <c r="C564" s="1" t="n">
        <v>46075</v>
      </c>
      <c r="D564" t="inlineStr">
        <is>
          <t>ÖSTERGÖTLANDS LÄN</t>
        </is>
      </c>
      <c r="E564" t="inlineStr">
        <is>
          <t>NORRKÖPING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28062-2022</t>
        </is>
      </c>
      <c r="B565" s="1" t="n">
        <v>44746</v>
      </c>
      <c r="C565" s="1" t="n">
        <v>46075</v>
      </c>
      <c r="D565" t="inlineStr">
        <is>
          <t>ÖSTERGÖTLANDS LÄN</t>
        </is>
      </c>
      <c r="E565" t="inlineStr">
        <is>
          <t>NORRKÖPING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56607-2025</t>
        </is>
      </c>
      <c r="B566" s="1" t="n">
        <v>45975.58162037037</v>
      </c>
      <c r="C566" s="1" t="n">
        <v>46075</v>
      </c>
      <c r="D566" t="inlineStr">
        <is>
          <t>ÖSTERGÖTLANDS LÄN</t>
        </is>
      </c>
      <c r="E566" t="inlineStr">
        <is>
          <t>NORRKÖPING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59580-2022</t>
        </is>
      </c>
      <c r="B567" s="1" t="n">
        <v>44907.65043981482</v>
      </c>
      <c r="C567" s="1" t="n">
        <v>46075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62177-2024</t>
        </is>
      </c>
      <c r="B568" s="1" t="n">
        <v>45657.95927083334</v>
      </c>
      <c r="C568" s="1" t="n">
        <v>46075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31668-2023</t>
        </is>
      </c>
      <c r="B569" s="1" t="n">
        <v>45117</v>
      </c>
      <c r="C569" s="1" t="n">
        <v>46075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32617-2023</t>
        </is>
      </c>
      <c r="B570" s="1" t="n">
        <v>45121</v>
      </c>
      <c r="C570" s="1" t="n">
        <v>46075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56689-2025</t>
        </is>
      </c>
      <c r="B571" s="1" t="n">
        <v>45976.56569444444</v>
      </c>
      <c r="C571" s="1" t="n">
        <v>46075</v>
      </c>
      <c r="D571" t="inlineStr">
        <is>
          <t>ÖSTERGÖTLANDS LÄN</t>
        </is>
      </c>
      <c r="E571" t="inlineStr">
        <is>
          <t>NORRKÖPING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12674-2025</t>
        </is>
      </c>
      <c r="B572" s="1" t="n">
        <v>45733.43347222222</v>
      </c>
      <c r="C572" s="1" t="n">
        <v>46075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12682-2025</t>
        </is>
      </c>
      <c r="B573" s="1" t="n">
        <v>45733.44431712963</v>
      </c>
      <c r="C573" s="1" t="n">
        <v>46075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HYPERLINK("https://klasma.github.io/Logging_0581/knärot/A 12682-2025 karta knärot.png", "A 12682-2025")</f>
        <v/>
      </c>
      <c r="V573">
        <f>HYPERLINK("https://klasma.github.io/Logging_0581/klagomål/A 12682-2025 FSC-klagomål.docx", "A 12682-2025")</f>
        <v/>
      </c>
      <c r="W573">
        <f>HYPERLINK("https://klasma.github.io/Logging_0581/klagomålsmail/A 12682-2025 FSC-klagomål mail.docx", "A 12682-2025")</f>
        <v/>
      </c>
      <c r="X573">
        <f>HYPERLINK("https://klasma.github.io/Logging_0581/tillsyn/A 12682-2025 tillsynsbegäran.docx", "A 12682-2025")</f>
        <v/>
      </c>
      <c r="Y573">
        <f>HYPERLINK("https://klasma.github.io/Logging_0581/tillsynsmail/A 12682-2025 tillsynsbegäran mail.docx", "A 12682-2025")</f>
        <v/>
      </c>
    </row>
    <row r="574" ht="15" customHeight="1">
      <c r="A574" t="inlineStr">
        <is>
          <t>A 56817-2025</t>
        </is>
      </c>
      <c r="B574" s="1" t="n">
        <v>45978.46055555555</v>
      </c>
      <c r="C574" s="1" t="n">
        <v>46075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56830-2025</t>
        </is>
      </c>
      <c r="B575" s="1" t="n">
        <v>45978.46680555555</v>
      </c>
      <c r="C575" s="1" t="n">
        <v>46075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56824-2025</t>
        </is>
      </c>
      <c r="B576" s="1" t="n">
        <v>45978.46510416667</v>
      </c>
      <c r="C576" s="1" t="n">
        <v>46075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56821-2025</t>
        </is>
      </c>
      <c r="B577" s="1" t="n">
        <v>45978.46326388889</v>
      </c>
      <c r="C577" s="1" t="n">
        <v>46075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58379-2025</t>
        </is>
      </c>
      <c r="B578" s="1" t="n">
        <v>45985.53733796296</v>
      </c>
      <c r="C578" s="1" t="n">
        <v>46075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4826-2023</t>
        </is>
      </c>
      <c r="B579" s="1" t="n">
        <v>44957</v>
      </c>
      <c r="C579" s="1" t="n">
        <v>46075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14459-2024</t>
        </is>
      </c>
      <c r="B580" s="1" t="n">
        <v>45394</v>
      </c>
      <c r="C580" s="1" t="n">
        <v>46075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46075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19191-2025</t>
        </is>
      </c>
      <c r="B582" s="1" t="n">
        <v>45769.41631944444</v>
      </c>
      <c r="C582" s="1" t="n">
        <v>46075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22956-2023</t>
        </is>
      </c>
      <c r="B583" s="1" t="n">
        <v>45072</v>
      </c>
      <c r="C583" s="1" t="n">
        <v>46075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58330-2025</t>
        </is>
      </c>
      <c r="B584" s="1" t="n">
        <v>45985.47957175926</v>
      </c>
      <c r="C584" s="1" t="n">
        <v>46075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8245-2023</t>
        </is>
      </c>
      <c r="B585" s="1" t="n">
        <v>44974</v>
      </c>
      <c r="C585" s="1" t="n">
        <v>46075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60639-2024</t>
        </is>
      </c>
      <c r="B586" s="1" t="n">
        <v>45642</v>
      </c>
      <c r="C586" s="1" t="n">
        <v>46075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31838-2023</t>
        </is>
      </c>
      <c r="B587" s="1" t="n">
        <v>45106</v>
      </c>
      <c r="C587" s="1" t="n">
        <v>46075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58814-2025</t>
        </is>
      </c>
      <c r="B588" s="1" t="n">
        <v>45986</v>
      </c>
      <c r="C588" s="1" t="n">
        <v>46075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47477-2022</t>
        </is>
      </c>
      <c r="B589" s="1" t="n">
        <v>44853.64244212963</v>
      </c>
      <c r="C589" s="1" t="n">
        <v>46075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57772-2022</t>
        </is>
      </c>
      <c r="B590" s="1" t="n">
        <v>44897</v>
      </c>
      <c r="C590" s="1" t="n">
        <v>46075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57376-2024</t>
        </is>
      </c>
      <c r="B591" s="1" t="n">
        <v>45629.67508101852</v>
      </c>
      <c r="C591" s="1" t="n">
        <v>46075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57380-2024</t>
        </is>
      </c>
      <c r="B592" s="1" t="n">
        <v>45629.67931712963</v>
      </c>
      <c r="C592" s="1" t="n">
        <v>46075</v>
      </c>
      <c r="D592" t="inlineStr">
        <is>
          <t>ÖSTERGÖTLANDS LÄN</t>
        </is>
      </c>
      <c r="E592" t="inlineStr">
        <is>
          <t>NORRKÖPING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58575-2025</t>
        </is>
      </c>
      <c r="B593" s="1" t="n">
        <v>45986.38106481481</v>
      </c>
      <c r="C593" s="1" t="n">
        <v>46075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58576-2025</t>
        </is>
      </c>
      <c r="B594" s="1" t="n">
        <v>45986.38231481481</v>
      </c>
      <c r="C594" s="1" t="n">
        <v>46075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58574-2025</t>
        </is>
      </c>
      <c r="B595" s="1" t="n">
        <v>45986.38013888889</v>
      </c>
      <c r="C595" s="1" t="n">
        <v>46075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28601-2024</t>
        </is>
      </c>
      <c r="B596" s="1" t="n">
        <v>45478.42675925926</v>
      </c>
      <c r="C596" s="1" t="n">
        <v>46075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11767-2025</t>
        </is>
      </c>
      <c r="B597" s="1" t="n">
        <v>45727.6683449074</v>
      </c>
      <c r="C597" s="1" t="n">
        <v>46075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25981-2023</t>
        </is>
      </c>
      <c r="B598" s="1" t="n">
        <v>45090.90752314815</v>
      </c>
      <c r="C598" s="1" t="n">
        <v>46075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17813-2025</t>
        </is>
      </c>
      <c r="B599" s="1" t="n">
        <v>45758.56056712963</v>
      </c>
      <c r="C599" s="1" t="n">
        <v>46075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1286-2023</t>
        </is>
      </c>
      <c r="B600" s="1" t="n">
        <v>44936.46326388889</v>
      </c>
      <c r="C600" s="1" t="n">
        <v>46075</v>
      </c>
      <c r="D600" t="inlineStr">
        <is>
          <t>ÖSTERGÖTLANDS LÄN</t>
        </is>
      </c>
      <c r="E600" t="inlineStr">
        <is>
          <t>NORRKÖPING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59533-2025</t>
        </is>
      </c>
      <c r="B601" s="1" t="n">
        <v>45989.73280092593</v>
      </c>
      <c r="C601" s="1" t="n">
        <v>46075</v>
      </c>
      <c r="D601" t="inlineStr">
        <is>
          <t>ÖSTERGÖTLANDS LÄN</t>
        </is>
      </c>
      <c r="E601" t="inlineStr">
        <is>
          <t>NORRKÖPING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54081-2025</t>
        </is>
      </c>
      <c r="B602" s="1" t="n">
        <v>45964</v>
      </c>
      <c r="C602" s="1" t="n">
        <v>46075</v>
      </c>
      <c r="D602" t="inlineStr">
        <is>
          <t>ÖSTERGÖTLANDS LÄN</t>
        </is>
      </c>
      <c r="E602" t="inlineStr">
        <is>
          <t>NORRKÖPING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59727-2025</t>
        </is>
      </c>
      <c r="B603" s="1" t="n">
        <v>45992.55408564815</v>
      </c>
      <c r="C603" s="1" t="n">
        <v>46075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51877-2021</t>
        </is>
      </c>
      <c r="B604" s="1" t="n">
        <v>44462</v>
      </c>
      <c r="C604" s="1" t="n">
        <v>46075</v>
      </c>
      <c r="D604" t="inlineStr">
        <is>
          <t>ÖSTERGÖTLANDS LÄN</t>
        </is>
      </c>
      <c r="E604" t="inlineStr">
        <is>
          <t>NORRKÖPING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48122-2023</t>
        </is>
      </c>
      <c r="B605" s="1" t="n">
        <v>45205.35753472222</v>
      </c>
      <c r="C605" s="1" t="n">
        <v>46075</v>
      </c>
      <c r="D605" t="inlineStr">
        <is>
          <t>ÖSTERGÖTLANDS LÄN</t>
        </is>
      </c>
      <c r="E605" t="inlineStr">
        <is>
          <t>NORRKÖPING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1504-2026</t>
        </is>
      </c>
      <c r="B606" s="1" t="n">
        <v>46034.33767361111</v>
      </c>
      <c r="C606" s="1" t="n">
        <v>46075</v>
      </c>
      <c r="D606" t="inlineStr">
        <is>
          <t>ÖSTERGÖTLANDS LÄN</t>
        </is>
      </c>
      <c r="E606" t="inlineStr">
        <is>
          <t>NORRKÖPING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22319-2024</t>
        </is>
      </c>
      <c r="B607" s="1" t="n">
        <v>45446.57724537037</v>
      </c>
      <c r="C607" s="1" t="n">
        <v>46075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22322-2024</t>
        </is>
      </c>
      <c r="B608" s="1" t="n">
        <v>45446.5790625</v>
      </c>
      <c r="C608" s="1" t="n">
        <v>46075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1508-2026</t>
        </is>
      </c>
      <c r="B609" s="1" t="n">
        <v>46034.34396990741</v>
      </c>
      <c r="C609" s="1" t="n">
        <v>46075</v>
      </c>
      <c r="D609" t="inlineStr">
        <is>
          <t>ÖSTERGÖTLANDS LÄN</t>
        </is>
      </c>
      <c r="E609" t="inlineStr">
        <is>
          <t>NORRKÖPING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23630-2023</t>
        </is>
      </c>
      <c r="B610" s="1" t="n">
        <v>45077</v>
      </c>
      <c r="C610" s="1" t="n">
        <v>46075</v>
      </c>
      <c r="D610" t="inlineStr">
        <is>
          <t>ÖSTERGÖTLANDS LÄN</t>
        </is>
      </c>
      <c r="E610" t="inlineStr">
        <is>
          <t>NORRKÖPING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26388-2023</t>
        </is>
      </c>
      <c r="B611" s="1" t="n">
        <v>45092</v>
      </c>
      <c r="C611" s="1" t="n">
        <v>46075</v>
      </c>
      <c r="D611" t="inlineStr">
        <is>
          <t>ÖSTERGÖTLANDS LÄN</t>
        </is>
      </c>
      <c r="E611" t="inlineStr">
        <is>
          <t>NORRKÖPING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63961-2023</t>
        </is>
      </c>
      <c r="B612" s="1" t="n">
        <v>45278</v>
      </c>
      <c r="C612" s="1" t="n">
        <v>46075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59941-2025</t>
        </is>
      </c>
      <c r="B613" s="1" t="n">
        <v>45993.43421296297</v>
      </c>
      <c r="C613" s="1" t="n">
        <v>46075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16700-2023</t>
        </is>
      </c>
      <c r="B614" s="1" t="n">
        <v>45030</v>
      </c>
      <c r="C614" s="1" t="n">
        <v>46075</v>
      </c>
      <c r="D614" t="inlineStr">
        <is>
          <t>ÖSTERGÖTLANDS LÄN</t>
        </is>
      </c>
      <c r="E614" t="inlineStr">
        <is>
          <t>NORRKÖPING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15082-2024</t>
        </is>
      </c>
      <c r="B615" s="1" t="n">
        <v>45399.62587962963</v>
      </c>
      <c r="C615" s="1" t="n">
        <v>46075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38874-2024</t>
        </is>
      </c>
      <c r="B616" s="1" t="n">
        <v>45547.64484953704</v>
      </c>
      <c r="C616" s="1" t="n">
        <v>46075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37700-2023</t>
        </is>
      </c>
      <c r="B617" s="1" t="n">
        <v>45159</v>
      </c>
      <c r="C617" s="1" t="n">
        <v>46075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2061-2026</t>
        </is>
      </c>
      <c r="B618" s="1" t="n">
        <v>46035.88178240741</v>
      </c>
      <c r="C618" s="1" t="n">
        <v>46075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32511-2023</t>
        </is>
      </c>
      <c r="B619" s="1" t="n">
        <v>45121</v>
      </c>
      <c r="C619" s="1" t="n">
        <v>46075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6566-2025</t>
        </is>
      </c>
      <c r="B620" s="1" t="n">
        <v>45699</v>
      </c>
      <c r="C620" s="1" t="n">
        <v>46075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6568-2025</t>
        </is>
      </c>
      <c r="B621" s="1" t="n">
        <v>45699.75583333334</v>
      </c>
      <c r="C621" s="1" t="n">
        <v>46075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2484-2026</t>
        </is>
      </c>
      <c r="B622" s="1" t="n">
        <v>46037.38564814815</v>
      </c>
      <c r="C622" s="1" t="n">
        <v>46075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2491-2026</t>
        </is>
      </c>
      <c r="B623" s="1" t="n">
        <v>46037.39449074074</v>
      </c>
      <c r="C623" s="1" t="n">
        <v>46075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60233-2022</t>
        </is>
      </c>
      <c r="B624" s="1" t="n">
        <v>44910</v>
      </c>
      <c r="C624" s="1" t="n">
        <v>46075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21810-2024</t>
        </is>
      </c>
      <c r="B625" s="1" t="n">
        <v>45442.67793981481</v>
      </c>
      <c r="C625" s="1" t="n">
        <v>46075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14044-2023</t>
        </is>
      </c>
      <c r="B626" s="1" t="n">
        <v>45008.66204861111</v>
      </c>
      <c r="C626" s="1" t="n">
        <v>46075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72-2023</t>
        </is>
      </c>
      <c r="B627" s="1" t="n">
        <v>44928.45552083333</v>
      </c>
      <c r="C627" s="1" t="n">
        <v>46075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59221-2024</t>
        </is>
      </c>
      <c r="B628" s="1" t="n">
        <v>45637</v>
      </c>
      <c r="C628" s="1" t="n">
        <v>46075</v>
      </c>
      <c r="D628" t="inlineStr">
        <is>
          <t>ÖSTERGÖTLANDS LÄN</t>
        </is>
      </c>
      <c r="E628" t="inlineStr">
        <is>
          <t>NORRKÖPING</t>
        </is>
      </c>
      <c r="G628" t="n">
        <v>24.7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31653-2023</t>
        </is>
      </c>
      <c r="B629" s="1" t="n">
        <v>45117</v>
      </c>
      <c r="C629" s="1" t="n">
        <v>46075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2934-2026</t>
        </is>
      </c>
      <c r="B630" s="1" t="n">
        <v>46038.58539351852</v>
      </c>
      <c r="C630" s="1" t="n">
        <v>46075</v>
      </c>
      <c r="D630" t="inlineStr">
        <is>
          <t>ÖSTERGÖTLANDS LÄN</t>
        </is>
      </c>
      <c r="E630" t="inlineStr">
        <is>
          <t>NORRKÖPING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3186-2026</t>
        </is>
      </c>
      <c r="B631" s="1" t="n">
        <v>46041.45574074074</v>
      </c>
      <c r="C631" s="1" t="n">
        <v>46075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Kommuner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11741-2024</t>
        </is>
      </c>
      <c r="B632" s="1" t="n">
        <v>45373.73894675926</v>
      </c>
      <c r="C632" s="1" t="n">
        <v>46075</v>
      </c>
      <c r="D632" t="inlineStr">
        <is>
          <t>ÖSTERGÖTLANDS LÄN</t>
        </is>
      </c>
      <c r="E632" t="inlineStr">
        <is>
          <t>NORRKÖPING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2832-2026</t>
        </is>
      </c>
      <c r="B633" s="1" t="n">
        <v>46038.4565162037</v>
      </c>
      <c r="C633" s="1" t="n">
        <v>46075</v>
      </c>
      <c r="D633" t="inlineStr">
        <is>
          <t>ÖSTERGÖTLANDS LÄN</t>
        </is>
      </c>
      <c r="E633" t="inlineStr">
        <is>
          <t>NORRKÖPING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2841-2026</t>
        </is>
      </c>
      <c r="B634" s="1" t="n">
        <v>46036</v>
      </c>
      <c r="C634" s="1" t="n">
        <v>46075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34904-2024</t>
        </is>
      </c>
      <c r="B635" s="1" t="n">
        <v>45527.40489583334</v>
      </c>
      <c r="C635" s="1" t="n">
        <v>46075</v>
      </c>
      <c r="D635" t="inlineStr">
        <is>
          <t>ÖSTERGÖTLANDS LÄN</t>
        </is>
      </c>
      <c r="E635" t="inlineStr">
        <is>
          <t>NORRKÖPING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3020-2025</t>
        </is>
      </c>
      <c r="B636" s="1" t="n">
        <v>45678.57731481481</v>
      </c>
      <c r="C636" s="1" t="n">
        <v>46075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14901-2023</t>
        </is>
      </c>
      <c r="B637" s="1" t="n">
        <v>45014</v>
      </c>
      <c r="C637" s="1" t="n">
        <v>46075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3462-2026</t>
        </is>
      </c>
      <c r="B638" s="1" t="n">
        <v>46042.51780092593</v>
      </c>
      <c r="C638" s="1" t="n">
        <v>46075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62028-2023</t>
        </is>
      </c>
      <c r="B639" s="1" t="n">
        <v>45266</v>
      </c>
      <c r="C639" s="1" t="n">
        <v>46075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19259-2023</t>
        </is>
      </c>
      <c r="B640" s="1" t="n">
        <v>45049.34974537037</v>
      </c>
      <c r="C640" s="1" t="n">
        <v>46075</v>
      </c>
      <c r="D640" t="inlineStr">
        <is>
          <t>ÖSTERGÖTLANDS LÄN</t>
        </is>
      </c>
      <c r="E640" t="inlineStr">
        <is>
          <t>NORRKÖPING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19260-2023</t>
        </is>
      </c>
      <c r="B641" s="1" t="n">
        <v>45049.35048611111</v>
      </c>
      <c r="C641" s="1" t="n">
        <v>46075</v>
      </c>
      <c r="D641" t="inlineStr">
        <is>
          <t>ÖSTERGÖTLANDS LÄN</t>
        </is>
      </c>
      <c r="E641" t="inlineStr">
        <is>
          <t>NORRKÖPING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62033-2023</t>
        </is>
      </c>
      <c r="B642" s="1" t="n">
        <v>45266.66998842593</v>
      </c>
      <c r="C642" s="1" t="n">
        <v>46075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19739-2024</t>
        </is>
      </c>
      <c r="B643" s="1" t="n">
        <v>45432.6291550926</v>
      </c>
      <c r="C643" s="1" t="n">
        <v>46075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3866-2026</t>
        </is>
      </c>
      <c r="B644" s="1" t="n">
        <v>46043.63300925926</v>
      </c>
      <c r="C644" s="1" t="n">
        <v>46075</v>
      </c>
      <c r="D644" t="inlineStr">
        <is>
          <t>ÖSTERGÖTLANDS LÄN</t>
        </is>
      </c>
      <c r="E644" t="inlineStr">
        <is>
          <t>NORRKÖPING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3867-2026</t>
        </is>
      </c>
      <c r="B645" s="1" t="n">
        <v>46043.63504629629</v>
      </c>
      <c r="C645" s="1" t="n">
        <v>46075</v>
      </c>
      <c r="D645" t="inlineStr">
        <is>
          <t>ÖSTERGÖTLANDS LÄN</t>
        </is>
      </c>
      <c r="E645" t="inlineStr">
        <is>
          <t>NORRKÖPING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55063-2023</t>
        </is>
      </c>
      <c r="B646" s="1" t="n">
        <v>45237</v>
      </c>
      <c r="C646" s="1" t="n">
        <v>46075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Kyrkan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3463-2026</t>
        </is>
      </c>
      <c r="B647" s="1" t="n">
        <v>46042.51780092593</v>
      </c>
      <c r="C647" s="1" t="n">
        <v>46075</v>
      </c>
      <c r="D647" t="inlineStr">
        <is>
          <t>ÖSTERGÖTLANDS LÄN</t>
        </is>
      </c>
      <c r="E647" t="inlineStr">
        <is>
          <t>NORRKÖPING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3861-2026</t>
        </is>
      </c>
      <c r="B648" s="1" t="n">
        <v>46043.62521990741</v>
      </c>
      <c r="C648" s="1" t="n">
        <v>46075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3518-2026</t>
        </is>
      </c>
      <c r="B649" s="1" t="n">
        <v>46042.59065972222</v>
      </c>
      <c r="C649" s="1" t="n">
        <v>46075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8220-2023</t>
        </is>
      </c>
      <c r="B650" s="1" t="n">
        <v>44974.564375</v>
      </c>
      <c r="C650" s="1" t="n">
        <v>46075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6261-2023</t>
        </is>
      </c>
      <c r="B651" s="1" t="n">
        <v>44965</v>
      </c>
      <c r="C651" s="1" t="n">
        <v>46075</v>
      </c>
      <c r="D651" t="inlineStr">
        <is>
          <t>ÖSTERGÖTLANDS LÄN</t>
        </is>
      </c>
      <c r="E651" t="inlineStr">
        <is>
          <t>NORRKÖPING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52576-2025</t>
        </is>
      </c>
      <c r="B652" s="1" t="n">
        <v>45954</v>
      </c>
      <c r="C652" s="1" t="n">
        <v>46075</v>
      </c>
      <c r="D652" t="inlineStr">
        <is>
          <t>ÖSTERGÖTLANDS LÄN</t>
        </is>
      </c>
      <c r="E652" t="inlineStr">
        <is>
          <t>NORRKÖPING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15505-2025</t>
        </is>
      </c>
      <c r="B653" s="1" t="n">
        <v>45747.59501157407</v>
      </c>
      <c r="C653" s="1" t="n">
        <v>46075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43322-2022</t>
        </is>
      </c>
      <c r="B654" s="1" t="n">
        <v>44834</v>
      </c>
      <c r="C654" s="1" t="n">
        <v>46075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62294-2025</t>
        </is>
      </c>
      <c r="B655" s="1" t="n">
        <v>46003</v>
      </c>
      <c r="C655" s="1" t="n">
        <v>46075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14329-2022</t>
        </is>
      </c>
      <c r="B656" s="1" t="n">
        <v>44652</v>
      </c>
      <c r="C656" s="1" t="n">
        <v>46075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4317-2026</t>
        </is>
      </c>
      <c r="B657" s="1" t="n">
        <v>46045.44877314815</v>
      </c>
      <c r="C657" s="1" t="n">
        <v>46075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5868-2022</t>
        </is>
      </c>
      <c r="B658" s="1" t="n">
        <v>44596</v>
      </c>
      <c r="C658" s="1" t="n">
        <v>46075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20227-2025</t>
        </is>
      </c>
      <c r="B659" s="1" t="n">
        <v>45772.6652662037</v>
      </c>
      <c r="C659" s="1" t="n">
        <v>46075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4522-2026</t>
        </is>
      </c>
      <c r="B660" s="1" t="n">
        <v>46046.43557870371</v>
      </c>
      <c r="C660" s="1" t="n">
        <v>46075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62370-2025</t>
        </is>
      </c>
      <c r="B661" s="1" t="n">
        <v>46007.33993055556</v>
      </c>
      <c r="C661" s="1" t="n">
        <v>46075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19785-2025</t>
        </is>
      </c>
      <c r="B662" s="1" t="n">
        <v>45771.44005787037</v>
      </c>
      <c r="C662" s="1" t="n">
        <v>46075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38441-2024</t>
        </is>
      </c>
      <c r="B663" s="1" t="n">
        <v>45546</v>
      </c>
      <c r="C663" s="1" t="n">
        <v>46075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4521-2026</t>
        </is>
      </c>
      <c r="B664" s="1" t="n">
        <v>46046.43328703703</v>
      </c>
      <c r="C664" s="1" t="n">
        <v>46075</v>
      </c>
      <c r="D664" t="inlineStr">
        <is>
          <t>ÖSTERGÖTLANDS LÄN</t>
        </is>
      </c>
      <c r="E664" t="inlineStr">
        <is>
          <t>NORRKÖPING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53278-2023</t>
        </is>
      </c>
      <c r="B665" s="1" t="n">
        <v>45229</v>
      </c>
      <c r="C665" s="1" t="n">
        <v>46075</v>
      </c>
      <c r="D665" t="inlineStr">
        <is>
          <t>ÖSTERGÖTLANDS LÄN</t>
        </is>
      </c>
      <c r="E665" t="inlineStr">
        <is>
          <t>NORRKÖPING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62112-2025</t>
        </is>
      </c>
      <c r="B666" s="1" t="n">
        <v>46006.43421296297</v>
      </c>
      <c r="C666" s="1" t="n">
        <v>46075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16703-2023</t>
        </is>
      </c>
      <c r="B667" s="1" t="n">
        <v>45030.62740740741</v>
      </c>
      <c r="C667" s="1" t="n">
        <v>46075</v>
      </c>
      <c r="D667" t="inlineStr">
        <is>
          <t>ÖSTERGÖTLANDS LÄN</t>
        </is>
      </c>
      <c r="E667" t="inlineStr">
        <is>
          <t>NORRKÖPING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16708-2023</t>
        </is>
      </c>
      <c r="B668" s="1" t="n">
        <v>45030</v>
      </c>
      <c r="C668" s="1" t="n">
        <v>46075</v>
      </c>
      <c r="D668" t="inlineStr">
        <is>
          <t>ÖSTERGÖTLANDS LÄN</t>
        </is>
      </c>
      <c r="E668" t="inlineStr">
        <is>
          <t>NORRKÖPING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62108-2025</t>
        </is>
      </c>
      <c r="B669" s="1" t="n">
        <v>46006.42920138889</v>
      </c>
      <c r="C669" s="1" t="n">
        <v>46075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44197-2023</t>
        </is>
      </c>
      <c r="B670" s="1" t="n">
        <v>45188</v>
      </c>
      <c r="C670" s="1" t="n">
        <v>46075</v>
      </c>
      <c r="D670" t="inlineStr">
        <is>
          <t>ÖSTERGÖTLANDS LÄN</t>
        </is>
      </c>
      <c r="E670" t="inlineStr">
        <is>
          <t>NORRKÖPING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62473-2025</t>
        </is>
      </c>
      <c r="B671" s="1" t="n">
        <v>46007.54611111111</v>
      </c>
      <c r="C671" s="1" t="n">
        <v>46075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62118-2025</t>
        </is>
      </c>
      <c r="B672" s="1" t="n">
        <v>46006.44060185185</v>
      </c>
      <c r="C672" s="1" t="n">
        <v>46075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5176-2026</t>
        </is>
      </c>
      <c r="B673" s="1" t="n">
        <v>46048</v>
      </c>
      <c r="C673" s="1" t="n">
        <v>46075</v>
      </c>
      <c r="D673" t="inlineStr">
        <is>
          <t>ÖSTERGÖTLANDS LÄN</t>
        </is>
      </c>
      <c r="E673" t="inlineStr">
        <is>
          <t>NORRKÖPING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62107-2025</t>
        </is>
      </c>
      <c r="B674" s="1" t="n">
        <v>46006.42659722222</v>
      </c>
      <c r="C674" s="1" t="n">
        <v>46075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62475-2023</t>
        </is>
      </c>
      <c r="B675" s="1" t="n">
        <v>45268</v>
      </c>
      <c r="C675" s="1" t="n">
        <v>46075</v>
      </c>
      <c r="D675" t="inlineStr">
        <is>
          <t>ÖSTERGÖTLANDS LÄN</t>
        </is>
      </c>
      <c r="E675" t="inlineStr">
        <is>
          <t>NORRKÖPING</t>
        </is>
      </c>
      <c r="G675" t="n">
        <v>12.5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39232-2024</t>
        </is>
      </c>
      <c r="B676" s="1" t="n">
        <v>45550.68804398148</v>
      </c>
      <c r="C676" s="1" t="n">
        <v>46075</v>
      </c>
      <c r="D676" t="inlineStr">
        <is>
          <t>ÖSTERGÖTLANDS LÄN</t>
        </is>
      </c>
      <c r="E676" t="inlineStr">
        <is>
          <t>NORRKÖPING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45362-2021</t>
        </is>
      </c>
      <c r="B677" s="1" t="n">
        <v>44439.97621527778</v>
      </c>
      <c r="C677" s="1" t="n">
        <v>46075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5466-2026</t>
        </is>
      </c>
      <c r="B678" s="1" t="n">
        <v>46048</v>
      </c>
      <c r="C678" s="1" t="n">
        <v>46075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19853-2023</t>
        </is>
      </c>
      <c r="B679" s="1" t="n">
        <v>45053.82055555555</v>
      </c>
      <c r="C679" s="1" t="n">
        <v>46075</v>
      </c>
      <c r="D679" t="inlineStr">
        <is>
          <t>ÖSTERGÖTLANDS LÄN</t>
        </is>
      </c>
      <c r="E679" t="inlineStr">
        <is>
          <t>NORRKÖPING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49060-2022</t>
        </is>
      </c>
      <c r="B680" s="1" t="n">
        <v>44860</v>
      </c>
      <c r="C680" s="1" t="n">
        <v>46075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5976-2022</t>
        </is>
      </c>
      <c r="B681" s="1" t="n">
        <v>44597</v>
      </c>
      <c r="C681" s="1" t="n">
        <v>46075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14899-2023</t>
        </is>
      </c>
      <c r="B682" s="1" t="n">
        <v>45014</v>
      </c>
      <c r="C682" s="1" t="n">
        <v>46075</v>
      </c>
      <c r="D682" t="inlineStr">
        <is>
          <t>ÖSTERGÖTLANDS LÄN</t>
        </is>
      </c>
      <c r="E682" t="inlineStr">
        <is>
          <t>NORRKÖPING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6011-2026</t>
        </is>
      </c>
      <c r="B683" s="1" t="n">
        <v>46052.59646990741</v>
      </c>
      <c r="C683" s="1" t="n">
        <v>46075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1939-2023</t>
        </is>
      </c>
      <c r="B684" s="1" t="n">
        <v>44936</v>
      </c>
      <c r="C684" s="1" t="n">
        <v>46075</v>
      </c>
      <c r="D684" t="inlineStr">
        <is>
          <t>ÖSTERGÖTLANDS LÄN</t>
        </is>
      </c>
      <c r="E684" t="inlineStr">
        <is>
          <t>NORRKÖPING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6075-2026</t>
        </is>
      </c>
      <c r="B685" s="1" t="n">
        <v>46052.66451388889</v>
      </c>
      <c r="C685" s="1" t="n">
        <v>46075</v>
      </c>
      <c r="D685" t="inlineStr">
        <is>
          <t>ÖSTERGÖTLANDS LÄN</t>
        </is>
      </c>
      <c r="E685" t="inlineStr">
        <is>
          <t>NORRKÖPING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11136-2025</t>
        </is>
      </c>
      <c r="B686" s="1" t="n">
        <v>45723.65960648148</v>
      </c>
      <c r="C686" s="1" t="n">
        <v>46075</v>
      </c>
      <c r="D686" t="inlineStr">
        <is>
          <t>ÖSTERGÖTLANDS LÄN</t>
        </is>
      </c>
      <c r="E686" t="inlineStr">
        <is>
          <t>NORRKÖPING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49882-2021</t>
        </is>
      </c>
      <c r="B687" s="1" t="n">
        <v>44455.68550925926</v>
      </c>
      <c r="C687" s="1" t="n">
        <v>46075</v>
      </c>
      <c r="D687" t="inlineStr">
        <is>
          <t>ÖSTERGÖTLANDS LÄN</t>
        </is>
      </c>
      <c r="E687" t="inlineStr">
        <is>
          <t>NORRKÖPING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4127-2022</t>
        </is>
      </c>
      <c r="B688" s="1" t="n">
        <v>44588</v>
      </c>
      <c r="C688" s="1" t="n">
        <v>46075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6013-2026</t>
        </is>
      </c>
      <c r="B689" s="1" t="n">
        <v>46052.59930555556</v>
      </c>
      <c r="C689" s="1" t="n">
        <v>46075</v>
      </c>
      <c r="D689" t="inlineStr">
        <is>
          <t>ÖSTERGÖTLANDS LÄN</t>
        </is>
      </c>
      <c r="E689" t="inlineStr">
        <is>
          <t>NORRKÖPING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6018-2026</t>
        </is>
      </c>
      <c r="B690" s="1" t="n">
        <v>46052.60118055555</v>
      </c>
      <c r="C690" s="1" t="n">
        <v>46075</v>
      </c>
      <c r="D690" t="inlineStr">
        <is>
          <t>ÖSTERGÖTLANDS LÄN</t>
        </is>
      </c>
      <c r="E690" t="inlineStr">
        <is>
          <t>NORRKÖPING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6347-2026</t>
        </is>
      </c>
      <c r="B691" s="1" t="n">
        <v>46055.60996527778</v>
      </c>
      <c r="C691" s="1" t="n">
        <v>46075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63168-2025</t>
        </is>
      </c>
      <c r="B692" s="1" t="n">
        <v>46010.39259259259</v>
      </c>
      <c r="C692" s="1" t="n">
        <v>46075</v>
      </c>
      <c r="D692" t="inlineStr">
        <is>
          <t>ÖSTERGÖTLANDS LÄN</t>
        </is>
      </c>
      <c r="E692" t="inlineStr">
        <is>
          <t>NORRKÖPING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63229-2025</t>
        </is>
      </c>
      <c r="B693" s="1" t="n">
        <v>46010.49901620371</v>
      </c>
      <c r="C693" s="1" t="n">
        <v>46075</v>
      </c>
      <c r="D693" t="inlineStr">
        <is>
          <t>ÖSTERGÖTLANDS LÄN</t>
        </is>
      </c>
      <c r="E693" t="inlineStr">
        <is>
          <t>NORRKÖPING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63165-2025</t>
        </is>
      </c>
      <c r="B694" s="1" t="n">
        <v>46010.38619212963</v>
      </c>
      <c r="C694" s="1" t="n">
        <v>46075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63241-2025</t>
        </is>
      </c>
      <c r="B695" s="1" t="n">
        <v>46010.52946759259</v>
      </c>
      <c r="C695" s="1" t="n">
        <v>46075</v>
      </c>
      <c r="D695" t="inlineStr">
        <is>
          <t>ÖSTERGÖTLANDS LÄN</t>
        </is>
      </c>
      <c r="E695" t="inlineStr">
        <is>
          <t>NORRKÖPING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59768-2021</t>
        </is>
      </c>
      <c r="B696" s="1" t="n">
        <v>44494</v>
      </c>
      <c r="C696" s="1" t="n">
        <v>46075</v>
      </c>
      <c r="D696" t="inlineStr">
        <is>
          <t>ÖSTERGÖTLANDS LÄN</t>
        </is>
      </c>
      <c r="E696" t="inlineStr">
        <is>
          <t>NORRKÖPING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63715-2025</t>
        </is>
      </c>
      <c r="B697" s="1" t="n">
        <v>46014</v>
      </c>
      <c r="C697" s="1" t="n">
        <v>46075</v>
      </c>
      <c r="D697" t="inlineStr">
        <is>
          <t>ÖSTERGÖTLANDS LÄN</t>
        </is>
      </c>
      <c r="E697" t="inlineStr">
        <is>
          <t>NORRKÖPING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63720-2025</t>
        </is>
      </c>
      <c r="B698" s="1" t="n">
        <v>46014</v>
      </c>
      <c r="C698" s="1" t="n">
        <v>46075</v>
      </c>
      <c r="D698" t="inlineStr">
        <is>
          <t>ÖSTERGÖTLANDS LÄN</t>
        </is>
      </c>
      <c r="E698" t="inlineStr">
        <is>
          <t>NORRKÖPING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63349-2023</t>
        </is>
      </c>
      <c r="B699" s="1" t="n">
        <v>45274.43547453704</v>
      </c>
      <c r="C699" s="1" t="n">
        <v>46075</v>
      </c>
      <c r="D699" t="inlineStr">
        <is>
          <t>ÖSTERGÖTLANDS LÄN</t>
        </is>
      </c>
      <c r="E699" t="inlineStr">
        <is>
          <t>NORRKÖPING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40812-2024</t>
        </is>
      </c>
      <c r="B700" s="1" t="n">
        <v>45558.54422453704</v>
      </c>
      <c r="C700" s="1" t="n">
        <v>46075</v>
      </c>
      <c r="D700" t="inlineStr">
        <is>
          <t>ÖSTERGÖTLANDS LÄN</t>
        </is>
      </c>
      <c r="E700" t="inlineStr">
        <is>
          <t>NORRKÖPING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40816-2024</t>
        </is>
      </c>
      <c r="B701" s="1" t="n">
        <v>45558</v>
      </c>
      <c r="C701" s="1" t="n">
        <v>46075</v>
      </c>
      <c r="D701" t="inlineStr">
        <is>
          <t>ÖSTERGÖTLANDS LÄN</t>
        </is>
      </c>
      <c r="E701" t="inlineStr">
        <is>
          <t>NORRKÖPING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48786-2022</t>
        </is>
      </c>
      <c r="B702" s="1" t="n">
        <v>44859</v>
      </c>
      <c r="C702" s="1" t="n">
        <v>46075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5938-2024</t>
        </is>
      </c>
      <c r="B703" s="1" t="n">
        <v>45336</v>
      </c>
      <c r="C703" s="1" t="n">
        <v>46075</v>
      </c>
      <c r="D703" t="inlineStr">
        <is>
          <t>ÖSTERGÖTLANDS LÄN</t>
        </is>
      </c>
      <c r="E703" t="inlineStr">
        <is>
          <t>NORRKÖPING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3116-2022</t>
        </is>
      </c>
      <c r="B704" s="1" t="n">
        <v>44582</v>
      </c>
      <c r="C704" s="1" t="n">
        <v>46075</v>
      </c>
      <c r="D704" t="inlineStr">
        <is>
          <t>ÖSTERGÖTLANDS LÄN</t>
        </is>
      </c>
      <c r="E704" t="inlineStr">
        <is>
          <t>NORRKÖPING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21767-2024</t>
        </is>
      </c>
      <c r="B705" s="1" t="n">
        <v>45442.6052199074</v>
      </c>
      <c r="C705" s="1" t="n">
        <v>46075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21770-2024</t>
        </is>
      </c>
      <c r="B706" s="1" t="n">
        <v>45442.60829861111</v>
      </c>
      <c r="C706" s="1" t="n">
        <v>46075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21813-2024</t>
        </is>
      </c>
      <c r="B707" s="1" t="n">
        <v>45442.68033564815</v>
      </c>
      <c r="C707" s="1" t="n">
        <v>46075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43344-2023</t>
        </is>
      </c>
      <c r="B708" s="1" t="n">
        <v>45183.65135416666</v>
      </c>
      <c r="C708" s="1" t="n">
        <v>46075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43346-2023</t>
        </is>
      </c>
      <c r="B709" s="1" t="n">
        <v>45183.65233796297</v>
      </c>
      <c r="C709" s="1" t="n">
        <v>46075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18658-2023</t>
        </is>
      </c>
      <c r="B710" s="1" t="n">
        <v>45043</v>
      </c>
      <c r="C710" s="1" t="n">
        <v>46075</v>
      </c>
      <c r="D710" t="inlineStr">
        <is>
          <t>ÖSTERGÖTLANDS LÄN</t>
        </is>
      </c>
      <c r="E710" t="inlineStr">
        <is>
          <t>NORRKÖPING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13656-2025</t>
        </is>
      </c>
      <c r="B711" s="1" t="n">
        <v>45736.72646990741</v>
      </c>
      <c r="C711" s="1" t="n">
        <v>46075</v>
      </c>
      <c r="D711" t="inlineStr">
        <is>
          <t>ÖSTERGÖTLANDS LÄN</t>
        </is>
      </c>
      <c r="E711" t="inlineStr">
        <is>
          <t>NORRKÖPING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31801-2024</t>
        </is>
      </c>
      <c r="B712" s="1" t="n">
        <v>45509.57052083333</v>
      </c>
      <c r="C712" s="1" t="n">
        <v>46075</v>
      </c>
      <c r="D712" t="inlineStr">
        <is>
          <t>ÖSTERGÖTLANDS LÄN</t>
        </is>
      </c>
      <c r="E712" t="inlineStr">
        <is>
          <t>NORRKÖPING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10791-2024</t>
        </is>
      </c>
      <c r="B713" s="1" t="n">
        <v>45369.61550925926</v>
      </c>
      <c r="C713" s="1" t="n">
        <v>46075</v>
      </c>
      <c r="D713" t="inlineStr">
        <is>
          <t>ÖSTERGÖTLANDS LÄN</t>
        </is>
      </c>
      <c r="E713" t="inlineStr">
        <is>
          <t>NORRKÖPING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35148-2023</t>
        </is>
      </c>
      <c r="B714" s="1" t="n">
        <v>45145</v>
      </c>
      <c r="C714" s="1" t="n">
        <v>46075</v>
      </c>
      <c r="D714" t="inlineStr">
        <is>
          <t>ÖSTERGÖTLANDS LÄN</t>
        </is>
      </c>
      <c r="E714" t="inlineStr">
        <is>
          <t>NORRKÖPING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50119-2023</t>
        </is>
      </c>
      <c r="B715" s="1" t="n">
        <v>45215.63990740741</v>
      </c>
      <c r="C715" s="1" t="n">
        <v>46075</v>
      </c>
      <c r="D715" t="inlineStr">
        <is>
          <t>ÖSTERGÖTLANDS LÄN</t>
        </is>
      </c>
      <c r="E715" t="inlineStr">
        <is>
          <t>NORRKÖPING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1835-2023</t>
        </is>
      </c>
      <c r="B716" s="1" t="n">
        <v>44936</v>
      </c>
      <c r="C716" s="1" t="n">
        <v>46075</v>
      </c>
      <c r="D716" t="inlineStr">
        <is>
          <t>ÖSTERGÖTLANDS LÄN</t>
        </is>
      </c>
      <c r="E716" t="inlineStr">
        <is>
          <t>NORRKÖPING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56331-2022</t>
        </is>
      </c>
      <c r="B717" s="1" t="n">
        <v>44890</v>
      </c>
      <c r="C717" s="1" t="n">
        <v>46075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24018-2025</t>
        </is>
      </c>
      <c r="B718" s="1" t="n">
        <v>45796</v>
      </c>
      <c r="C718" s="1" t="n">
        <v>46075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19287-2025</t>
        </is>
      </c>
      <c r="B719" s="1" t="n">
        <v>45769</v>
      </c>
      <c r="C719" s="1" t="n">
        <v>46075</v>
      </c>
      <c r="D719" t="inlineStr">
        <is>
          <t>ÖSTERGÖTLANDS LÄN</t>
        </is>
      </c>
      <c r="E719" t="inlineStr">
        <is>
          <t>NORRKÖPING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14611-2023</t>
        </is>
      </c>
      <c r="B720" s="1" t="n">
        <v>45013.63658564815</v>
      </c>
      <c r="C720" s="1" t="n">
        <v>46075</v>
      </c>
      <c r="D720" t="inlineStr">
        <is>
          <t>ÖSTERGÖTLANDS LÄN</t>
        </is>
      </c>
      <c r="E720" t="inlineStr">
        <is>
          <t>NORRKÖPING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4494-2023</t>
        </is>
      </c>
      <c r="B721" s="1" t="n">
        <v>44956.54967592593</v>
      </c>
      <c r="C721" s="1" t="n">
        <v>46075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23783-2022</t>
        </is>
      </c>
      <c r="B722" s="1" t="n">
        <v>44721</v>
      </c>
      <c r="C722" s="1" t="n">
        <v>46075</v>
      </c>
      <c r="D722" t="inlineStr">
        <is>
          <t>ÖSTERGÖTLANDS LÄN</t>
        </is>
      </c>
      <c r="E722" t="inlineStr">
        <is>
          <t>NORRKÖPING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31582-2023</t>
        </is>
      </c>
      <c r="B723" s="1" t="n">
        <v>45117</v>
      </c>
      <c r="C723" s="1" t="n">
        <v>46075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46075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3504-2026</t>
        </is>
      </c>
      <c r="B725" s="1" t="n">
        <v>46042.58023148148</v>
      </c>
      <c r="C725" s="1" t="n">
        <v>46075</v>
      </c>
      <c r="D725" t="inlineStr">
        <is>
          <t>ÖSTERGÖTLANDS LÄN</t>
        </is>
      </c>
      <c r="E725" t="inlineStr">
        <is>
          <t>NORRKÖPING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18537-2025</t>
        </is>
      </c>
      <c r="B726" s="1" t="n">
        <v>45763.41083333334</v>
      </c>
      <c r="C726" s="1" t="n">
        <v>46075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50678-2023</t>
        </is>
      </c>
      <c r="B727" s="1" t="n">
        <v>45217.51479166667</v>
      </c>
      <c r="C727" s="1" t="n">
        <v>46075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45075-2023</t>
        </is>
      </c>
      <c r="B728" s="1" t="n">
        <v>45191.39708333334</v>
      </c>
      <c r="C728" s="1" t="n">
        <v>46075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3499-2026</t>
        </is>
      </c>
      <c r="B729" s="1" t="n">
        <v>46042.57427083333</v>
      </c>
      <c r="C729" s="1" t="n">
        <v>46075</v>
      </c>
      <c r="D729" t="inlineStr">
        <is>
          <t>ÖSTERGÖTLANDS LÄN</t>
        </is>
      </c>
      <c r="E729" t="inlineStr">
        <is>
          <t>NORRKÖPING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12814-2025</t>
        </is>
      </c>
      <c r="B730" s="1" t="n">
        <v>45733.62203703704</v>
      </c>
      <c r="C730" s="1" t="n">
        <v>46075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47895-2021</t>
        </is>
      </c>
      <c r="B731" s="1" t="n">
        <v>44448</v>
      </c>
      <c r="C731" s="1" t="n">
        <v>46075</v>
      </c>
      <c r="D731" t="inlineStr">
        <is>
          <t>ÖSTERGÖTLANDS LÄN</t>
        </is>
      </c>
      <c r="E731" t="inlineStr">
        <is>
          <t>NORRKÖPING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3511-2026</t>
        </is>
      </c>
      <c r="B732" s="1" t="n">
        <v>46042.58653935185</v>
      </c>
      <c r="C732" s="1" t="n">
        <v>46075</v>
      </c>
      <c r="D732" t="inlineStr">
        <is>
          <t>ÖSTERGÖTLANDS LÄN</t>
        </is>
      </c>
      <c r="E732" t="inlineStr">
        <is>
          <t>NORRKÖPING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36258-2022</t>
        </is>
      </c>
      <c r="B733" s="1" t="n">
        <v>44803.59099537037</v>
      </c>
      <c r="C733" s="1" t="n">
        <v>46075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42175-2023</t>
        </is>
      </c>
      <c r="B734" s="1" t="n">
        <v>45178.43909722222</v>
      </c>
      <c r="C734" s="1" t="n">
        <v>46075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49062-2022</t>
        </is>
      </c>
      <c r="B735" s="1" t="n">
        <v>44860</v>
      </c>
      <c r="C735" s="1" t="n">
        <v>46075</v>
      </c>
      <c r="D735" t="inlineStr">
        <is>
          <t>ÖSTERGÖTLANDS LÄN</t>
        </is>
      </c>
      <c r="E735" t="inlineStr">
        <is>
          <t>NORRKÖPING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1914-2023</t>
        </is>
      </c>
      <c r="B736" s="1" t="n">
        <v>44939</v>
      </c>
      <c r="C736" s="1" t="n">
        <v>46075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Naturvårdsverket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44987.5428587963</v>
      </c>
      <c r="C737" s="1" t="n">
        <v>46075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7853-2026</t>
        </is>
      </c>
      <c r="B738" s="1" t="n">
        <v>46061</v>
      </c>
      <c r="C738" s="1" t="n">
        <v>46075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4546-2023</t>
        </is>
      </c>
      <c r="B739" s="1" t="n">
        <v>44956</v>
      </c>
      <c r="C739" s="1" t="n">
        <v>46075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12538-2024</t>
        </is>
      </c>
      <c r="B740" s="1" t="n">
        <v>45379</v>
      </c>
      <c r="C740" s="1" t="n">
        <v>46075</v>
      </c>
      <c r="D740" t="inlineStr">
        <is>
          <t>ÖSTERGÖTLANDS LÄN</t>
        </is>
      </c>
      <c r="E740" t="inlineStr">
        <is>
          <t>NORRKÖPING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17138-2022</t>
        </is>
      </c>
      <c r="B741" s="1" t="n">
        <v>44677</v>
      </c>
      <c r="C741" s="1" t="n">
        <v>46075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33170-2023</t>
        </is>
      </c>
      <c r="B742" s="1" t="n">
        <v>45126</v>
      </c>
      <c r="C742" s="1" t="n">
        <v>46075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33171-2023</t>
        </is>
      </c>
      <c r="B743" s="1" t="n">
        <v>45126</v>
      </c>
      <c r="C743" s="1" t="n">
        <v>46075</v>
      </c>
      <c r="D743" t="inlineStr">
        <is>
          <t>ÖSTERGÖTLANDS LÄN</t>
        </is>
      </c>
      <c r="E743" t="inlineStr">
        <is>
          <t>NORRKÖPING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35293-2021</t>
        </is>
      </c>
      <c r="B744" s="1" t="n">
        <v>44384</v>
      </c>
      <c r="C744" s="1" t="n">
        <v>46075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Kyrkan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1061-2026</t>
        </is>
      </c>
      <c r="B745" s="1" t="n">
        <v>46030.63935185185</v>
      </c>
      <c r="C745" s="1" t="n">
        <v>46075</v>
      </c>
      <c r="D745" t="inlineStr">
        <is>
          <t>ÖSTERGÖTLANDS LÄN</t>
        </is>
      </c>
      <c r="E745" t="inlineStr">
        <is>
          <t>NORRKÖPING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14509-2025</t>
        </is>
      </c>
      <c r="B746" s="1" t="n">
        <v>45741.63417824074</v>
      </c>
      <c r="C746" s="1" t="n">
        <v>46075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63944-2025</t>
        </is>
      </c>
      <c r="B747" s="1" t="n">
        <v>46010</v>
      </c>
      <c r="C747" s="1" t="n">
        <v>46075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62529-2023</t>
        </is>
      </c>
      <c r="B748" s="1" t="n">
        <v>45268</v>
      </c>
      <c r="C748" s="1" t="n">
        <v>46075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59586-2022</t>
        </is>
      </c>
      <c r="B749" s="1" t="n">
        <v>44907.66710648148</v>
      </c>
      <c r="C749" s="1" t="n">
        <v>46075</v>
      </c>
      <c r="D749" t="inlineStr">
        <is>
          <t>ÖSTERGÖTLANDS LÄN</t>
        </is>
      </c>
      <c r="E749" t="inlineStr">
        <is>
          <t>NORRKÖPING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31359-2023</t>
        </is>
      </c>
      <c r="B750" s="1" t="n">
        <v>45114</v>
      </c>
      <c r="C750" s="1" t="n">
        <v>46075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31361-2023</t>
        </is>
      </c>
      <c r="B751" s="1" t="n">
        <v>45114</v>
      </c>
      <c r="C751" s="1" t="n">
        <v>46075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24233-2025</t>
        </is>
      </c>
      <c r="B752" s="1" t="n">
        <v>45797</v>
      </c>
      <c r="C752" s="1" t="n">
        <v>46075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27503-2022</t>
        </is>
      </c>
      <c r="B753" s="1" t="n">
        <v>44742</v>
      </c>
      <c r="C753" s="1" t="n">
        <v>46075</v>
      </c>
      <c r="D753" t="inlineStr">
        <is>
          <t>ÖSTERGÖTLANDS LÄN</t>
        </is>
      </c>
      <c r="E753" t="inlineStr">
        <is>
          <t>NORRKÖPING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9781-2026</t>
        </is>
      </c>
      <c r="B754" s="1" t="n">
        <v>46072.58601851852</v>
      </c>
      <c r="C754" s="1" t="n">
        <v>46075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53899-2021</t>
        </is>
      </c>
      <c r="B755" s="1" t="n">
        <v>44469</v>
      </c>
      <c r="C755" s="1" t="n">
        <v>46075</v>
      </c>
      <c r="D755" t="inlineStr">
        <is>
          <t>ÖSTERGÖTLANDS LÄN</t>
        </is>
      </c>
      <c r="E755" t="inlineStr">
        <is>
          <t>NORRKÖPING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9787-2026</t>
        </is>
      </c>
      <c r="B756" s="1" t="n">
        <v>46072.59584490741</v>
      </c>
      <c r="C756" s="1" t="n">
        <v>46075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Kyrkan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11140-2025</t>
        </is>
      </c>
      <c r="B757" s="1" t="n">
        <v>45723.66629629629</v>
      </c>
      <c r="C757" s="1" t="n">
        <v>46075</v>
      </c>
      <c r="D757" t="inlineStr">
        <is>
          <t>ÖSTERGÖTLANDS LÄN</t>
        </is>
      </c>
      <c r="E757" t="inlineStr">
        <is>
          <t>NORRKÖPING</t>
        </is>
      </c>
      <c r="G757" t="n">
        <v>13.9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6040-2026</t>
        </is>
      </c>
      <c r="B758" s="1" t="n">
        <v>46050</v>
      </c>
      <c r="C758" s="1" t="n">
        <v>46075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1004-2026</t>
        </is>
      </c>
      <c r="B759" s="1" t="n">
        <v>46030.59546296296</v>
      </c>
      <c r="C759" s="1" t="n">
        <v>46075</v>
      </c>
      <c r="D759" t="inlineStr">
        <is>
          <t>ÖSTERGÖTLANDS LÄN</t>
        </is>
      </c>
      <c r="E759" t="inlineStr">
        <is>
          <t>NORRKÖPING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24634-2025</t>
        </is>
      </c>
      <c r="B760" s="1" t="n">
        <v>45798</v>
      </c>
      <c r="C760" s="1" t="n">
        <v>46075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53363-2024</t>
        </is>
      </c>
      <c r="B761" s="1" t="n">
        <v>45614.46292824074</v>
      </c>
      <c r="C761" s="1" t="n">
        <v>46075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Naturvårdsverket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17503-2022</t>
        </is>
      </c>
      <c r="B762" s="1" t="n">
        <v>44679</v>
      </c>
      <c r="C762" s="1" t="n">
        <v>46075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9528-2024</t>
        </is>
      </c>
      <c r="B763" s="1" t="n">
        <v>45359.68173611111</v>
      </c>
      <c r="C763" s="1" t="n">
        <v>46075</v>
      </c>
      <c r="D763" t="inlineStr">
        <is>
          <t>ÖSTERGÖTLANDS LÄN</t>
        </is>
      </c>
      <c r="E763" t="inlineStr">
        <is>
          <t>NORRKÖPING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53747-2022</t>
        </is>
      </c>
      <c r="B764" s="1" t="n">
        <v>44880.44351851852</v>
      </c>
      <c r="C764" s="1" t="n">
        <v>46075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39401-2021</t>
        </is>
      </c>
      <c r="B765" s="1" t="n">
        <v>44414</v>
      </c>
      <c r="C765" s="1" t="n">
        <v>46075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19113-2023</t>
        </is>
      </c>
      <c r="B766" s="1" t="n">
        <v>45048</v>
      </c>
      <c r="C766" s="1" t="n">
        <v>46075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1277-2023</t>
        </is>
      </c>
      <c r="B767" s="1" t="n">
        <v>44936</v>
      </c>
      <c r="C767" s="1" t="n">
        <v>46075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1281-2023</t>
        </is>
      </c>
      <c r="B768" s="1" t="n">
        <v>44936</v>
      </c>
      <c r="C768" s="1" t="n">
        <v>46075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31813-2023</t>
        </is>
      </c>
      <c r="B769" s="1" t="n">
        <v>45106</v>
      </c>
      <c r="C769" s="1" t="n">
        <v>46075</v>
      </c>
      <c r="D769" t="inlineStr">
        <is>
          <t>ÖSTERGÖTLANDS LÄN</t>
        </is>
      </c>
      <c r="E769" t="inlineStr">
        <is>
          <t>NORRKÖPING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15402-2025</t>
        </is>
      </c>
      <c r="B770" s="1" t="n">
        <v>45747.44502314815</v>
      </c>
      <c r="C770" s="1" t="n">
        <v>46075</v>
      </c>
      <c r="D770" t="inlineStr">
        <is>
          <t>ÖSTERGÖTLANDS LÄN</t>
        </is>
      </c>
      <c r="E770" t="inlineStr">
        <is>
          <t>NORRKÖPING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19318-2025</t>
        </is>
      </c>
      <c r="B771" s="1" t="n">
        <v>45769.57802083333</v>
      </c>
      <c r="C771" s="1" t="n">
        <v>46075</v>
      </c>
      <c r="D771" t="inlineStr">
        <is>
          <t>ÖSTERGÖTLANDS LÄN</t>
        </is>
      </c>
      <c r="E771" t="inlineStr">
        <is>
          <t>NORRKÖPING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19324-2025</t>
        </is>
      </c>
      <c r="B772" s="1" t="n">
        <v>45769</v>
      </c>
      <c r="C772" s="1" t="n">
        <v>46075</v>
      </c>
      <c r="D772" t="inlineStr">
        <is>
          <t>ÖSTERGÖTLANDS LÄN</t>
        </is>
      </c>
      <c r="E772" t="inlineStr">
        <is>
          <t>NORRKÖPING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42173-2023</t>
        </is>
      </c>
      <c r="B773" s="1" t="n">
        <v>45178.4275</v>
      </c>
      <c r="C773" s="1" t="n">
        <v>46075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58525-2021</t>
        </is>
      </c>
      <c r="B774" s="1" t="n">
        <v>44488</v>
      </c>
      <c r="C774" s="1" t="n">
        <v>46075</v>
      </c>
      <c r="D774" t="inlineStr">
        <is>
          <t>ÖSTERGÖTLANDS LÄN</t>
        </is>
      </c>
      <c r="E774" t="inlineStr">
        <is>
          <t>NORRKÖPING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11612-2023</t>
        </is>
      </c>
      <c r="B775" s="1" t="n">
        <v>44994.41405092592</v>
      </c>
      <c r="C775" s="1" t="n">
        <v>46075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16253-2023</t>
        </is>
      </c>
      <c r="B776" s="1" t="n">
        <v>45028</v>
      </c>
      <c r="C776" s="1" t="n">
        <v>46075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21664-2024</t>
        </is>
      </c>
      <c r="B777" s="1" t="n">
        <v>45442.38490740741</v>
      </c>
      <c r="C777" s="1" t="n">
        <v>46075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16590-2024</t>
        </is>
      </c>
      <c r="B778" s="1" t="n">
        <v>45408.49326388889</v>
      </c>
      <c r="C778" s="1" t="n">
        <v>46075</v>
      </c>
      <c r="D778" t="inlineStr">
        <is>
          <t>ÖSTERGÖTLANDS LÄN</t>
        </is>
      </c>
      <c r="E778" t="inlineStr">
        <is>
          <t>NORRKÖPING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31844-2023</t>
        </is>
      </c>
      <c r="B779" s="1" t="n">
        <v>45106</v>
      </c>
      <c r="C779" s="1" t="n">
        <v>46075</v>
      </c>
      <c r="D779" t="inlineStr">
        <is>
          <t>ÖSTERGÖTLANDS LÄN</t>
        </is>
      </c>
      <c r="E779" t="inlineStr">
        <is>
          <t>NORRKÖPING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9722-2025</t>
        </is>
      </c>
      <c r="B780" s="1" t="n">
        <v>45716.40918981482</v>
      </c>
      <c r="C780" s="1" t="n">
        <v>46075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49799-2022</t>
        </is>
      </c>
      <c r="B781" s="1" t="n">
        <v>44862</v>
      </c>
      <c r="C781" s="1" t="n">
        <v>46075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3910-2025</t>
        </is>
      </c>
      <c r="B782" s="1" t="n">
        <v>45684.41622685185</v>
      </c>
      <c r="C782" s="1" t="n">
        <v>46075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18636-2023</t>
        </is>
      </c>
      <c r="B783" s="1" t="n">
        <v>45043.49425925926</v>
      </c>
      <c r="C783" s="1" t="n">
        <v>46075</v>
      </c>
      <c r="D783" t="inlineStr">
        <is>
          <t>ÖSTERGÖTLANDS LÄN</t>
        </is>
      </c>
      <c r="E783" t="inlineStr">
        <is>
          <t>NORRKÖPING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36954-2022</t>
        </is>
      </c>
      <c r="B784" s="1" t="n">
        <v>44805</v>
      </c>
      <c r="C784" s="1" t="n">
        <v>46075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47051-2023</t>
        </is>
      </c>
      <c r="B785" s="1" t="n">
        <v>45201.56556712963</v>
      </c>
      <c r="C785" s="1" t="n">
        <v>46075</v>
      </c>
      <c r="D785" t="inlineStr">
        <is>
          <t>ÖSTERGÖTLANDS LÄN</t>
        </is>
      </c>
      <c r="E785" t="inlineStr">
        <is>
          <t>NORRKÖPING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34393-2023</t>
        </is>
      </c>
      <c r="B786" s="1" t="n">
        <v>45132</v>
      </c>
      <c r="C786" s="1" t="n">
        <v>46075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11641-2024</t>
        </is>
      </c>
      <c r="B787" s="1" t="n">
        <v>45373.48878472222</v>
      </c>
      <c r="C787" s="1" t="n">
        <v>46075</v>
      </c>
      <c r="D787" t="inlineStr">
        <is>
          <t>ÖSTERGÖTLANDS LÄN</t>
        </is>
      </c>
      <c r="E787" t="inlineStr">
        <is>
          <t>NORRKÖPING</t>
        </is>
      </c>
      <c r="G787" t="n">
        <v>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34916-2024</t>
        </is>
      </c>
      <c r="B788" s="1" t="n">
        <v>45527.43385416667</v>
      </c>
      <c r="C788" s="1" t="n">
        <v>46075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11261-2023</t>
        </is>
      </c>
      <c r="B789" s="1" t="n">
        <v>44992</v>
      </c>
      <c r="C789" s="1" t="n">
        <v>46075</v>
      </c>
      <c r="D789" t="inlineStr">
        <is>
          <t>ÖSTERGÖTLANDS LÄN</t>
        </is>
      </c>
      <c r="E789" t="inlineStr">
        <is>
          <t>NORRKÖPING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12727-2022</t>
        </is>
      </c>
      <c r="B790" s="1" t="n">
        <v>44641.78332175926</v>
      </c>
      <c r="C790" s="1" t="n">
        <v>46075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58936-2023</t>
        </is>
      </c>
      <c r="B791" s="1" t="n">
        <v>45252</v>
      </c>
      <c r="C791" s="1" t="n">
        <v>46075</v>
      </c>
      <c r="D791" t="inlineStr">
        <is>
          <t>ÖSTERGÖTLANDS LÄN</t>
        </is>
      </c>
      <c r="E791" t="inlineStr">
        <is>
          <t>NORRKÖPING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10796-2024</t>
        </is>
      </c>
      <c r="B792" s="1" t="n">
        <v>45369.61841435185</v>
      </c>
      <c r="C792" s="1" t="n">
        <v>46075</v>
      </c>
      <c r="D792" t="inlineStr">
        <is>
          <t>ÖSTERGÖTLANDS LÄN</t>
        </is>
      </c>
      <c r="E792" t="inlineStr">
        <is>
          <t>NORRKÖPING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2287-2025</t>
        </is>
      </c>
      <c r="B793" s="1" t="n">
        <v>45673</v>
      </c>
      <c r="C793" s="1" t="n">
        <v>46075</v>
      </c>
      <c r="D793" t="inlineStr">
        <is>
          <t>ÖSTERGÖTLANDS LÄN</t>
        </is>
      </c>
      <c r="E793" t="inlineStr">
        <is>
          <t>NORRKÖPING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33341-2023</t>
        </is>
      </c>
      <c r="B794" s="1" t="n">
        <v>45128</v>
      </c>
      <c r="C794" s="1" t="n">
        <v>46075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17849-2025</t>
        </is>
      </c>
      <c r="B795" s="1" t="n">
        <v>45758.60146990741</v>
      </c>
      <c r="C795" s="1" t="n">
        <v>46075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4471-2025</t>
        </is>
      </c>
      <c r="B796" s="1" t="n">
        <v>45686.61590277778</v>
      </c>
      <c r="C796" s="1" t="n">
        <v>46075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14441-2025</t>
        </is>
      </c>
      <c r="B797" s="1" t="n">
        <v>45741.51940972222</v>
      </c>
      <c r="C797" s="1" t="n">
        <v>46075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29010-2023</t>
        </is>
      </c>
      <c r="B798" s="1" t="n">
        <v>45096</v>
      </c>
      <c r="C798" s="1" t="n">
        <v>46075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59859-2024</t>
        </is>
      </c>
      <c r="B799" s="1" t="n">
        <v>45638</v>
      </c>
      <c r="C799" s="1" t="n">
        <v>46075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57492-2023</t>
        </is>
      </c>
      <c r="B800" s="1" t="n">
        <v>45246.41627314815</v>
      </c>
      <c r="C800" s="1" t="n">
        <v>46075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57496-2023</t>
        </is>
      </c>
      <c r="B801" s="1" t="n">
        <v>45246</v>
      </c>
      <c r="C801" s="1" t="n">
        <v>46075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41381-2023</t>
        </is>
      </c>
      <c r="B802" s="1" t="n">
        <v>45174</v>
      </c>
      <c r="C802" s="1" t="n">
        <v>46075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41382-2023</t>
        </is>
      </c>
      <c r="B803" s="1" t="n">
        <v>45174</v>
      </c>
      <c r="C803" s="1" t="n">
        <v>46075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24354-2024</t>
        </is>
      </c>
      <c r="B804" s="1" t="n">
        <v>45457.59425925926</v>
      </c>
      <c r="C804" s="1" t="n">
        <v>46075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26407-2023</t>
        </is>
      </c>
      <c r="B805" s="1" t="n">
        <v>45092.36790509259</v>
      </c>
      <c r="C805" s="1" t="n">
        <v>46075</v>
      </c>
      <c r="D805" t="inlineStr">
        <is>
          <t>ÖSTERGÖTLANDS LÄN</t>
        </is>
      </c>
      <c r="E805" t="inlineStr">
        <is>
          <t>NORRKÖPING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9512-2023</t>
        </is>
      </c>
      <c r="B806" s="1" t="n">
        <v>44981</v>
      </c>
      <c r="C806" s="1" t="n">
        <v>46075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17248-2024</t>
        </is>
      </c>
      <c r="B807" s="1" t="n">
        <v>45414.3944212963</v>
      </c>
      <c r="C807" s="1" t="n">
        <v>46075</v>
      </c>
      <c r="D807" t="inlineStr">
        <is>
          <t>ÖSTERGÖTLANDS LÄN</t>
        </is>
      </c>
      <c r="E807" t="inlineStr">
        <is>
          <t>NORRKÖPING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59964-2023</t>
        </is>
      </c>
      <c r="B808" s="1" t="n">
        <v>45254</v>
      </c>
      <c r="C808" s="1" t="n">
        <v>46075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16594-2023</t>
        </is>
      </c>
      <c r="B809" s="1" t="n">
        <v>45027</v>
      </c>
      <c r="C809" s="1" t="n">
        <v>46075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18592-2024</t>
        </is>
      </c>
      <c r="B810" s="1" t="n">
        <v>45425.89037037037</v>
      </c>
      <c r="C810" s="1" t="n">
        <v>46075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46270-2024</t>
        </is>
      </c>
      <c r="B811" s="1" t="n">
        <v>45581.62796296296</v>
      </c>
      <c r="C811" s="1" t="n">
        <v>46075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26977-2023</t>
        </is>
      </c>
      <c r="B812" s="1" t="n">
        <v>45091</v>
      </c>
      <c r="C812" s="1" t="n">
        <v>46075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10798-2024</t>
        </is>
      </c>
      <c r="B813" s="1" t="n">
        <v>45369.62108796297</v>
      </c>
      <c r="C813" s="1" t="n">
        <v>46075</v>
      </c>
      <c r="D813" t="inlineStr">
        <is>
          <t>ÖSTERGÖTLANDS LÄN</t>
        </is>
      </c>
      <c r="E813" t="inlineStr">
        <is>
          <t>NORRKÖPING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22698-2023</t>
        </is>
      </c>
      <c r="B814" s="1" t="n">
        <v>45071</v>
      </c>
      <c r="C814" s="1" t="n">
        <v>46075</v>
      </c>
      <c r="D814" t="inlineStr">
        <is>
          <t>ÖSTERGÖTLANDS LÄN</t>
        </is>
      </c>
      <c r="E814" t="inlineStr">
        <is>
          <t>NORRKÖPING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18667-2023</t>
        </is>
      </c>
      <c r="B815" s="1" t="n">
        <v>45043</v>
      </c>
      <c r="C815" s="1" t="n">
        <v>46075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21772-2024</t>
        </is>
      </c>
      <c r="B816" s="1" t="n">
        <v>45442.61221064815</v>
      </c>
      <c r="C816" s="1" t="n">
        <v>46075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29079-2021</t>
        </is>
      </c>
      <c r="B817" s="1" t="n">
        <v>44358</v>
      </c>
      <c r="C817" s="1" t="n">
        <v>46075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13918-2023</t>
        </is>
      </c>
      <c r="B818" s="1" t="n">
        <v>45008</v>
      </c>
      <c r="C818" s="1" t="n">
        <v>46075</v>
      </c>
      <c r="D818" t="inlineStr">
        <is>
          <t>ÖSTERGÖTLANDS LÄN</t>
        </is>
      </c>
      <c r="E818" t="inlineStr">
        <is>
          <t>NORRKÖPING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18714-2025</t>
        </is>
      </c>
      <c r="B819" s="1" t="n">
        <v>45763.64096064815</v>
      </c>
      <c r="C819" s="1" t="n">
        <v>46075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6516-2025</t>
        </is>
      </c>
      <c r="B820" s="1" t="n">
        <v>45699.65944444444</v>
      </c>
      <c r="C820" s="1" t="n">
        <v>46075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6490-2024</t>
        </is>
      </c>
      <c r="B821" s="1" t="n">
        <v>45339.5277199074</v>
      </c>
      <c r="C821" s="1" t="n">
        <v>46075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17851-2025</t>
        </is>
      </c>
      <c r="B822" s="1" t="n">
        <v>45758.60465277778</v>
      </c>
      <c r="C822" s="1" t="n">
        <v>46075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17852-2025</t>
        </is>
      </c>
      <c r="B823" s="1" t="n">
        <v>45758.61055555556</v>
      </c>
      <c r="C823" s="1" t="n">
        <v>46075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26834-2023</t>
        </is>
      </c>
      <c r="B824" s="1" t="n">
        <v>45093.54811342592</v>
      </c>
      <c r="C824" s="1" t="n">
        <v>46075</v>
      </c>
      <c r="D824" t="inlineStr">
        <is>
          <t>ÖSTERGÖTLANDS LÄN</t>
        </is>
      </c>
      <c r="E824" t="inlineStr">
        <is>
          <t>NORRKÖPING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11587-2023</t>
        </is>
      </c>
      <c r="B825" s="1" t="n">
        <v>44992</v>
      </c>
      <c r="C825" s="1" t="n">
        <v>46075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9233-2023</t>
        </is>
      </c>
      <c r="B826" s="1" t="n">
        <v>44980</v>
      </c>
      <c r="C826" s="1" t="n">
        <v>46075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23349-2024</t>
        </is>
      </c>
      <c r="B827" s="1" t="n">
        <v>45453.52299768518</v>
      </c>
      <c r="C827" s="1" t="n">
        <v>46075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59077-2023</t>
        </is>
      </c>
      <c r="B828" s="1" t="n">
        <v>45252.91344907408</v>
      </c>
      <c r="C828" s="1" t="n">
        <v>46075</v>
      </c>
      <c r="D828" t="inlineStr">
        <is>
          <t>ÖSTERGÖTLANDS LÄN</t>
        </is>
      </c>
      <c r="E828" t="inlineStr">
        <is>
          <t>NORRKÖPING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58884-2024</t>
        </is>
      </c>
      <c r="B829" s="1" t="n">
        <v>45636.45025462963</v>
      </c>
      <c r="C829" s="1" t="n">
        <v>46075</v>
      </c>
      <c r="D829" t="inlineStr">
        <is>
          <t>ÖSTERGÖTLANDS LÄN</t>
        </is>
      </c>
      <c r="E829" t="inlineStr">
        <is>
          <t>NORRKÖPING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58901-2024</t>
        </is>
      </c>
      <c r="B830" s="1" t="n">
        <v>45636.4737962963</v>
      </c>
      <c r="C830" s="1" t="n">
        <v>46075</v>
      </c>
      <c r="D830" t="inlineStr">
        <is>
          <t>ÖSTERGÖTLANDS LÄN</t>
        </is>
      </c>
      <c r="E830" t="inlineStr">
        <is>
          <t>NORRKÖPING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12563-2025</t>
        </is>
      </c>
      <c r="B831" s="1" t="n">
        <v>45731.59962962963</v>
      </c>
      <c r="C831" s="1" t="n">
        <v>46075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1506-2022</t>
        </is>
      </c>
      <c r="B832" s="1" t="n">
        <v>44573</v>
      </c>
      <c r="C832" s="1" t="n">
        <v>46075</v>
      </c>
      <c r="D832" t="inlineStr">
        <is>
          <t>ÖSTERGÖTLANDS LÄN</t>
        </is>
      </c>
      <c r="E832" t="inlineStr">
        <is>
          <t>NORRKÖPING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23438-2021</t>
        </is>
      </c>
      <c r="B833" s="1" t="n">
        <v>44333</v>
      </c>
      <c r="C833" s="1" t="n">
        <v>46075</v>
      </c>
      <c r="D833" t="inlineStr">
        <is>
          <t>ÖSTERGÖTLANDS LÄN</t>
        </is>
      </c>
      <c r="E833" t="inlineStr">
        <is>
          <t>NORRKÖPING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5116-2024</t>
        </is>
      </c>
      <c r="B834" s="1" t="n">
        <v>45330</v>
      </c>
      <c r="C834" s="1" t="n">
        <v>46075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14484-2021</t>
        </is>
      </c>
      <c r="B835" s="1" t="n">
        <v>44279</v>
      </c>
      <c r="C835" s="1" t="n">
        <v>46075</v>
      </c>
      <c r="D835" t="inlineStr">
        <is>
          <t>ÖSTERGÖTLANDS LÄN</t>
        </is>
      </c>
      <c r="E835" t="inlineStr">
        <is>
          <t>NORRKÖPING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49617-2022</t>
        </is>
      </c>
      <c r="B836" s="1" t="n">
        <v>44862</v>
      </c>
      <c r="C836" s="1" t="n">
        <v>46075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10003-2025</t>
        </is>
      </c>
      <c r="B837" s="1" t="n">
        <v>45719.4522337963</v>
      </c>
      <c r="C837" s="1" t="n">
        <v>46075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1383-2022</t>
        </is>
      </c>
      <c r="B838" s="1" t="n">
        <v>44573.38521990741</v>
      </c>
      <c r="C838" s="1" t="n">
        <v>46075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15870-2024</t>
        </is>
      </c>
      <c r="B839" s="1" t="n">
        <v>45405</v>
      </c>
      <c r="C839" s="1" t="n">
        <v>46075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30062-2023</t>
        </is>
      </c>
      <c r="B840" s="1" t="n">
        <v>45110</v>
      </c>
      <c r="C840" s="1" t="n">
        <v>46075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22470-2022</t>
        </is>
      </c>
      <c r="B841" s="1" t="n">
        <v>44713.58678240741</v>
      </c>
      <c r="C841" s="1" t="n">
        <v>46075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5941-2024</t>
        </is>
      </c>
      <c r="B842" s="1" t="n">
        <v>45336</v>
      </c>
      <c r="C842" s="1" t="n">
        <v>46075</v>
      </c>
      <c r="D842" t="inlineStr">
        <is>
          <t>ÖSTERGÖTLANDS LÄN</t>
        </is>
      </c>
      <c r="E842" t="inlineStr">
        <is>
          <t>NORRKÖPING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15183-2023</t>
        </is>
      </c>
      <c r="B843" s="1" t="n">
        <v>45016.67141203704</v>
      </c>
      <c r="C843" s="1" t="n">
        <v>46075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30784-2023</t>
        </is>
      </c>
      <c r="B844" s="1" t="n">
        <v>45112</v>
      </c>
      <c r="C844" s="1" t="n">
        <v>46075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18686-2023</t>
        </is>
      </c>
      <c r="B845" s="1" t="n">
        <v>45043</v>
      </c>
      <c r="C845" s="1" t="n">
        <v>46075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26583-2022</t>
        </is>
      </c>
      <c r="B846" s="1" t="n">
        <v>44739.52209490741</v>
      </c>
      <c r="C846" s="1" t="n">
        <v>46075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30564-2021</t>
        </is>
      </c>
      <c r="B847" s="1" t="n">
        <v>44364.78170138889</v>
      </c>
      <c r="C847" s="1" t="n">
        <v>46075</v>
      </c>
      <c r="D847" t="inlineStr">
        <is>
          <t>ÖSTERGÖTLANDS LÄN</t>
        </is>
      </c>
      <c r="E847" t="inlineStr">
        <is>
          <t>NORRKÖPING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3263-2024</t>
        </is>
      </c>
      <c r="B848" s="1" t="n">
        <v>45317</v>
      </c>
      <c r="C848" s="1" t="n">
        <v>46075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19702-2024</t>
        </is>
      </c>
      <c r="B849" s="1" t="n">
        <v>45432.54622685185</v>
      </c>
      <c r="C849" s="1" t="n">
        <v>46075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9542-2025</t>
        </is>
      </c>
      <c r="B850" s="1" t="n">
        <v>45715.5837962963</v>
      </c>
      <c r="C850" s="1" t="n">
        <v>46075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11519-2025</t>
        </is>
      </c>
      <c r="B851" s="1" t="n">
        <v>45726.90959490741</v>
      </c>
      <c r="C851" s="1" t="n">
        <v>46075</v>
      </c>
      <c r="D851" t="inlineStr">
        <is>
          <t>ÖSTERGÖTLANDS LÄN</t>
        </is>
      </c>
      <c r="E851" t="inlineStr">
        <is>
          <t>NORRKÖPING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11144-2025</t>
        </is>
      </c>
      <c r="B852" s="1" t="n">
        <v>45723.67724537037</v>
      </c>
      <c r="C852" s="1" t="n">
        <v>46075</v>
      </c>
      <c r="D852" t="inlineStr">
        <is>
          <t>ÖSTERGÖTLANDS LÄN</t>
        </is>
      </c>
      <c r="E852" t="inlineStr">
        <is>
          <t>NORRKÖPING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16696-2023</t>
        </is>
      </c>
      <c r="B853" s="1" t="n">
        <v>45030.61489583334</v>
      </c>
      <c r="C853" s="1" t="n">
        <v>46075</v>
      </c>
      <c r="D853" t="inlineStr">
        <is>
          <t>ÖSTERGÖTLANDS LÄN</t>
        </is>
      </c>
      <c r="E853" t="inlineStr">
        <is>
          <t>NORRKÖPING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16698-2023</t>
        </is>
      </c>
      <c r="B854" s="1" t="n">
        <v>45030.61744212963</v>
      </c>
      <c r="C854" s="1" t="n">
        <v>46075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59520-2023</t>
        </is>
      </c>
      <c r="B855" s="1" t="n">
        <v>45254</v>
      </c>
      <c r="C855" s="1" t="n">
        <v>46075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BillerudKorsnäs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49869-2021</t>
        </is>
      </c>
      <c r="B856" s="1" t="n">
        <v>44455</v>
      </c>
      <c r="C856" s="1" t="n">
        <v>46075</v>
      </c>
      <c r="D856" t="inlineStr">
        <is>
          <t>ÖSTERGÖTLANDS LÄN</t>
        </is>
      </c>
      <c r="E856" t="inlineStr">
        <is>
          <t>NORRKÖPING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48091-2023</t>
        </is>
      </c>
      <c r="B857" s="1" t="n">
        <v>45205.3119212963</v>
      </c>
      <c r="C857" s="1" t="n">
        <v>46075</v>
      </c>
      <c r="D857" t="inlineStr">
        <is>
          <t>ÖSTERGÖTLANDS LÄN</t>
        </is>
      </c>
      <c r="E857" t="inlineStr">
        <is>
          <t>NORRKÖPING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46738-2022</t>
        </is>
      </c>
      <c r="B858" s="1" t="n">
        <v>44851</v>
      </c>
      <c r="C858" s="1" t="n">
        <v>46075</v>
      </c>
      <c r="D858" t="inlineStr">
        <is>
          <t>ÖSTERGÖTLANDS LÄN</t>
        </is>
      </c>
      <c r="E858" t="inlineStr">
        <is>
          <t>NORRKÖPING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33446-2023</t>
        </is>
      </c>
      <c r="B859" s="1" t="n">
        <v>45129</v>
      </c>
      <c r="C859" s="1" t="n">
        <v>46075</v>
      </c>
      <c r="D859" t="inlineStr">
        <is>
          <t>ÖSTERGÖTLANDS LÄN</t>
        </is>
      </c>
      <c r="E859" t="inlineStr">
        <is>
          <t>NORRKÖPING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28663-2024</t>
        </is>
      </c>
      <c r="B860" s="1" t="n">
        <v>45478.47236111111</v>
      </c>
      <c r="C860" s="1" t="n">
        <v>46075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4770-2023</t>
        </is>
      </c>
      <c r="B861" s="1" t="n">
        <v>44957</v>
      </c>
      <c r="C861" s="1" t="n">
        <v>46075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15640-2024</t>
        </is>
      </c>
      <c r="B862" s="1" t="n">
        <v>45403.86942129629</v>
      </c>
      <c r="C862" s="1" t="n">
        <v>46075</v>
      </c>
      <c r="D862" t="inlineStr">
        <is>
          <t>ÖSTERGÖTLANDS LÄN</t>
        </is>
      </c>
      <c r="E862" t="inlineStr">
        <is>
          <t>NORRKÖPING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16949-2023</t>
        </is>
      </c>
      <c r="B863" s="1" t="n">
        <v>45033</v>
      </c>
      <c r="C863" s="1" t="n">
        <v>46075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48758-2024</t>
        </is>
      </c>
      <c r="B864" s="1" t="n">
        <v>45593.59819444444</v>
      </c>
      <c r="C864" s="1" t="n">
        <v>46075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17714-2023</t>
        </is>
      </c>
      <c r="B865" s="1" t="n">
        <v>45037</v>
      </c>
      <c r="C865" s="1" t="n">
        <v>46075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16689-2023</t>
        </is>
      </c>
      <c r="B866" s="1" t="n">
        <v>45030</v>
      </c>
      <c r="C866" s="1" t="n">
        <v>46075</v>
      </c>
      <c r="D866" t="inlineStr">
        <is>
          <t>ÖSTERGÖTLANDS LÄN</t>
        </is>
      </c>
      <c r="E866" t="inlineStr">
        <is>
          <t>NORRKÖPING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46075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21093-2025</t>
        </is>
      </c>
      <c r="B868" s="1" t="n">
        <v>45777.61991898148</v>
      </c>
      <c r="C868" s="1" t="n">
        <v>46075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11520-2025</t>
        </is>
      </c>
      <c r="B869" s="1" t="n">
        <v>45726.91224537037</v>
      </c>
      <c r="C869" s="1" t="n">
        <v>46075</v>
      </c>
      <c r="D869" t="inlineStr">
        <is>
          <t>ÖSTERGÖTLANDS LÄN</t>
        </is>
      </c>
      <c r="E869" t="inlineStr">
        <is>
          <t>NORRKÖPING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21770-2025</t>
        </is>
      </c>
      <c r="B870" s="1" t="n">
        <v>45783</v>
      </c>
      <c r="C870" s="1" t="n">
        <v>46075</v>
      </c>
      <c r="D870" t="inlineStr">
        <is>
          <t>ÖSTERGÖTLANDS LÄN</t>
        </is>
      </c>
      <c r="E870" t="inlineStr">
        <is>
          <t>NORRKÖPING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21677-2025</t>
        </is>
      </c>
      <c r="B871" s="1" t="n">
        <v>45783.48681712963</v>
      </c>
      <c r="C871" s="1" t="n">
        <v>46075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21542-2025</t>
        </is>
      </c>
      <c r="B872" s="1" t="n">
        <v>45782.66719907407</v>
      </c>
      <c r="C872" s="1" t="n">
        <v>46075</v>
      </c>
      <c r="D872" t="inlineStr">
        <is>
          <t>ÖSTERGÖTLANDS LÄN</t>
        </is>
      </c>
      <c r="E872" t="inlineStr">
        <is>
          <t>NORRKÖPING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1884-2025</t>
        </is>
      </c>
      <c r="B873" s="1" t="n">
        <v>45671.62931712963</v>
      </c>
      <c r="C873" s="1" t="n">
        <v>46075</v>
      </c>
      <c r="D873" t="inlineStr">
        <is>
          <t>ÖSTERGÖTLANDS LÄN</t>
        </is>
      </c>
      <c r="E873" t="inlineStr">
        <is>
          <t>NORRKÖPING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21909-2025</t>
        </is>
      </c>
      <c r="B874" s="1" t="n">
        <v>45784</v>
      </c>
      <c r="C874" s="1" t="n">
        <v>46075</v>
      </c>
      <c r="D874" t="inlineStr">
        <is>
          <t>ÖSTERGÖTLANDS LÄN</t>
        </is>
      </c>
      <c r="E874" t="inlineStr">
        <is>
          <t>NORRKÖPING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21967-2025</t>
        </is>
      </c>
      <c r="B875" s="1" t="n">
        <v>45784.62866898148</v>
      </c>
      <c r="C875" s="1" t="n">
        <v>46075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22439-2025</t>
        </is>
      </c>
      <c r="B876" s="1" t="n">
        <v>45786</v>
      </c>
      <c r="C876" s="1" t="n">
        <v>46075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22307-2025</t>
        </is>
      </c>
      <c r="B877" s="1" t="n">
        <v>45786.36358796297</v>
      </c>
      <c r="C877" s="1" t="n">
        <v>46075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22613-2025</t>
        </is>
      </c>
      <c r="B878" s="1" t="n">
        <v>45789.42597222222</v>
      </c>
      <c r="C878" s="1" t="n">
        <v>46075</v>
      </c>
      <c r="D878" t="inlineStr">
        <is>
          <t>ÖSTERGÖTLANDS LÄN</t>
        </is>
      </c>
      <c r="E878" t="inlineStr">
        <is>
          <t>NORRKÖPING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47484-2024</t>
        </is>
      </c>
      <c r="B879" s="1" t="n">
        <v>45587.58498842592</v>
      </c>
      <c r="C879" s="1" t="n">
        <v>46075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421-2022</t>
        </is>
      </c>
      <c r="B880" s="1" t="n">
        <v>44565</v>
      </c>
      <c r="C880" s="1" t="n">
        <v>46075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26398-2023</t>
        </is>
      </c>
      <c r="B881" s="1" t="n">
        <v>45092.36126157407</v>
      </c>
      <c r="C881" s="1" t="n">
        <v>46075</v>
      </c>
      <c r="D881" t="inlineStr">
        <is>
          <t>ÖSTERGÖTLANDS LÄN</t>
        </is>
      </c>
      <c r="E881" t="inlineStr">
        <is>
          <t>NORRKÖPING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23366-2024</t>
        </is>
      </c>
      <c r="B882" s="1" t="n">
        <v>45453.54733796296</v>
      </c>
      <c r="C882" s="1" t="n">
        <v>46075</v>
      </c>
      <c r="D882" t="inlineStr">
        <is>
          <t>ÖSTERGÖTLANDS LÄN</t>
        </is>
      </c>
      <c r="E882" t="inlineStr">
        <is>
          <t>NORRKÖPING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23368-2024</t>
        </is>
      </c>
      <c r="B883" s="1" t="n">
        <v>45453.55123842593</v>
      </c>
      <c r="C883" s="1" t="n">
        <v>46075</v>
      </c>
      <c r="D883" t="inlineStr">
        <is>
          <t>ÖSTERGÖTLANDS LÄN</t>
        </is>
      </c>
      <c r="E883" t="inlineStr">
        <is>
          <t>NORRKÖPING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2288-2024</t>
        </is>
      </c>
      <c r="B884" s="1" t="n">
        <v>45310.41982638889</v>
      </c>
      <c r="C884" s="1" t="n">
        <v>46075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22881-2025</t>
        </is>
      </c>
      <c r="B885" s="1" t="n">
        <v>45790</v>
      </c>
      <c r="C885" s="1" t="n">
        <v>46075</v>
      </c>
      <c r="D885" t="inlineStr">
        <is>
          <t>ÖSTERGÖTLANDS LÄN</t>
        </is>
      </c>
      <c r="E885" t="inlineStr">
        <is>
          <t>NORRKÖPING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23452-2025</t>
        </is>
      </c>
      <c r="B886" s="1" t="n">
        <v>45792.42109953704</v>
      </c>
      <c r="C886" s="1" t="n">
        <v>46075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23456-2025</t>
        </is>
      </c>
      <c r="B887" s="1" t="n">
        <v>45792.42542824074</v>
      </c>
      <c r="C887" s="1" t="n">
        <v>46075</v>
      </c>
      <c r="D887" t="inlineStr">
        <is>
          <t>ÖSTERGÖTLANDS LÄN</t>
        </is>
      </c>
      <c r="E887" t="inlineStr">
        <is>
          <t>NORRKÖPING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60800-2023</t>
        </is>
      </c>
      <c r="B888" s="1" t="n">
        <v>45259</v>
      </c>
      <c r="C888" s="1" t="n">
        <v>46075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23954-2025</t>
        </is>
      </c>
      <c r="B889" s="1" t="n">
        <v>45796.36326388889</v>
      </c>
      <c r="C889" s="1" t="n">
        <v>46075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3018-2025</t>
        </is>
      </c>
      <c r="B890" s="1" t="n">
        <v>45678.57503472222</v>
      </c>
      <c r="C890" s="1" t="n">
        <v>46075</v>
      </c>
      <c r="D890" t="inlineStr">
        <is>
          <t>ÖSTERGÖTLANDS LÄN</t>
        </is>
      </c>
      <c r="E890" t="inlineStr">
        <is>
          <t>NORRKÖPING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24246-2025</t>
        </is>
      </c>
      <c r="B891" s="1" t="n">
        <v>45797.39876157408</v>
      </c>
      <c r="C891" s="1" t="n">
        <v>46075</v>
      </c>
      <c r="D891" t="inlineStr">
        <is>
          <t>ÖSTERGÖTLANDS LÄN</t>
        </is>
      </c>
      <c r="E891" t="inlineStr">
        <is>
          <t>NORRKÖPING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24049-2025</t>
        </is>
      </c>
      <c r="B892" s="1" t="n">
        <v>45796.49842592593</v>
      </c>
      <c r="C892" s="1" t="n">
        <v>46075</v>
      </c>
      <c r="D892" t="inlineStr">
        <is>
          <t>ÖSTERGÖTLANDS LÄN</t>
        </is>
      </c>
      <c r="E892" t="inlineStr">
        <is>
          <t>NORRKÖPING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23912-2025</t>
        </is>
      </c>
      <c r="B893" s="1" t="n">
        <v>45794.82583333334</v>
      </c>
      <c r="C893" s="1" t="n">
        <v>46075</v>
      </c>
      <c r="D893" t="inlineStr">
        <is>
          <t>ÖSTERGÖTLANDS LÄN</t>
        </is>
      </c>
      <c r="E893" t="inlineStr">
        <is>
          <t>NORRKÖPING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23909-2025</t>
        </is>
      </c>
      <c r="B894" s="1" t="n">
        <v>45794.81975694445</v>
      </c>
      <c r="C894" s="1" t="n">
        <v>46075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24555-2025</t>
        </is>
      </c>
      <c r="B895" s="1" t="n">
        <v>45798.45043981481</v>
      </c>
      <c r="C895" s="1" t="n">
        <v>46075</v>
      </c>
      <c r="D895" t="inlineStr">
        <is>
          <t>ÖSTERGÖTLANDS LÄN</t>
        </is>
      </c>
      <c r="E895" t="inlineStr">
        <is>
          <t>NORRKÖPING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16582-2024</t>
        </is>
      </c>
      <c r="B896" s="1" t="n">
        <v>45408</v>
      </c>
      <c r="C896" s="1" t="n">
        <v>46075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42514-2024</t>
        </is>
      </c>
      <c r="B897" s="1" t="n">
        <v>45565.5381712963</v>
      </c>
      <c r="C897" s="1" t="n">
        <v>46075</v>
      </c>
      <c r="D897" t="inlineStr">
        <is>
          <t>ÖSTERGÖTLANDS LÄN</t>
        </is>
      </c>
      <c r="E897" t="inlineStr">
        <is>
          <t>NORRKÖPING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24684-2025</t>
        </is>
      </c>
      <c r="B898" s="1" t="n">
        <v>45798.66228009259</v>
      </c>
      <c r="C898" s="1" t="n">
        <v>46075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40068-2024</t>
        </is>
      </c>
      <c r="B899" s="1" t="n">
        <v>45554.28857638889</v>
      </c>
      <c r="C899" s="1" t="n">
        <v>46075</v>
      </c>
      <c r="D899" t="inlineStr">
        <is>
          <t>ÖSTERGÖTLANDS LÄN</t>
        </is>
      </c>
      <c r="E899" t="inlineStr">
        <is>
          <t>NORRKÖPING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10770-2025</t>
        </is>
      </c>
      <c r="B900" s="1" t="n">
        <v>45722.46946759259</v>
      </c>
      <c r="C900" s="1" t="n">
        <v>46075</v>
      </c>
      <c r="D900" t="inlineStr">
        <is>
          <t>ÖSTERGÖTLANDS LÄN</t>
        </is>
      </c>
      <c r="E900" t="inlineStr">
        <is>
          <t>NORRKÖPING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25546-2025</t>
        </is>
      </c>
      <c r="B901" s="1" t="n">
        <v>45803.43815972222</v>
      </c>
      <c r="C901" s="1" t="n">
        <v>46075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18474-2025</t>
        </is>
      </c>
      <c r="B902" s="1" t="n">
        <v>45762.76337962963</v>
      </c>
      <c r="C902" s="1" t="n">
        <v>46075</v>
      </c>
      <c r="D902" t="inlineStr">
        <is>
          <t>ÖSTERGÖTLANDS LÄN</t>
        </is>
      </c>
      <c r="E902" t="inlineStr">
        <is>
          <t>NORRKÖPING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25949-2025</t>
        </is>
      </c>
      <c r="B903" s="1" t="n">
        <v>45804.59579861111</v>
      </c>
      <c r="C903" s="1" t="n">
        <v>46075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Kommuner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10834-2024</t>
        </is>
      </c>
      <c r="B904" s="1" t="n">
        <v>45369</v>
      </c>
      <c r="C904" s="1" t="n">
        <v>46075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28039-2025</t>
        </is>
      </c>
      <c r="B905" s="1" t="n">
        <v>45817.64487268519</v>
      </c>
      <c r="C905" s="1" t="n">
        <v>46075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2026-02-22T11:03:24Z</dcterms:created>
  <dcterms:modified xmlns:dcterms="http://purl.org/dc/terms/" xmlns:xsi="http://www.w3.org/2001/XMLSchema-instance" xsi:type="dcterms:W3CDTF">2026-02-22T11:03:25Z</dcterms:modified>
</cp:coreProperties>
</file>