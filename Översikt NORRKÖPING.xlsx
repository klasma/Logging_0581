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46280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46280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46280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46280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12279-2026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46087</v>
      </c>
      <c r="E8" s="1" t="n">
        <v>46280</v>
      </c>
      <c r="F8" t="inlineStr">
        <is>
          <t>ÖSTERGÖTLANDS LÄN</t>
        </is>
      </c>
      <c r="G8" t="inlineStr">
        <is>
          <t>NORRKÖPING</t>
        </is>
      </c>
      <c r="H8" t="inlineStr">
        <is>
          <t>Allmännings- och besparingsskogar</t>
        </is>
      </c>
      <c r="I8" t="n">
        <v>6.9</v>
      </c>
      <c r="J8" t="n">
        <v>4</v>
      </c>
      <c r="K8" t="n">
        <v>4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13</v>
      </c>
      <c r="T8" t="n">
        <v>28</v>
      </c>
      <c r="U8" t="n">
        <v>28</v>
      </c>
      <c r="V8" s="2" t="inlineStr">
        <is>
          <t>Knärot
Dropptaggsvamp
Grönhjon
Orange taggsvamp
Reliktbock
Tallticka
Talltita
Granbarkgnagare
Grovticka
Mindre märgborre
Stubbspretmossa
Spillkråka
Lopplummer (aggregat)</t>
        </is>
      </c>
      <c r="W8">
        <f>HYPERLINK("https://klasma.github.io/Logging_0581/artfynd/A 12279-2026 artfynd.xlsx", "A 12279-2026")</f>
        <v/>
      </c>
      <c r="X8">
        <f>HYPERLINK("https://klasma.github.io/Logging_0581/kartor/A 12279-2026 karta.png", "A 12279-2026")</f>
        <v/>
      </c>
      <c r="Y8">
        <f>HYPERLINK("https://klasma.github.io/Logging_0581/kartor_geotiff/A 12279-2026 georefererad karta.tif", "A 12279-2026")</f>
        <v/>
      </c>
      <c r="Z8">
        <f>HYPERLINK("https://klasma.github.io/Logging_0581/knärot/A 12279-2026 karta knärot.png", "A 12279-2026")</f>
        <v/>
      </c>
      <c r="AA8">
        <f>HYPERLINK("https://klasma.github.io/Logging_0581/klagomål/A 12279-2026 FSC-klagomål.docx", "A 12279-2026")</f>
        <v/>
      </c>
      <c r="AB8">
        <f>HYPERLINK("https://klasma.github.io/Logging_0581/klagomålsmail/A 12279-2026 FSC-klagomål mail.docx", "A 12279-2026")</f>
        <v/>
      </c>
      <c r="AC8">
        <f>HYPERLINK("https://klasma.github.io/Logging_0581/tillsyn/A 12279-2026 tillsynsbegäran.docx", "A 12279-2026")</f>
        <v/>
      </c>
      <c r="AD8">
        <f>HYPERLINK("https://klasma.github.io/Logging_0581/tillsynsmail/A 12279-2026 tillsynsbegäran mail.docx", "A 12279-2026")</f>
        <v/>
      </c>
      <c r="AE8">
        <f>HYPERLINK("https://klasma.github.io/Logging_0581/fåglar/A 12279-2026 prioriterade fågelarter.docx", "A 12279-2026")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46280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46280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46280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45701-2024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45579</v>
      </c>
      <c r="E12" s="1" t="n">
        <v>46280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12.1</v>
      </c>
      <c r="J12" t="n">
        <v>1</v>
      </c>
      <c r="K12" t="n">
        <v>5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13</v>
      </c>
      <c r="T12" t="n">
        <v>86</v>
      </c>
      <c r="U12" t="n">
        <v>77</v>
      </c>
      <c r="V12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2">
        <f>HYPERLINK("https://klasma.github.io/Logging_0581/artfynd/A 45701-2024 artfynd.xlsx", "A 45701-2024")</f>
        <v/>
      </c>
      <c r="X12">
        <f>HYPERLINK("https://klasma.github.io/Logging_0581/kartor/A 45701-2024 karta.png", "A 45701-2024")</f>
        <v/>
      </c>
      <c r="Y12">
        <f>HYPERLINK("https://klasma.github.io/Logging_0581/kartor_geotiff/A 45701-2024 georefererad karta.tif", "A 45701-2024")</f>
        <v/>
      </c>
      <c r="Z12">
        <f>HYPERLINK("https://klasma.github.io/Logging_0581/knärot/A 45701-2024 karta knärot.png", "A 45701-2024")</f>
        <v/>
      </c>
      <c r="AA12">
        <f>HYPERLINK("https://klasma.github.io/Logging_0581/klagomål/A 45701-2024 FSC-klagomål.docx", "A 45701-2024")</f>
        <v/>
      </c>
      <c r="AB12">
        <f>HYPERLINK("https://klasma.github.io/Logging_0581/klagomålsmail/A 45701-2024 FSC-klagomål mail.docx", "A 45701-2024")</f>
        <v/>
      </c>
      <c r="AC12">
        <f>HYPERLINK("https://klasma.github.io/Logging_0581/tillsyn/A 45701-2024 tillsynsbegäran.docx", "A 45701-2024")</f>
        <v/>
      </c>
      <c r="AD12">
        <f>HYPERLINK("https://klasma.github.io/Logging_0581/tillsynsmail/A 45701-2024 tillsynsbegäran mail.docx", "A 45701-2024")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46280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46280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46280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46280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46280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46280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46280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46280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11</v>
      </c>
      <c r="U20" t="n">
        <v>11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46280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11693-2026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46084</v>
      </c>
      <c r="E22" s="1" t="n">
        <v>46280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Allmännings- och besparingsskogar</t>
        </is>
      </c>
      <c r="I22" t="n">
        <v>4</v>
      </c>
      <c r="J22" t="n">
        <v>2</v>
      </c>
      <c r="K22" t="n">
        <v>5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8</v>
      </c>
      <c r="T22" t="n">
        <v>17</v>
      </c>
      <c r="U22" t="n">
        <v>17</v>
      </c>
      <c r="V22" s="2" t="inlineStr">
        <is>
          <t>Knärot
Orange taggsvamp
Blåmossa
Granbarkgnagare
Grovticka
Grönpyrola
Stubbspretmossa
Spillkråka</t>
        </is>
      </c>
      <c r="W22">
        <f>HYPERLINK("https://klasma.github.io/Logging_0581/artfynd/A 11693-2026 artfynd.xlsx", "A 11693-2026")</f>
        <v/>
      </c>
      <c r="X22">
        <f>HYPERLINK("https://klasma.github.io/Logging_0581/kartor/A 11693-2026 karta.png", "A 11693-2026")</f>
        <v/>
      </c>
      <c r="Y22">
        <f>HYPERLINK("https://klasma.github.io/Logging_0581/kartor_geotiff/A 11693-2026 georefererad karta.tif", "A 11693-2026")</f>
        <v/>
      </c>
      <c r="Z22">
        <f>HYPERLINK("https://klasma.github.io/Logging_0581/knärot/A 11693-2026 karta knärot.png", "A 11693-2026")</f>
        <v/>
      </c>
      <c r="AA22">
        <f>HYPERLINK("https://klasma.github.io/Logging_0581/klagomål/A 11693-2026 FSC-klagomål.docx", "A 11693-2026")</f>
        <v/>
      </c>
      <c r="AB22">
        <f>HYPERLINK("https://klasma.github.io/Logging_0581/klagomålsmail/A 11693-2026 FSC-klagomål mail.docx", "A 11693-2026")</f>
        <v/>
      </c>
      <c r="AC22">
        <f>HYPERLINK("https://klasma.github.io/Logging_0581/tillsyn/A 11693-2026 tillsynsbegäran.docx", "A 11693-2026")</f>
        <v/>
      </c>
      <c r="AD22">
        <f>HYPERLINK("https://klasma.github.io/Logging_0581/tillsynsmail/A 11693-2026 tillsynsbegäran mail.docx", "A 11693-2026")</f>
        <v/>
      </c>
      <c r="AE22">
        <f>HYPERLINK("https://klasma.github.io/Logging_0581/fåglar/A 11693-2026 prioriterade fågelarter.docx", "A 11693-2026")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46280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21520-2024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46280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7.2</v>
      </c>
      <c r="J24" t="n">
        <v>1</v>
      </c>
      <c r="K24" t="n">
        <v>3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8</v>
      </c>
      <c r="T24" t="n">
        <v>9</v>
      </c>
      <c r="U24" t="n">
        <v>9</v>
      </c>
      <c r="V24" s="2" t="inlineStr">
        <is>
          <t>Dvärgbägarlav
Gransotdyna
Ullticka
Vedskivlav
Blodticka
Blåmossa
Grönpyrola
Kopparödla</t>
        </is>
      </c>
      <c r="W24">
        <f>HYPERLINK("https://klasma.github.io/Logging_0581/artfynd/A 21520-2024 artfynd.xlsx", "A 21520-2024")</f>
        <v/>
      </c>
      <c r="X24">
        <f>HYPERLINK("https://klasma.github.io/Logging_0581/kartor/A 21520-2024 karta.png", "A 21520-2024")</f>
        <v/>
      </c>
      <c r="Y24">
        <f>HYPERLINK("https://klasma.github.io/Logging_0581/kartor_geotiff/A 21520-2024 georefererad karta.tif", "A 21520-2024")</f>
        <v/>
      </c>
      <c r="AA24">
        <f>HYPERLINK("https://klasma.github.io/Logging_0581/klagomål/A 21520-2024 FSC-klagomål.docx", "A 21520-2024")</f>
        <v/>
      </c>
      <c r="AB24">
        <f>HYPERLINK("https://klasma.github.io/Logging_0581/klagomålsmail/A 21520-2024 FSC-klagomål mail.docx", "A 21520-2024")</f>
        <v/>
      </c>
      <c r="AC24">
        <f>HYPERLINK("https://klasma.github.io/Logging_0581/tillsyn/A 21520-2024 tillsynsbegäran.docx", "A 21520-2024")</f>
        <v/>
      </c>
      <c r="AD24">
        <f>HYPERLINK("https://klasma.github.io/Logging_0581/tillsynsmail/A 21520-2024 tillsynsbegäran mail.docx", "A 21520-2024")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46280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46280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28141-2026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46280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0</v>
      </c>
      <c r="K27" t="n">
        <v>6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7</v>
      </c>
      <c r="T27" t="n">
        <v>8</v>
      </c>
      <c r="U27" t="n">
        <v>8</v>
      </c>
      <c r="V27" s="2" t="inlineStr">
        <is>
          <t>Tallticka
Brandticka
Fällmossa
Grovticka
Guldlockmossa
Mindre märgborre
Platt fjädermossa</t>
        </is>
      </c>
      <c r="W27">
        <f>HYPERLINK("https://klasma.github.io/Logging_0581/artfynd/A 28141-2026 artfynd.xlsx", "A 28141-2026")</f>
        <v/>
      </c>
      <c r="X27">
        <f>HYPERLINK("https://klasma.github.io/Logging_0581/kartor/A 28141-2026 karta.png", "A 28141-2026")</f>
        <v/>
      </c>
      <c r="Y27">
        <f>HYPERLINK("https://klasma.github.io/Logging_0581/kartor_geotiff/A 28141-2026 georefererad karta.tif", "A 28141-2026")</f>
        <v/>
      </c>
      <c r="AA27">
        <f>HYPERLINK("https://klasma.github.io/Logging_0581/klagomål/A 28141-2026 FSC-klagomål.docx", "A 28141-2026")</f>
        <v/>
      </c>
      <c r="AB27">
        <f>HYPERLINK("https://klasma.github.io/Logging_0581/klagomålsmail/A 28141-2026 FSC-klagomål mail.docx", "A 28141-2026")</f>
        <v/>
      </c>
      <c r="AC27">
        <f>HYPERLINK("https://klasma.github.io/Logging_0581/tillsyn/A 28141-2026 tillsynsbegäran.docx", "A 28141-2026")</f>
        <v/>
      </c>
      <c r="AD27">
        <f>HYPERLINK("https://klasma.github.io/Logging_0581/tillsynsmail/A 28141-2026 tillsynsbegäran mail.docx", "A 28141-2026")</f>
        <v/>
      </c>
    </row>
    <row r="28" ht="15" customHeight="1">
      <c r="A28" t="inlineStr">
        <is>
          <t>A 11100-2025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45723</v>
      </c>
      <c r="E28" s="1" t="n">
        <v>46280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2</v>
      </c>
      <c r="J28" t="n">
        <v>2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7</v>
      </c>
      <c r="T28" t="n">
        <v>13</v>
      </c>
      <c r="U28" t="n">
        <v>13</v>
      </c>
      <c r="V28" s="2" t="inlineStr">
        <is>
          <t>Fällmossa
Guldlockmossa
Platt fjädermossa
Scharlakansvårskål agg.
Trubbfjädermossa
Blåsippa
Spillkråka</t>
        </is>
      </c>
      <c r="W28">
        <f>HYPERLINK("https://klasma.github.io/Logging_0581/artfynd/A 11100-2025 artfynd.xlsx", "A 11100-2025")</f>
        <v/>
      </c>
      <c r="X28">
        <f>HYPERLINK("https://klasma.github.io/Logging_0581/kartor/A 11100-2025 karta.png", "A 11100-2025")</f>
        <v/>
      </c>
      <c r="Y28">
        <f>HYPERLINK("https://klasma.github.io/Logging_0581/kartor_geotiff/A 11100-2025 georefererad karta.tif", "A 11100-2025")</f>
        <v/>
      </c>
      <c r="AA28">
        <f>HYPERLINK("https://klasma.github.io/Logging_0581/klagomål/A 11100-2025 FSC-klagomål.docx", "A 11100-2025")</f>
        <v/>
      </c>
      <c r="AB28">
        <f>HYPERLINK("https://klasma.github.io/Logging_0581/klagomålsmail/A 11100-2025 FSC-klagomål mail.docx", "A 11100-2025")</f>
        <v/>
      </c>
      <c r="AC28">
        <f>HYPERLINK("https://klasma.github.io/Logging_0581/tillsyn/A 11100-2025 tillsynsbegäran.docx", "A 11100-2025")</f>
        <v/>
      </c>
      <c r="AD28">
        <f>HYPERLINK("https://klasma.github.io/Logging_0581/tillsynsmail/A 11100-2025 tillsynsbegäran mail.docx", "A 11100-2025")</f>
        <v/>
      </c>
      <c r="AE28">
        <f>HYPERLINK("https://klasma.github.io/Logging_0581/fåglar/A 11100-2025 prioriterade fågelarter.docx", "A 11100-2025")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46280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46280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46280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46280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46280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46280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2165-2022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46280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BillerudKorsnäs AB</t>
        </is>
      </c>
      <c r="I35" t="n">
        <v>2.1</v>
      </c>
      <c r="J35" t="n">
        <v>3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Röd skogslilja
Granbarkgnagare
Purpurknipprot
Stubbspretmossa
Blåsippa</t>
        </is>
      </c>
      <c r="W35">
        <f>HYPERLINK("https://klasma.github.io/Logging_0581/artfynd/A 2165-2022 artfynd.xlsx", "A 2165-2022")</f>
        <v/>
      </c>
      <c r="X35">
        <f>HYPERLINK("https://klasma.github.io/Logging_0581/kartor/A 2165-2022 karta.png", "A 2165-2022")</f>
        <v/>
      </c>
      <c r="Y35">
        <f>HYPERLINK("https://klasma.github.io/Logging_0581/kartor_geotiff/A 2165-2022 georefererad karta.tif", "A 2165-2022")</f>
        <v/>
      </c>
      <c r="AA35">
        <f>HYPERLINK("https://klasma.github.io/Logging_0581/klagomål/A 2165-2022 FSC-klagomål.docx", "A 2165-2022")</f>
        <v/>
      </c>
      <c r="AB35">
        <f>HYPERLINK("https://klasma.github.io/Logging_0581/klagomålsmail/A 2165-2022 FSC-klagomål mail.docx", "A 2165-2022")</f>
        <v/>
      </c>
      <c r="AC35">
        <f>HYPERLINK("https://klasma.github.io/Logging_0581/tillsyn/A 2165-2022 tillsynsbegäran.docx", "A 2165-2022")</f>
        <v/>
      </c>
      <c r="AD35">
        <f>HYPERLINK("https://klasma.github.io/Logging_0581/tillsynsmail/A 2165-2022 tillsynsbegäran mail.docx", "A 2165-2022")</f>
        <v/>
      </c>
    </row>
    <row r="36" ht="15" customHeight="1">
      <c r="A36" t="inlineStr">
        <is>
          <t>A 19113-2023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46280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2.6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6</v>
      </c>
      <c r="U36" t="n">
        <v>3</v>
      </c>
      <c r="V36" s="2" t="inlineStr">
        <is>
          <t>Tofsmes
Fläcknycklar
Grönvit nattviol
Revlummer
Äkta lopplummer</t>
        </is>
      </c>
      <c r="W36">
        <f>HYPERLINK("https://klasma.github.io/Logging_0581/artfynd/A 19113-2023 artfynd.xlsx", "A 19113-2023")</f>
        <v/>
      </c>
      <c r="X36">
        <f>HYPERLINK("https://klasma.github.io/Logging_0581/kartor/A 19113-2023 karta.png", "A 19113-2023")</f>
        <v/>
      </c>
      <c r="Y36">
        <f>HYPERLINK("https://klasma.github.io/Logging_0581/kartor_geotiff/A 19113-2023 georefererad karta.tif", "A 19113-2023")</f>
        <v/>
      </c>
      <c r="AA36">
        <f>HYPERLINK("https://klasma.github.io/Logging_0581/klagomål/A 19113-2023 FSC-klagomål.docx", "A 19113-2023")</f>
        <v/>
      </c>
      <c r="AB36">
        <f>HYPERLINK("https://klasma.github.io/Logging_0581/klagomålsmail/A 19113-2023 FSC-klagomål mail.docx", "A 19113-2023")</f>
        <v/>
      </c>
      <c r="AC36">
        <f>HYPERLINK("https://klasma.github.io/Logging_0581/tillsyn/A 19113-2023 tillsynsbegäran.docx", "A 19113-2023")</f>
        <v/>
      </c>
      <c r="AD36">
        <f>HYPERLINK("https://klasma.github.io/Logging_0581/tillsynsmail/A 19113-2023 tillsynsbegäran mail.docx", "A 19113-2023")</f>
        <v/>
      </c>
    </row>
    <row r="37" ht="15" customHeight="1">
      <c r="A37" t="inlineStr">
        <is>
          <t>A 5941-2024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45336</v>
      </c>
      <c r="E37" s="1" t="n">
        <v>46280</v>
      </c>
      <c r="F37" t="inlineStr">
        <is>
          <t>ÖSTERGÖTLANDS LÄN</t>
        </is>
      </c>
      <c r="G37" t="inlineStr">
        <is>
          <t>NORRKÖPING</t>
        </is>
      </c>
      <c r="I37" t="n">
        <v>5.1</v>
      </c>
      <c r="J37" t="n">
        <v>4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Entita
Nordfladdermus
Slåtterfibbla
Dvärgpipistrell
Större brunfladdermus</t>
        </is>
      </c>
      <c r="W37">
        <f>HYPERLINK("https://klasma.github.io/Logging_0581/artfynd/A 5941-2024 artfynd.xlsx", "A 5941-2024")</f>
        <v/>
      </c>
      <c r="X37">
        <f>HYPERLINK("https://klasma.github.io/Logging_0581/kartor/A 5941-2024 karta.png", "A 5941-2024")</f>
        <v/>
      </c>
      <c r="Y37">
        <f>HYPERLINK("https://klasma.github.io/Logging_0581/kartor_geotiff/A 5941-2024 georefererad karta.tif", "A 5941-2024")</f>
        <v/>
      </c>
      <c r="AA37">
        <f>HYPERLINK("https://klasma.github.io/Logging_0581/klagomål/A 5941-2024 FSC-klagomål.docx", "A 5941-2024")</f>
        <v/>
      </c>
      <c r="AB37">
        <f>HYPERLINK("https://klasma.github.io/Logging_0581/klagomålsmail/A 5941-2024 FSC-klagomål mail.docx", "A 5941-2024")</f>
        <v/>
      </c>
      <c r="AC37">
        <f>HYPERLINK("https://klasma.github.io/Logging_0581/tillsyn/A 5941-2024 tillsynsbegäran.docx", "A 5941-2024")</f>
        <v/>
      </c>
      <c r="AD37">
        <f>HYPERLINK("https://klasma.github.io/Logging_0581/tillsynsmail/A 5941-2024 tillsynsbegäran mail.docx", "A 5941-2024")</f>
        <v/>
      </c>
      <c r="AE37">
        <f>HYPERLINK("https://klasma.github.io/Logging_0581/fåglar/A 5941-2024 prioriterade fågelarter.docx", "A 5941-2024")</f>
        <v/>
      </c>
    </row>
    <row r="38" ht="15" customHeight="1">
      <c r="A38" t="inlineStr">
        <is>
          <t>A 21536-2025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46280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HYPERLINK("https://klasma.github.io/Logging_0581/artfynd/A 21536-2025 artfynd.xlsx", "A 21536-2025")</f>
        <v/>
      </c>
      <c r="X38">
        <f>HYPERLINK("https://klasma.github.io/Logging_0581/kartor/A 21536-2025 karta.png", "A 21536-2025")</f>
        <v/>
      </c>
      <c r="Y38">
        <f>HYPERLINK("https://klasma.github.io/Logging_0581/kartor_geotiff/A 21536-2025 georefererad karta.tif", "A 21536-2025")</f>
        <v/>
      </c>
      <c r="AA38">
        <f>HYPERLINK("https://klasma.github.io/Logging_0581/klagomål/A 21536-2025 FSC-klagomål.docx", "A 21536-2025")</f>
        <v/>
      </c>
      <c r="AB38">
        <f>HYPERLINK("https://klasma.github.io/Logging_0581/klagomålsmail/A 21536-2025 FSC-klagomål mail.docx", "A 21536-2025")</f>
        <v/>
      </c>
      <c r="AC38">
        <f>HYPERLINK("https://klasma.github.io/Logging_0581/tillsyn/A 21536-2025 tillsynsbegäran.docx", "A 21536-2025")</f>
        <v/>
      </c>
      <c r="AD38">
        <f>HYPERLINK("https://klasma.github.io/Logging_0581/tillsynsmail/A 21536-2025 tillsynsbegäran mail.docx", "A 21536-2025")</f>
        <v/>
      </c>
    </row>
    <row r="39" ht="15" customHeight="1">
      <c r="A39" t="inlineStr">
        <is>
          <t>S 1484-2025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45789</v>
      </c>
      <c r="E39" s="1" t="n">
        <v>46280</v>
      </c>
      <c r="F39" t="inlineStr">
        <is>
          <t>ÖSTERGÖTLANDS LÄN</t>
        </is>
      </c>
      <c r="G39" t="inlineStr">
        <is>
          <t>NORRKÖPING</t>
        </is>
      </c>
      <c r="I39" t="n">
        <v>6.2</v>
      </c>
      <c r="J39" t="n">
        <v>1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Reliktbock
Tjockfotad fingersvamp
Grovticka
Grön sköldmossa
Stubbspretmossa</t>
        </is>
      </c>
      <c r="W39">
        <f>HYPERLINK("https://klasma.github.io/Logging_0581/artfynd/S 1484-2025 artfynd.xlsx", "S 1484-2025")</f>
        <v/>
      </c>
      <c r="X39">
        <f>HYPERLINK("https://klasma.github.io/Logging_0581/kartor/S 1484-2025 karta.png", "S 1484-2025")</f>
        <v/>
      </c>
      <c r="Y39">
        <f>HYPERLINK("https://klasma.github.io/Logging_0581/kartor_geotiff/S 1484-2025 georefererad karta.tif", "S 1484-2025")</f>
        <v/>
      </c>
      <c r="AA39">
        <f>HYPERLINK("https://klasma.github.io/Logging_0581/klagomål/S 1484-2025 FSC-klagomål.docx", "S 1484-2025")</f>
        <v/>
      </c>
      <c r="AB39">
        <f>HYPERLINK("https://klasma.github.io/Logging_0581/klagomålsmail/S 1484-2025 FSC-klagomål mail.docx", "S 1484-2025")</f>
        <v/>
      </c>
      <c r="AC39">
        <f>HYPERLINK("https://klasma.github.io/Logging_0581/tillsyn/S 1484-2025 tillsynsbegäran.docx", "S 1484-2025")</f>
        <v/>
      </c>
      <c r="AD39">
        <f>HYPERLINK("https://klasma.github.io/Logging_0581/tillsynsmail/S 1484-2025 tillsynsbegäran mail.docx", "S 1484-2025")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46280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46280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46280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18267-2024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45421</v>
      </c>
      <c r="E43" s="1" t="n">
        <v>46280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1.4</v>
      </c>
      <c r="J43" t="n">
        <v>2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Mörk kolflarnlav
Gullgröppa
Tjäder
Fläcknycklar</t>
        </is>
      </c>
      <c r="W43">
        <f>HYPERLINK("https://klasma.github.io/Logging_0581/artfynd/A 18267-2024 artfynd.xlsx", "A 18267-2024")</f>
        <v/>
      </c>
      <c r="X43">
        <f>HYPERLINK("https://klasma.github.io/Logging_0581/kartor/A 18267-2024 karta.png", "A 18267-2024")</f>
        <v/>
      </c>
      <c r="Y43">
        <f>HYPERLINK("https://klasma.github.io/Logging_0581/kartor_geotiff/A 18267-2024 georefererad karta.tif", "A 18267-2024")</f>
        <v/>
      </c>
      <c r="AA43">
        <f>HYPERLINK("https://klasma.github.io/Logging_0581/klagomål/A 18267-2024 FSC-klagomål.docx", "A 18267-2024")</f>
        <v/>
      </c>
      <c r="AB43">
        <f>HYPERLINK("https://klasma.github.io/Logging_0581/klagomålsmail/A 18267-2024 FSC-klagomål mail.docx", "A 18267-2024")</f>
        <v/>
      </c>
      <c r="AC43">
        <f>HYPERLINK("https://klasma.github.io/Logging_0581/tillsyn/A 18267-2024 tillsynsbegäran.docx", "A 18267-2024")</f>
        <v/>
      </c>
      <c r="AD43">
        <f>HYPERLINK("https://klasma.github.io/Logging_0581/tillsynsmail/A 18267-2024 tillsynsbegäran mail.docx", "A 18267-2024")</f>
        <v/>
      </c>
      <c r="AE43">
        <f>HYPERLINK("https://klasma.github.io/Logging_0581/fåglar/A 18267-2024 prioriterade fågelarter.docx", "A 18267-2024")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46280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46280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46280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11741-2024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46280</v>
      </c>
      <c r="F47" t="inlineStr">
        <is>
          <t>ÖSTERGÖTLANDS LÄN</t>
        </is>
      </c>
      <c r="G47" t="inlineStr">
        <is>
          <t>NORRKÖPING</t>
        </is>
      </c>
      <c r="I47" t="n">
        <v>1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4</v>
      </c>
      <c r="U47" t="n">
        <v>2</v>
      </c>
      <c r="V47" s="2" t="inlineStr">
        <is>
          <t>Aspfjädermossa
Ullticka
Vedtrappmossa
Grön sköldmossa</t>
        </is>
      </c>
      <c r="W47">
        <f>HYPERLINK("https://klasma.github.io/Logging_0581/artfynd/A 11741-2024 artfynd.xlsx", "A 11741-2024")</f>
        <v/>
      </c>
      <c r="X47">
        <f>HYPERLINK("https://klasma.github.io/Logging_0581/kartor/A 11741-2024 karta.png", "A 11741-2024")</f>
        <v/>
      </c>
      <c r="Y47">
        <f>HYPERLINK("https://klasma.github.io/Logging_0581/kartor_geotiff/A 11741-2024 georefererad karta.tif", "A 11741-2024")</f>
        <v/>
      </c>
      <c r="AA47">
        <f>HYPERLINK("https://klasma.github.io/Logging_0581/klagomål/A 11741-2024 FSC-klagomål.docx", "A 11741-2024")</f>
        <v/>
      </c>
      <c r="AB47">
        <f>HYPERLINK("https://klasma.github.io/Logging_0581/klagomålsmail/A 11741-2024 FSC-klagomål mail.docx", "A 11741-2024")</f>
        <v/>
      </c>
      <c r="AC47">
        <f>HYPERLINK("https://klasma.github.io/Logging_0581/tillsyn/A 11741-2024 tillsynsbegäran.docx", "A 11741-2024")</f>
        <v/>
      </c>
      <c r="AD47">
        <f>HYPERLINK("https://klasma.github.io/Logging_0581/tillsynsmail/A 11741-2024 tillsynsbegäran mail.docx", "A 11741-2024")</f>
        <v/>
      </c>
    </row>
    <row r="48" ht="15" customHeight="1">
      <c r="A48" t="inlineStr">
        <is>
          <t>A 18491-2023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45042</v>
      </c>
      <c r="E48" s="1" t="n">
        <v>46280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7</v>
      </c>
      <c r="J48" t="n">
        <v>0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4</v>
      </c>
      <c r="U48" t="n">
        <v>3</v>
      </c>
      <c r="V48" s="2" t="inlineStr">
        <is>
          <t>Citronporing
Kandelabersvamp
Vit vedfingersvamp
Tibast</t>
        </is>
      </c>
      <c r="W48">
        <f>HYPERLINK("https://klasma.github.io/Logging_0581/artfynd/A 18491-2023 artfynd.xlsx", "A 18491-2023")</f>
        <v/>
      </c>
      <c r="X48">
        <f>HYPERLINK("https://klasma.github.io/Logging_0581/kartor/A 18491-2023 karta.png", "A 18491-2023")</f>
        <v/>
      </c>
      <c r="Y48">
        <f>HYPERLINK("https://klasma.github.io/Logging_0581/kartor_geotiff/A 18491-2023 georefererad karta.tif", "A 18491-2023")</f>
        <v/>
      </c>
      <c r="AA48">
        <f>HYPERLINK("https://klasma.github.io/Logging_0581/klagomål/A 18491-2023 FSC-klagomål.docx", "A 18491-2023")</f>
        <v/>
      </c>
      <c r="AB48">
        <f>HYPERLINK("https://klasma.github.io/Logging_0581/klagomålsmail/A 18491-2023 FSC-klagomål mail.docx", "A 18491-2023")</f>
        <v/>
      </c>
      <c r="AC48">
        <f>HYPERLINK("https://klasma.github.io/Logging_0581/tillsyn/A 18491-2023 tillsynsbegäran.docx", "A 18491-2023")</f>
        <v/>
      </c>
      <c r="AD48">
        <f>HYPERLINK("https://klasma.github.io/Logging_0581/tillsynsmail/A 18491-2023 tillsynsbegäran mail.docx", "A 18491-2023")</f>
        <v/>
      </c>
    </row>
    <row r="49" ht="15" customHeight="1">
      <c r="A49" t="inlineStr">
        <is>
          <t>A 18922-2025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45764</v>
      </c>
      <c r="E49" s="1" t="n">
        <v>46280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3</v>
      </c>
      <c r="J49" t="n">
        <v>0</v>
      </c>
      <c r="K49" t="n">
        <v>1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0</v>
      </c>
      <c r="V49" s="2" t="inlineStr">
        <is>
          <t>Kattfotslav
Rynkskinn
Ullticka
Vedticka</t>
        </is>
      </c>
      <c r="W49">
        <f>HYPERLINK("https://klasma.github.io/Logging_0581/artfynd/A 18922-2025 artfynd.xlsx", "A 18922-2025")</f>
        <v/>
      </c>
      <c r="X49">
        <f>HYPERLINK("https://klasma.github.io/Logging_0581/kartor/A 18922-2025 karta.png", "A 18922-2025")</f>
        <v/>
      </c>
      <c r="Y49">
        <f>HYPERLINK("https://klasma.github.io/Logging_0581/kartor_geotiff/A 18922-2025 georefererad karta.tif", "A 18922-2025")</f>
        <v/>
      </c>
      <c r="AA49">
        <f>HYPERLINK("https://klasma.github.io/Logging_0581/klagomål/A 18922-2025 FSC-klagomål.docx", "A 18922-2025")</f>
        <v/>
      </c>
      <c r="AB49">
        <f>HYPERLINK("https://klasma.github.io/Logging_0581/klagomålsmail/A 18922-2025 FSC-klagomål mail.docx", "A 18922-2025")</f>
        <v/>
      </c>
      <c r="AC49">
        <f>HYPERLINK("https://klasma.github.io/Logging_0581/tillsyn/A 18922-2025 tillsynsbegäran.docx", "A 18922-2025")</f>
        <v/>
      </c>
      <c r="AD49">
        <f>HYPERLINK("https://klasma.github.io/Logging_0581/tillsynsmail/A 18922-2025 tillsynsbegäran mail.docx", "A 18922-2025")</f>
        <v/>
      </c>
    </row>
    <row r="50" ht="15" customHeight="1">
      <c r="A50" t="inlineStr">
        <is>
          <t>A 51538-2024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45604</v>
      </c>
      <c r="E50" s="1" t="n">
        <v>46280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1.6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9</v>
      </c>
      <c r="U50" t="n">
        <v>9</v>
      </c>
      <c r="V50" s="2" t="inlineStr">
        <is>
          <t>Bårdlav
Fällmossa
Hasselticka
Blåsippa</t>
        </is>
      </c>
      <c r="W50">
        <f>HYPERLINK("https://klasma.github.io/Logging_0581/artfynd/A 51538-2024 artfynd.xlsx", "A 51538-2024")</f>
        <v/>
      </c>
      <c r="X50">
        <f>HYPERLINK("https://klasma.github.io/Logging_0581/kartor/A 51538-2024 karta.png", "A 51538-2024")</f>
        <v/>
      </c>
      <c r="Y50">
        <f>HYPERLINK("https://klasma.github.io/Logging_0581/kartor_geotiff/A 51538-2024 georefererad karta.tif", "A 51538-2024")</f>
        <v/>
      </c>
      <c r="AA50">
        <f>HYPERLINK("https://klasma.github.io/Logging_0581/klagomål/A 51538-2024 FSC-klagomål.docx", "A 51538-2024")</f>
        <v/>
      </c>
      <c r="AB50">
        <f>HYPERLINK("https://klasma.github.io/Logging_0581/klagomålsmail/A 51538-2024 FSC-klagomål mail.docx", "A 51538-2024")</f>
        <v/>
      </c>
      <c r="AC50">
        <f>HYPERLINK("https://klasma.github.io/Logging_0581/tillsyn/A 51538-2024 tillsynsbegäran.docx", "A 51538-2024")</f>
        <v/>
      </c>
      <c r="AD50">
        <f>HYPERLINK("https://klasma.github.io/Logging_0581/tillsynsmail/A 51538-2024 tillsynsbegäran mail.docx", "A 51538-2024")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46280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46280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12692-2025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46280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6.1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2</v>
      </c>
      <c r="V53" s="2" t="inlineStr">
        <is>
          <t>Dvärgbägarlav
Vedskivlav
Mattlummer</t>
        </is>
      </c>
      <c r="W53">
        <f>HYPERLINK("https://klasma.github.io/Logging_0581/artfynd/A 12692-2025 artfynd.xlsx", "A 12692-2025")</f>
        <v/>
      </c>
      <c r="X53">
        <f>HYPERLINK("https://klasma.github.io/Logging_0581/kartor/A 12692-2025 karta.png", "A 12692-2025")</f>
        <v/>
      </c>
      <c r="Y53">
        <f>HYPERLINK("https://klasma.github.io/Logging_0581/kartor_geotiff/A 12692-2025 georefererad karta.tif", "A 12692-2025")</f>
        <v/>
      </c>
      <c r="AA53">
        <f>HYPERLINK("https://klasma.github.io/Logging_0581/klagomål/A 12692-2025 FSC-klagomål.docx", "A 12692-2025")</f>
        <v/>
      </c>
      <c r="AB53">
        <f>HYPERLINK("https://klasma.github.io/Logging_0581/klagomålsmail/A 12692-2025 FSC-klagomål mail.docx", "A 12692-2025")</f>
        <v/>
      </c>
      <c r="AC53">
        <f>HYPERLINK("https://klasma.github.io/Logging_0581/tillsyn/A 12692-2025 tillsynsbegäran.docx", "A 12692-2025")</f>
        <v/>
      </c>
      <c r="AD53">
        <f>HYPERLINK("https://klasma.github.io/Logging_0581/tillsynsmail/A 12692-2025 tillsynsbegäran mail.docx", "A 12692-2025")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46280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Crepis tectorum subsp. tectorum
Grönsångare
Tallticka</t>
        </is>
      </c>
      <c r="W54">
        <f>HYPERLINK("https://klasma.github.io/Logging_0581/artfynd/A 23969-2025 artfynd.xlsx", "A 23969-2025")</f>
        <v/>
      </c>
      <c r="X54">
        <f>HYPERLINK("https://klasma.github.io/Logging_0581/kartor/A 23969-2025 karta.png", "A 23969-2025")</f>
        <v/>
      </c>
      <c r="Y54">
        <f>HYPERLINK("https://klasma.github.io/Logging_0581/kartor_geotiff/A 23969-2025 georefererad karta.tif", "A 23969-2025")</f>
        <v/>
      </c>
      <c r="AA54">
        <f>HYPERLINK("https://klasma.github.io/Logging_0581/klagomål/A 23969-2025 FSC-klagomål.docx", "A 23969-2025")</f>
        <v/>
      </c>
      <c r="AB54">
        <f>HYPERLINK("https://klasma.github.io/Logging_0581/klagomålsmail/A 23969-2025 FSC-klagomål mail.docx", "A 23969-2025")</f>
        <v/>
      </c>
      <c r="AC54">
        <f>HYPERLINK("https://klasma.github.io/Logging_0581/tillsyn/A 23969-2025 tillsynsbegäran.docx", "A 23969-2025")</f>
        <v/>
      </c>
      <c r="AD54">
        <f>HYPERLINK("https://klasma.github.io/Logging_0581/tillsynsmail/A 23969-2025 tillsynsbegäran mail.docx", "A 23969-2025")</f>
        <v/>
      </c>
      <c r="AE54">
        <f>HYPERLINK("https://klasma.github.io/Logging_0581/fåglar/A 23969-2025 prioriterade fågelarter.docx", "A 23969-2025")</f>
        <v/>
      </c>
    </row>
    <row r="55" ht="15" customHeight="1">
      <c r="A55" t="inlineStr">
        <is>
          <t>A 34439-2023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46280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3.5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Grönpyrola
Plattlummer
Äkta lopplummer</t>
        </is>
      </c>
      <c r="W55">
        <f>HYPERLINK("https://klasma.github.io/Logging_0581/artfynd/A 34439-2023 artfynd.xlsx", "A 34439-2023")</f>
        <v/>
      </c>
      <c r="X55">
        <f>HYPERLINK("https://klasma.github.io/Logging_0581/kartor/A 34439-2023 karta.png", "A 34439-2023")</f>
        <v/>
      </c>
      <c r="Y55">
        <f>HYPERLINK("https://klasma.github.io/Logging_0581/kartor_geotiff/A 34439-2023 georefererad karta.tif", "A 34439-2023")</f>
        <v/>
      </c>
      <c r="Z55">
        <f>HYPERLINK("https://klasma.github.io/Logging_0581/knärot/A 34439-2023 karta knärot.png", "A 34439-2023")</f>
        <v/>
      </c>
      <c r="AA55">
        <f>HYPERLINK("https://klasma.github.io/Logging_0581/klagomål/A 34439-2023 FSC-klagomål.docx", "A 34439-2023")</f>
        <v/>
      </c>
      <c r="AB55">
        <f>HYPERLINK("https://klasma.github.io/Logging_0581/klagomålsmail/A 34439-2023 FSC-klagomål mail.docx", "A 34439-2023")</f>
        <v/>
      </c>
      <c r="AC55">
        <f>HYPERLINK("https://klasma.github.io/Logging_0581/tillsyn/A 34439-2023 tillsynsbegäran.docx", "A 34439-2023")</f>
        <v/>
      </c>
      <c r="AD55">
        <f>HYPERLINK("https://klasma.github.io/Logging_0581/tillsynsmail/A 34439-2023 tillsynsbegäran mail.docx", "A 34439-2023")</f>
        <v/>
      </c>
    </row>
    <row r="56" ht="15" customHeight="1">
      <c r="A56" t="inlineStr">
        <is>
          <t>A 2484-2026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46037</v>
      </c>
      <c r="E56" s="1" t="n">
        <v>46280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0.6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Dropptaggsvamp
Dvärgbägarlav
Bronshjon</t>
        </is>
      </c>
      <c r="W56">
        <f>HYPERLINK("https://klasma.github.io/Logging_0581/artfynd/A 2484-2026 artfynd.xlsx", "A 2484-2026")</f>
        <v/>
      </c>
      <c r="X56">
        <f>HYPERLINK("https://klasma.github.io/Logging_0581/kartor/A 2484-2026 karta.png", "A 2484-2026")</f>
        <v/>
      </c>
      <c r="Y56">
        <f>HYPERLINK("https://klasma.github.io/Logging_0581/kartor_geotiff/A 2484-2026 georefererad karta.tif", "A 2484-2026")</f>
        <v/>
      </c>
      <c r="AA56">
        <f>HYPERLINK("https://klasma.github.io/Logging_0581/klagomål/A 2484-2026 FSC-klagomål.docx", "A 2484-2026")</f>
        <v/>
      </c>
      <c r="AB56">
        <f>HYPERLINK("https://klasma.github.io/Logging_0581/klagomålsmail/A 2484-2026 FSC-klagomål mail.docx", "A 2484-2026")</f>
        <v/>
      </c>
      <c r="AC56">
        <f>HYPERLINK("https://klasma.github.io/Logging_0581/tillsyn/A 2484-2026 tillsynsbegäran.docx", "A 2484-2026")</f>
        <v/>
      </c>
      <c r="AD56">
        <f>HYPERLINK("https://klasma.github.io/Logging_0581/tillsynsmail/A 2484-2026 tillsynsbegäran mail.docx", "A 2484-2026")</f>
        <v/>
      </c>
    </row>
    <row r="57" ht="15" customHeight="1">
      <c r="A57" t="inlineStr">
        <is>
          <t>A 44677-2025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46280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1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Motaggsvamp
Vedskivlav
Fällmossa</t>
        </is>
      </c>
      <c r="W57">
        <f>HYPERLINK("https://klasma.github.io/Logging_0581/artfynd/A 44677-2025 artfynd.xlsx", "A 44677-2025")</f>
        <v/>
      </c>
      <c r="X57">
        <f>HYPERLINK("https://klasma.github.io/Logging_0581/kartor/A 44677-2025 karta.png", "A 44677-2025")</f>
        <v/>
      </c>
      <c r="Y57">
        <f>HYPERLINK("https://klasma.github.io/Logging_0581/kartor_geotiff/A 44677-2025 georefererad karta.tif", "A 44677-2025")</f>
        <v/>
      </c>
      <c r="AA57">
        <f>HYPERLINK("https://klasma.github.io/Logging_0581/klagomål/A 44677-2025 FSC-klagomål.docx", "A 44677-2025")</f>
        <v/>
      </c>
      <c r="AB57">
        <f>HYPERLINK("https://klasma.github.io/Logging_0581/klagomålsmail/A 44677-2025 FSC-klagomål mail.docx", "A 44677-2025")</f>
        <v/>
      </c>
      <c r="AC57">
        <f>HYPERLINK("https://klasma.github.io/Logging_0581/tillsyn/A 44677-2025 tillsynsbegäran.docx", "A 44677-2025")</f>
        <v/>
      </c>
      <c r="AD57">
        <f>HYPERLINK("https://klasma.github.io/Logging_0581/tillsynsmail/A 44677-2025 tillsynsbegäran mail.docx", "A 44677-2025")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46280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19806-2026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46135</v>
      </c>
      <c r="E59" s="1" t="n">
        <v>46280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7.7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Blåmossa
Kungsfågel</t>
        </is>
      </c>
      <c r="W59">
        <f>HYPERLINK("https://klasma.github.io/Logging_0581/artfynd/A 19806-2026 artfynd.xlsx", "A 19806-2026")</f>
        <v/>
      </c>
      <c r="X59">
        <f>HYPERLINK("https://klasma.github.io/Logging_0581/kartor/A 19806-2026 karta.png", "A 19806-2026")</f>
        <v/>
      </c>
      <c r="Y59">
        <f>HYPERLINK("https://klasma.github.io/Logging_0581/kartor_geotiff/A 19806-2026 georefererad karta.tif", "A 19806-2026")</f>
        <v/>
      </c>
      <c r="AA59">
        <f>HYPERLINK("https://klasma.github.io/Logging_0581/klagomål/A 19806-2026 FSC-klagomål.docx", "A 19806-2026")</f>
        <v/>
      </c>
      <c r="AB59">
        <f>HYPERLINK("https://klasma.github.io/Logging_0581/klagomålsmail/A 19806-2026 FSC-klagomål mail.docx", "A 19806-2026")</f>
        <v/>
      </c>
      <c r="AC59">
        <f>HYPERLINK("https://klasma.github.io/Logging_0581/tillsyn/A 19806-2026 tillsynsbegäran.docx", "A 19806-2026")</f>
        <v/>
      </c>
      <c r="AD59">
        <f>HYPERLINK("https://klasma.github.io/Logging_0581/tillsynsmail/A 19806-2026 tillsynsbegäran mail.docx", "A 19806-2026")</f>
        <v/>
      </c>
    </row>
    <row r="60" ht="15" customHeight="1">
      <c r="A60" t="inlineStr">
        <is>
          <t>A 19989-2026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46136</v>
      </c>
      <c r="E60" s="1" t="n">
        <v>46280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4.6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Ullticka
Hasselticka
Spillkråka</t>
        </is>
      </c>
      <c r="W60">
        <f>HYPERLINK("https://klasma.github.io/Logging_0581/artfynd/A 19989-2026 artfynd.xlsx", "A 19989-2026")</f>
        <v/>
      </c>
      <c r="X60">
        <f>HYPERLINK("https://klasma.github.io/Logging_0581/kartor/A 19989-2026 karta.png", "A 19989-2026")</f>
        <v/>
      </c>
      <c r="Y60">
        <f>HYPERLINK("https://klasma.github.io/Logging_0581/kartor_geotiff/A 19989-2026 georefererad karta.tif", "A 19989-2026")</f>
        <v/>
      </c>
      <c r="AA60">
        <f>HYPERLINK("https://klasma.github.io/Logging_0581/klagomål/A 19989-2026 FSC-klagomål.docx", "A 19989-2026")</f>
        <v/>
      </c>
      <c r="AB60">
        <f>HYPERLINK("https://klasma.github.io/Logging_0581/klagomålsmail/A 19989-2026 FSC-klagomål mail.docx", "A 19989-2026")</f>
        <v/>
      </c>
      <c r="AC60">
        <f>HYPERLINK("https://klasma.github.io/Logging_0581/tillsyn/A 19989-2026 tillsynsbegäran.docx", "A 19989-2026")</f>
        <v/>
      </c>
      <c r="AD60">
        <f>HYPERLINK("https://klasma.github.io/Logging_0581/tillsynsmail/A 19989-2026 tillsynsbegäran mail.docx", "A 19989-2026")</f>
        <v/>
      </c>
      <c r="AE60">
        <f>HYPERLINK("https://klasma.github.io/Logging_0581/fåglar/A 19989-2026 prioriterade fågelarter.docx", "A 19989-2026")</f>
        <v/>
      </c>
    </row>
    <row r="61" ht="15" customHeight="1">
      <c r="A61" t="inlineStr">
        <is>
          <t>A 861-2023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44931</v>
      </c>
      <c r="E61" s="1" t="n">
        <v>46280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Kommuner</t>
        </is>
      </c>
      <c r="I61" t="n">
        <v>4.4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Nordfladdermus
Dvärgpipistrell
Vattenfladdermus</t>
        </is>
      </c>
      <c r="W61">
        <f>HYPERLINK("https://klasma.github.io/Logging_0581/artfynd/A 861-2023 artfynd.xlsx", "A 861-2023")</f>
        <v/>
      </c>
      <c r="X61">
        <f>HYPERLINK("https://klasma.github.io/Logging_0581/kartor/A 861-2023 karta.png", "A 861-2023")</f>
        <v/>
      </c>
      <c r="Y61">
        <f>HYPERLINK("https://klasma.github.io/Logging_0581/kartor_geotiff/A 861-2023 georefererad karta.tif", "A 861-2023")</f>
        <v/>
      </c>
      <c r="AA61">
        <f>HYPERLINK("https://klasma.github.io/Logging_0581/klagomål/A 861-2023 FSC-klagomål.docx", "A 861-2023")</f>
        <v/>
      </c>
      <c r="AB61">
        <f>HYPERLINK("https://klasma.github.io/Logging_0581/klagomålsmail/A 861-2023 FSC-klagomål mail.docx", "A 861-2023")</f>
        <v/>
      </c>
      <c r="AC61">
        <f>HYPERLINK("https://klasma.github.io/Logging_0581/tillsyn/A 861-2023 tillsynsbegäran.docx", "A 861-2023")</f>
        <v/>
      </c>
      <c r="AD61">
        <f>HYPERLINK("https://klasma.github.io/Logging_0581/tillsynsmail/A 861-2023 tillsynsbegäran mail.docx", "A 861-2023")</f>
        <v/>
      </c>
    </row>
    <row r="62" ht="15" customHeight="1">
      <c r="A62" t="inlineStr">
        <is>
          <t>A 28766-2026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46198</v>
      </c>
      <c r="E62" s="1" t="n">
        <v>46280</v>
      </c>
      <c r="F62" t="inlineStr">
        <is>
          <t>ÖSTERGÖTLANDS LÄN</t>
        </is>
      </c>
      <c r="G62" t="inlineStr">
        <is>
          <t>NORRKÖPING</t>
        </is>
      </c>
      <c r="I62" t="n">
        <v>4.6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Ljungsnärja
Backtimjan
Granbarkgnagare</t>
        </is>
      </c>
      <c r="W62">
        <f>HYPERLINK("https://klasma.github.io/Logging_0581/artfynd/A 28766-2026 artfynd.xlsx", "A 28766-2026")</f>
        <v/>
      </c>
      <c r="X62">
        <f>HYPERLINK("https://klasma.github.io/Logging_0581/kartor/A 28766-2026 karta.png", "A 28766-2026")</f>
        <v/>
      </c>
      <c r="Y62">
        <f>HYPERLINK("https://klasma.github.io/Logging_0581/kartor_geotiff/A 28766-2026 georefererad karta.tif", "A 28766-2026")</f>
        <v/>
      </c>
      <c r="AA62">
        <f>HYPERLINK("https://klasma.github.io/Logging_0581/klagomål/A 28766-2026 FSC-klagomål.docx", "A 28766-2026")</f>
        <v/>
      </c>
      <c r="AB62">
        <f>HYPERLINK("https://klasma.github.io/Logging_0581/klagomålsmail/A 28766-2026 FSC-klagomål mail.docx", "A 28766-2026")</f>
        <v/>
      </c>
      <c r="AC62">
        <f>HYPERLINK("https://klasma.github.io/Logging_0581/tillsyn/A 28766-2026 tillsynsbegäran.docx", "A 28766-2026")</f>
        <v/>
      </c>
      <c r="AD62">
        <f>HYPERLINK("https://klasma.github.io/Logging_0581/tillsynsmail/A 28766-2026 tillsynsbegäran mail.docx", "A 28766-2026")</f>
        <v/>
      </c>
    </row>
    <row r="63" ht="15" customHeight="1">
      <c r="A63" t="inlineStr">
        <is>
          <t>A 28062-2022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46280</v>
      </c>
      <c r="F63" t="inlineStr">
        <is>
          <t>ÖSTERGÖTLANDS LÄN</t>
        </is>
      </c>
      <c r="G63" t="inlineStr">
        <is>
          <t>NORRKÖPING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Slåtterfibbla
Svinrot
Mattlummer</t>
        </is>
      </c>
      <c r="W63">
        <f>HYPERLINK("https://klasma.github.io/Logging_0581/artfynd/A 28062-2022 artfynd.xlsx", "A 28062-2022")</f>
        <v/>
      </c>
      <c r="X63">
        <f>HYPERLINK("https://klasma.github.io/Logging_0581/kartor/A 28062-2022 karta.png", "A 28062-2022")</f>
        <v/>
      </c>
      <c r="Y63">
        <f>HYPERLINK("https://klasma.github.io/Logging_0581/kartor_geotiff/A 28062-2022 georefererad karta.tif", "A 28062-2022")</f>
        <v/>
      </c>
      <c r="AA63">
        <f>HYPERLINK("https://klasma.github.io/Logging_0581/klagomål/A 28062-2022 FSC-klagomål.docx", "A 28062-2022")</f>
        <v/>
      </c>
      <c r="AB63">
        <f>HYPERLINK("https://klasma.github.io/Logging_0581/klagomålsmail/A 28062-2022 FSC-klagomål mail.docx", "A 28062-2022")</f>
        <v/>
      </c>
      <c r="AC63">
        <f>HYPERLINK("https://klasma.github.io/Logging_0581/tillsyn/A 28062-2022 tillsynsbegäran.docx", "A 28062-2022")</f>
        <v/>
      </c>
      <c r="AD63">
        <f>HYPERLINK("https://klasma.github.io/Logging_0581/tillsynsmail/A 28062-2022 tillsynsbegäran mail.docx", "A 28062-2022")</f>
        <v/>
      </c>
    </row>
    <row r="64" ht="15" customHeight="1">
      <c r="A64" t="inlineStr">
        <is>
          <t>A 31373-2026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46213</v>
      </c>
      <c r="E64" s="1" t="n">
        <v>46280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6.1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Blåmossa
Spillkråka
Revlummer</t>
        </is>
      </c>
      <c r="W64">
        <f>HYPERLINK("https://klasma.github.io/Logging_0581/artfynd/A 31373-2026 artfynd.xlsx", "A 31373-2026")</f>
        <v/>
      </c>
      <c r="X64">
        <f>HYPERLINK("https://klasma.github.io/Logging_0581/kartor/A 31373-2026 karta.png", "A 31373-2026")</f>
        <v/>
      </c>
      <c r="Y64">
        <f>HYPERLINK("https://klasma.github.io/Logging_0581/kartor_geotiff/A 31373-2026 georefererad karta.tif", "A 31373-2026")</f>
        <v/>
      </c>
      <c r="AA64">
        <f>HYPERLINK("https://klasma.github.io/Logging_0581/klagomål/A 31373-2026 FSC-klagomål.docx", "A 31373-2026")</f>
        <v/>
      </c>
      <c r="AB64">
        <f>HYPERLINK("https://klasma.github.io/Logging_0581/klagomålsmail/A 31373-2026 FSC-klagomål mail.docx", "A 31373-2026")</f>
        <v/>
      </c>
      <c r="AC64">
        <f>HYPERLINK("https://klasma.github.io/Logging_0581/tillsyn/A 31373-2026 tillsynsbegäran.docx", "A 31373-2026")</f>
        <v/>
      </c>
      <c r="AD64">
        <f>HYPERLINK("https://klasma.github.io/Logging_0581/tillsynsmail/A 31373-2026 tillsynsbegäran mail.docx", "A 31373-2026")</f>
        <v/>
      </c>
      <c r="AE64">
        <f>HYPERLINK("https://klasma.github.io/Logging_0581/fåglar/A 31373-2026 prioriterade fågelarter.docx", "A 31373-2026")</f>
        <v/>
      </c>
    </row>
    <row r="65" ht="15" customHeight="1">
      <c r="A65" t="inlineStr">
        <is>
          <t>A 30829-2026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46212</v>
      </c>
      <c r="E65" s="1" t="n">
        <v>46280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Björksplintborre
Kornknutmossa
Stor aspticka</t>
        </is>
      </c>
      <c r="W65">
        <f>HYPERLINK("https://klasma.github.io/Logging_0581/artfynd/A 30829-2026 artfynd.xlsx", "A 30829-2026")</f>
        <v/>
      </c>
      <c r="X65">
        <f>HYPERLINK("https://klasma.github.io/Logging_0581/kartor/A 30829-2026 karta.png", "A 30829-2026")</f>
        <v/>
      </c>
      <c r="Y65">
        <f>HYPERLINK("https://klasma.github.io/Logging_0581/kartor_geotiff/A 30829-2026 georefererad karta.tif", "A 30829-2026")</f>
        <v/>
      </c>
      <c r="AA65">
        <f>HYPERLINK("https://klasma.github.io/Logging_0581/klagomål/A 30829-2026 FSC-klagomål.docx", "A 30829-2026")</f>
        <v/>
      </c>
      <c r="AB65">
        <f>HYPERLINK("https://klasma.github.io/Logging_0581/klagomålsmail/A 30829-2026 FSC-klagomål mail.docx", "A 30829-2026")</f>
        <v/>
      </c>
      <c r="AC65">
        <f>HYPERLINK("https://klasma.github.io/Logging_0581/tillsyn/A 30829-2026 tillsynsbegäran.docx", "A 30829-2026")</f>
        <v/>
      </c>
      <c r="AD65">
        <f>HYPERLINK("https://klasma.github.io/Logging_0581/tillsynsmail/A 30829-2026 tillsynsbegäran mail.docx", "A 30829-2026")</f>
        <v/>
      </c>
    </row>
    <row r="66" ht="15" customHeight="1">
      <c r="A66" t="inlineStr">
        <is>
          <t>A 36366-2026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46268</v>
      </c>
      <c r="E66" s="1" t="n">
        <v>46280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BillerudKorsnäs AB</t>
        </is>
      </c>
      <c r="I66" t="n">
        <v>2.5</v>
      </c>
      <c r="J66" t="n">
        <v>1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6</v>
      </c>
      <c r="U66" t="n">
        <v>0</v>
      </c>
      <c r="V66" s="2" t="inlineStr">
        <is>
          <t>Knärot
Tallticka
Blåmossa</t>
        </is>
      </c>
      <c r="W66">
        <f>HYPERLINK("https://klasma.github.io/Logging_0581/artfynd/A 36366-2026 artfynd.xlsx", "A 36366-2026")</f>
        <v/>
      </c>
      <c r="X66">
        <f>HYPERLINK("https://klasma.github.io/Logging_0581/kartor/A 36366-2026 karta.png", "A 36366-2026")</f>
        <v/>
      </c>
      <c r="Y66">
        <f>HYPERLINK("https://klasma.github.io/Logging_0581/kartor_geotiff/A 36366-2026 georefererad karta.tif", "A 36366-2026")</f>
        <v/>
      </c>
      <c r="Z66">
        <f>HYPERLINK("https://klasma.github.io/Logging_0581/knärot/A 36366-2026 karta knärot.png", "A 36366-2026")</f>
        <v/>
      </c>
      <c r="AA66">
        <f>HYPERLINK("https://klasma.github.io/Logging_0581/klagomål/A 36366-2026 FSC-klagomål.docx", "A 36366-2026")</f>
        <v/>
      </c>
      <c r="AB66">
        <f>HYPERLINK("https://klasma.github.io/Logging_0581/klagomålsmail/A 36366-2026 FSC-klagomål mail.docx", "A 36366-2026")</f>
        <v/>
      </c>
      <c r="AC66">
        <f>HYPERLINK("https://klasma.github.io/Logging_0581/tillsyn/A 36366-2026 tillsynsbegäran.docx", "A 36366-2026")</f>
        <v/>
      </c>
      <c r="AD66">
        <f>HYPERLINK("https://klasma.github.io/Logging_0581/tillsynsmail/A 36366-2026 tillsynsbegäran mail.docx", "A 36366-2026")</f>
        <v/>
      </c>
    </row>
    <row r="67" ht="15" customHeight="1">
      <c r="A67" t="inlineStr">
        <is>
          <t>A 7316-2025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45702</v>
      </c>
      <c r="E67" s="1" t="n">
        <v>46280</v>
      </c>
      <c r="F67" t="inlineStr">
        <is>
          <t>ÖSTERGÖTLANDS LÄN</t>
        </is>
      </c>
      <c r="G67" t="inlineStr">
        <is>
          <t>NORRKÖPING</t>
        </is>
      </c>
      <c r="I67" t="n">
        <v>1.6</v>
      </c>
      <c r="J67" t="n">
        <v>3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Silltrut
Vinterhämpling
Sångsvan</t>
        </is>
      </c>
      <c r="W67">
        <f>HYPERLINK("https://klasma.github.io/Logging_0581/artfynd/A 7316-2025 artfynd.xlsx", "A 7316-2025")</f>
        <v/>
      </c>
      <c r="X67">
        <f>HYPERLINK("https://klasma.github.io/Logging_0581/kartor/A 7316-2025 karta.png", "A 7316-2025")</f>
        <v/>
      </c>
      <c r="Y67">
        <f>HYPERLINK("https://klasma.github.io/Logging_0581/kartor_geotiff/A 7316-2025 georefererad karta.tif", "A 7316-2025")</f>
        <v/>
      </c>
      <c r="AA67">
        <f>HYPERLINK("https://klasma.github.io/Logging_0581/klagomål/A 7316-2025 FSC-klagomål.docx", "A 7316-2025")</f>
        <v/>
      </c>
      <c r="AB67">
        <f>HYPERLINK("https://klasma.github.io/Logging_0581/klagomålsmail/A 7316-2025 FSC-klagomål mail.docx", "A 7316-2025")</f>
        <v/>
      </c>
      <c r="AC67">
        <f>HYPERLINK("https://klasma.github.io/Logging_0581/tillsyn/A 7316-2025 tillsynsbegäran.docx", "A 7316-2025")</f>
        <v/>
      </c>
      <c r="AD67">
        <f>HYPERLINK("https://klasma.github.io/Logging_0581/tillsynsmail/A 7316-2025 tillsynsbegäran mail.docx", "A 7316-2025")</f>
        <v/>
      </c>
      <c r="AE67">
        <f>HYPERLINK("https://klasma.github.io/Logging_0581/fåglar/A 7316-2025 prioriterade fågelarter.docx", "A 7316-2025")</f>
        <v/>
      </c>
    </row>
    <row r="68" ht="15" customHeight="1">
      <c r="A68" t="inlineStr">
        <is>
          <t>A 14646-2023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45013</v>
      </c>
      <c r="E68" s="1" t="n">
        <v>46280</v>
      </c>
      <c r="F68" t="inlineStr">
        <is>
          <t>ÖSTERGÖTLANDS LÄN</t>
        </is>
      </c>
      <c r="G68" t="inlineStr">
        <is>
          <t>NORRKÖPING</t>
        </is>
      </c>
      <c r="I68" t="n">
        <v>5.4</v>
      </c>
      <c r="J68" t="n">
        <v>1</v>
      </c>
      <c r="K68" t="n">
        <v>0</v>
      </c>
      <c r="L68" t="n">
        <v>1</v>
      </c>
      <c r="M68" t="n">
        <v>0</v>
      </c>
      <c r="N68" t="n">
        <v>1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Skogsalm
Vanlig backsmörblomma
Fläcknycklar</t>
        </is>
      </c>
      <c r="W68">
        <f>HYPERLINK("https://klasma.github.io/Logging_0581/artfynd/A 14646-2023 artfynd.xlsx", "A 14646-2023")</f>
        <v/>
      </c>
      <c r="X68">
        <f>HYPERLINK("https://klasma.github.io/Logging_0581/kartor/A 14646-2023 karta.png", "A 14646-2023")</f>
        <v/>
      </c>
      <c r="Y68">
        <f>HYPERLINK("https://klasma.github.io/Logging_0581/kartor_geotiff/A 14646-2023 georefererad karta.tif", "A 14646-2023")</f>
        <v/>
      </c>
      <c r="AA68">
        <f>HYPERLINK("https://klasma.github.io/Logging_0581/klagomål/A 14646-2023 FSC-klagomål.docx", "A 14646-2023")</f>
        <v/>
      </c>
      <c r="AB68">
        <f>HYPERLINK("https://klasma.github.io/Logging_0581/klagomålsmail/A 14646-2023 FSC-klagomål mail.docx", "A 14646-2023")</f>
        <v/>
      </c>
      <c r="AC68">
        <f>HYPERLINK("https://klasma.github.io/Logging_0581/tillsyn/A 14646-2023 tillsynsbegäran.docx", "A 14646-2023")</f>
        <v/>
      </c>
      <c r="AD68">
        <f>HYPERLINK("https://klasma.github.io/Logging_0581/tillsynsmail/A 14646-2023 tillsynsbegäran mail.docx", "A 14646-2023")</f>
        <v/>
      </c>
    </row>
    <row r="69" ht="15" customHeight="1">
      <c r="A69" t="inlineStr">
        <is>
          <t>A 8468-2023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46280</v>
      </c>
      <c r="F69" t="inlineStr">
        <is>
          <t>ÖSTERGÖTLANDS LÄN</t>
        </is>
      </c>
      <c r="G69" t="inlineStr">
        <is>
          <t>NORRKÖPING</t>
        </is>
      </c>
      <c r="I69" t="n">
        <v>6.7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Tallticka
Bronshjon
Blåsippa</t>
        </is>
      </c>
      <c r="W69">
        <f>HYPERLINK("https://klasma.github.io/Logging_0581/artfynd/A 8468-2023 artfynd.xlsx", "A 8468-2023")</f>
        <v/>
      </c>
      <c r="X69">
        <f>HYPERLINK("https://klasma.github.io/Logging_0581/kartor/A 8468-2023 karta.png", "A 8468-2023")</f>
        <v/>
      </c>
      <c r="Y69">
        <f>HYPERLINK("https://klasma.github.io/Logging_0581/kartor_geotiff/A 8468-2023 georefererad karta.tif", "A 8468-2023")</f>
        <v/>
      </c>
      <c r="AA69">
        <f>HYPERLINK("https://klasma.github.io/Logging_0581/klagomål/A 8468-2023 FSC-klagomål.docx", "A 8468-2023")</f>
        <v/>
      </c>
      <c r="AB69">
        <f>HYPERLINK("https://klasma.github.io/Logging_0581/klagomålsmail/A 8468-2023 FSC-klagomål mail.docx", "A 8468-2023")</f>
        <v/>
      </c>
      <c r="AC69">
        <f>HYPERLINK("https://klasma.github.io/Logging_0581/tillsyn/A 8468-2023 tillsynsbegäran.docx", "A 8468-2023")</f>
        <v/>
      </c>
      <c r="AD69">
        <f>HYPERLINK("https://klasma.github.io/Logging_0581/tillsynsmail/A 8468-2023 tillsynsbegäran mail.docx", "A 8468-2023")</f>
        <v/>
      </c>
    </row>
    <row r="70" ht="15" customHeight="1">
      <c r="A70" t="inlineStr">
        <is>
          <t>A 60171-2023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45258</v>
      </c>
      <c r="E70" s="1" t="n">
        <v>46280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1.7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Tallticka
Blomkålssvamp
Kransmossa</t>
        </is>
      </c>
      <c r="W70">
        <f>HYPERLINK("https://klasma.github.io/Logging_0581/artfynd/A 60171-2023 artfynd.xlsx", "A 60171-2023")</f>
        <v/>
      </c>
      <c r="X70">
        <f>HYPERLINK("https://klasma.github.io/Logging_0581/kartor/A 60171-2023 karta.png", "A 60171-2023")</f>
        <v/>
      </c>
      <c r="Y70">
        <f>HYPERLINK("https://klasma.github.io/Logging_0581/kartor_geotiff/A 60171-2023 georefererad karta.tif", "A 60171-2023")</f>
        <v/>
      </c>
      <c r="AA70">
        <f>HYPERLINK("https://klasma.github.io/Logging_0581/klagomål/A 60171-2023 FSC-klagomål.docx", "A 60171-2023")</f>
        <v/>
      </c>
      <c r="AB70">
        <f>HYPERLINK("https://klasma.github.io/Logging_0581/klagomålsmail/A 60171-2023 FSC-klagomål mail.docx", "A 60171-2023")</f>
        <v/>
      </c>
      <c r="AC70">
        <f>HYPERLINK("https://klasma.github.io/Logging_0581/tillsyn/A 60171-2023 tillsynsbegäran.docx", "A 60171-2023")</f>
        <v/>
      </c>
      <c r="AD70">
        <f>HYPERLINK("https://klasma.github.io/Logging_0581/tillsynsmail/A 60171-2023 tillsynsbegäran mail.docx", "A 60171-2023")</f>
        <v/>
      </c>
    </row>
    <row r="71" ht="15" customHeight="1">
      <c r="A71" t="inlineStr">
        <is>
          <t>A 11757-2025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46280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10.2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5</v>
      </c>
      <c r="U71" t="n">
        <v>5</v>
      </c>
      <c r="V71" s="2" t="inlineStr">
        <is>
          <t>Dropptaggsvamp
Blomkålssvamp
Kornknutmossa</t>
        </is>
      </c>
      <c r="W71">
        <f>HYPERLINK("https://klasma.github.io/Logging_0581/artfynd/A 11757-2025 artfynd.xlsx", "A 11757-2025")</f>
        <v/>
      </c>
      <c r="X71">
        <f>HYPERLINK("https://klasma.github.io/Logging_0581/kartor/A 11757-2025 karta.png", "A 11757-2025")</f>
        <v/>
      </c>
      <c r="Y71">
        <f>HYPERLINK("https://klasma.github.io/Logging_0581/kartor_geotiff/A 11757-2025 georefererad karta.tif", "A 11757-2025")</f>
        <v/>
      </c>
      <c r="AA71">
        <f>HYPERLINK("https://klasma.github.io/Logging_0581/klagomål/A 11757-2025 FSC-klagomål.docx", "A 11757-2025")</f>
        <v/>
      </c>
      <c r="AB71">
        <f>HYPERLINK("https://klasma.github.io/Logging_0581/klagomålsmail/A 11757-2025 FSC-klagomål mail.docx", "A 11757-2025")</f>
        <v/>
      </c>
      <c r="AC71">
        <f>HYPERLINK("https://klasma.github.io/Logging_0581/tillsyn/A 11757-2025 tillsynsbegäran.docx", "A 11757-2025")</f>
        <v/>
      </c>
      <c r="AD71">
        <f>HYPERLINK("https://klasma.github.io/Logging_0581/tillsynsmail/A 11757-2025 tillsynsbegäran mail.docx", "A 11757-2025")</f>
        <v/>
      </c>
    </row>
    <row r="72" ht="15" customHeight="1">
      <c r="A72" t="inlineStr">
        <is>
          <t>A 9512-2023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46280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2.1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3</v>
      </c>
      <c r="V72" s="2" t="inlineStr">
        <is>
          <t>Garnlav
Tallticka
Jättesvampmal</t>
        </is>
      </c>
      <c r="W72">
        <f>HYPERLINK("https://klasma.github.io/Logging_0581/artfynd/A 9512-2023 artfynd.xlsx", "A 9512-2023")</f>
        <v/>
      </c>
      <c r="X72">
        <f>HYPERLINK("https://klasma.github.io/Logging_0581/kartor/A 9512-2023 karta.png", "A 9512-2023")</f>
        <v/>
      </c>
      <c r="Y72">
        <f>HYPERLINK("https://klasma.github.io/Logging_0581/kartor_geotiff/A 9512-2023 georefererad karta.tif", "A 9512-2023")</f>
        <v/>
      </c>
      <c r="AA72">
        <f>HYPERLINK("https://klasma.github.io/Logging_0581/klagomål/A 9512-2023 FSC-klagomål.docx", "A 9512-2023")</f>
        <v/>
      </c>
      <c r="AB72">
        <f>HYPERLINK("https://klasma.github.io/Logging_0581/klagomålsmail/A 9512-2023 FSC-klagomål mail.docx", "A 9512-2023")</f>
        <v/>
      </c>
      <c r="AC72">
        <f>HYPERLINK("https://klasma.github.io/Logging_0581/tillsyn/A 9512-2023 tillsynsbegäran.docx", "A 9512-2023")</f>
        <v/>
      </c>
      <c r="AD72">
        <f>HYPERLINK("https://klasma.github.io/Logging_0581/tillsynsmail/A 9512-2023 tillsynsbegäran mail.docx", "A 9512-2023")</f>
        <v/>
      </c>
    </row>
    <row r="73" ht="15" customHeight="1">
      <c r="A73" t="inlineStr">
        <is>
          <t>A 15183-2023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46280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2.4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Vedskivlav
Blomkålssvamp</t>
        </is>
      </c>
      <c r="W73">
        <f>HYPERLINK("https://klasma.github.io/Logging_0581/artfynd/A 15183-2023 artfynd.xlsx", "A 15183-2023")</f>
        <v/>
      </c>
      <c r="X73">
        <f>HYPERLINK("https://klasma.github.io/Logging_0581/kartor/A 15183-2023 karta.png", "A 15183-2023")</f>
        <v/>
      </c>
      <c r="Y73">
        <f>HYPERLINK("https://klasma.github.io/Logging_0581/kartor_geotiff/A 15183-2023 georefererad karta.tif", "A 15183-2023")</f>
        <v/>
      </c>
      <c r="AA73">
        <f>HYPERLINK("https://klasma.github.io/Logging_0581/klagomål/A 15183-2023 FSC-klagomål.docx", "A 15183-2023")</f>
        <v/>
      </c>
      <c r="AB73">
        <f>HYPERLINK("https://klasma.github.io/Logging_0581/klagomålsmail/A 15183-2023 FSC-klagomål mail.docx", "A 15183-2023")</f>
        <v/>
      </c>
      <c r="AC73">
        <f>HYPERLINK("https://klasma.github.io/Logging_0581/tillsyn/A 15183-2023 tillsynsbegäran.docx", "A 15183-2023")</f>
        <v/>
      </c>
      <c r="AD73">
        <f>HYPERLINK("https://klasma.github.io/Logging_0581/tillsynsmail/A 15183-2023 tillsynsbegäran mail.docx", "A 15183-2023")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46280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46280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53852-2022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44880</v>
      </c>
      <c r="E76" s="1" t="n">
        <v>46280</v>
      </c>
      <c r="F76" t="inlineStr">
        <is>
          <t>ÖSTERGÖTLANDS LÄN</t>
        </is>
      </c>
      <c r="G76" t="inlineStr">
        <is>
          <t>NORRKÖPING</t>
        </is>
      </c>
      <c r="I76" t="n">
        <v>1.8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Tibast
Blåsippa</t>
        </is>
      </c>
      <c r="W76">
        <f>HYPERLINK("https://klasma.github.io/Logging_0581/artfynd/A 53852-2022 artfynd.xlsx", "A 53852-2022")</f>
        <v/>
      </c>
      <c r="X76">
        <f>HYPERLINK("https://klasma.github.io/Logging_0581/kartor/A 53852-2022 karta.png", "A 53852-2022")</f>
        <v/>
      </c>
      <c r="Y76">
        <f>HYPERLINK("https://klasma.github.io/Logging_0581/kartor_geotiff/A 53852-2022 georefererad karta.tif", "A 53852-2022")</f>
        <v/>
      </c>
      <c r="AA76">
        <f>HYPERLINK("https://klasma.github.io/Logging_0581/klagomål/A 53852-2022 FSC-klagomål.docx", "A 53852-2022")</f>
        <v/>
      </c>
      <c r="AB76">
        <f>HYPERLINK("https://klasma.github.io/Logging_0581/klagomålsmail/A 53852-2022 FSC-klagomål mail.docx", "A 53852-2022")</f>
        <v/>
      </c>
      <c r="AC76">
        <f>HYPERLINK("https://klasma.github.io/Logging_0581/tillsyn/A 53852-2022 tillsynsbegäran.docx", "A 53852-2022")</f>
        <v/>
      </c>
      <c r="AD76">
        <f>HYPERLINK("https://klasma.github.io/Logging_0581/tillsynsmail/A 53852-2022 tillsynsbegäran mail.docx", "A 53852-2022")</f>
        <v/>
      </c>
    </row>
    <row r="77" ht="15" customHeight="1">
      <c r="A77" t="inlineStr">
        <is>
          <t>A 49366-2021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46280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Allmännings- och besparingsskogar</t>
        </is>
      </c>
      <c r="I77" t="n">
        <v>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Knärot
Sårläka</t>
        </is>
      </c>
      <c r="W77">
        <f>HYPERLINK("https://klasma.github.io/Logging_0581/artfynd/A 49366-2021 artfynd.xlsx", "A 49366-2021")</f>
        <v/>
      </c>
      <c r="X77">
        <f>HYPERLINK("https://klasma.github.io/Logging_0581/kartor/A 49366-2021 karta.png", "A 49366-2021")</f>
        <v/>
      </c>
      <c r="Y77">
        <f>HYPERLINK("https://klasma.github.io/Logging_0581/kartor_geotiff/A 49366-2021 georefererad karta.tif", "A 49366-2021")</f>
        <v/>
      </c>
      <c r="Z77">
        <f>HYPERLINK("https://klasma.github.io/Logging_0581/knärot/A 49366-2021 karta knärot.png", "A 49366-2021")</f>
        <v/>
      </c>
      <c r="AA77">
        <f>HYPERLINK("https://klasma.github.io/Logging_0581/klagomål/A 49366-2021 FSC-klagomål.docx", "A 49366-2021")</f>
        <v/>
      </c>
      <c r="AB77">
        <f>HYPERLINK("https://klasma.github.io/Logging_0581/klagomålsmail/A 49366-2021 FSC-klagomål mail.docx", "A 49366-2021")</f>
        <v/>
      </c>
      <c r="AC77">
        <f>HYPERLINK("https://klasma.github.io/Logging_0581/tillsyn/A 49366-2021 tillsynsbegäran.docx", "A 49366-2021")</f>
        <v/>
      </c>
      <c r="AD77">
        <f>HYPERLINK("https://klasma.github.io/Logging_0581/tillsynsmail/A 49366-2021 tillsynsbegäran mail.docx", "A 49366-2021")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46280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3815-2026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46280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1.1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Grönfink
Kungsfågel</t>
        </is>
      </c>
      <c r="W79">
        <f>HYPERLINK("https://klasma.github.io/Logging_0581/artfynd/A 3815-2026 artfynd.xlsx", "A 3815-2026")</f>
        <v/>
      </c>
      <c r="X79">
        <f>HYPERLINK("https://klasma.github.io/Logging_0581/kartor/A 3815-2026 karta.png", "A 3815-2026")</f>
        <v/>
      </c>
      <c r="Y79">
        <f>HYPERLINK("https://klasma.github.io/Logging_0581/kartor_geotiff/A 3815-2026 georefererad karta.tif", "A 3815-2026")</f>
        <v/>
      </c>
      <c r="AA79">
        <f>HYPERLINK("https://klasma.github.io/Logging_0581/klagomål/A 3815-2026 FSC-klagomål.docx", "A 3815-2026")</f>
        <v/>
      </c>
      <c r="AB79">
        <f>HYPERLINK("https://klasma.github.io/Logging_0581/klagomålsmail/A 3815-2026 FSC-klagomål mail.docx", "A 3815-2026")</f>
        <v/>
      </c>
      <c r="AC79">
        <f>HYPERLINK("https://klasma.github.io/Logging_0581/tillsyn/A 3815-2026 tillsynsbegäran.docx", "A 3815-2026")</f>
        <v/>
      </c>
      <c r="AD79">
        <f>HYPERLINK("https://klasma.github.io/Logging_0581/tillsynsmail/A 3815-2026 tillsynsbegäran mail.docx", "A 3815-2026")</f>
        <v/>
      </c>
      <c r="AE79">
        <f>HYPERLINK("https://klasma.github.io/Logging_0581/fåglar/A 3815-2026 prioriterade fågelarter.docx", "A 3815-2026")</f>
        <v/>
      </c>
    </row>
    <row r="80" ht="15" customHeight="1">
      <c r="A80" t="inlineStr">
        <is>
          <t>A 14636-2025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46280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17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Tjäder</t>
        </is>
      </c>
      <c r="W80">
        <f>HYPERLINK("https://klasma.github.io/Logging_0581/artfynd/A 14636-2025 artfynd.xlsx", "A 14636-2025")</f>
        <v/>
      </c>
      <c r="X80">
        <f>HYPERLINK("https://klasma.github.io/Logging_0581/kartor/A 14636-2025 karta.png", "A 14636-2025")</f>
        <v/>
      </c>
      <c r="Y80">
        <f>HYPERLINK("https://klasma.github.io/Logging_0581/kartor_geotiff/A 14636-2025 georefererad karta.tif", "A 14636-2025")</f>
        <v/>
      </c>
      <c r="AA80">
        <f>HYPERLINK("https://klasma.github.io/Logging_0581/klagomål/A 14636-2025 FSC-klagomål.docx", "A 14636-2025")</f>
        <v/>
      </c>
      <c r="AB80">
        <f>HYPERLINK("https://klasma.github.io/Logging_0581/klagomålsmail/A 14636-2025 FSC-klagomål mail.docx", "A 14636-2025")</f>
        <v/>
      </c>
      <c r="AC80">
        <f>HYPERLINK("https://klasma.github.io/Logging_0581/tillsyn/A 14636-2025 tillsynsbegäran.docx", "A 14636-2025")</f>
        <v/>
      </c>
      <c r="AD80">
        <f>HYPERLINK("https://klasma.github.io/Logging_0581/tillsynsmail/A 14636-2025 tillsynsbegäran mail.docx", "A 14636-2025")</f>
        <v/>
      </c>
      <c r="AE80">
        <f>HYPERLINK("https://klasma.github.io/Logging_0581/fåglar/A 14636-2025 prioriterade fågelarter.docx", "A 14636-2025")</f>
        <v/>
      </c>
    </row>
    <row r="81" ht="15" customHeight="1">
      <c r="A81" t="inlineStr">
        <is>
          <t>A 10769-2024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46280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2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Tjäder</t>
        </is>
      </c>
      <c r="W81">
        <f>HYPERLINK("https://klasma.github.io/Logging_0581/artfynd/A 10769-2024 artfynd.xlsx", "A 10769-2024")</f>
        <v/>
      </c>
      <c r="X81">
        <f>HYPERLINK("https://klasma.github.io/Logging_0581/kartor/A 10769-2024 karta.png", "A 10769-2024")</f>
        <v/>
      </c>
      <c r="Y81">
        <f>HYPERLINK("https://klasma.github.io/Logging_0581/kartor_geotiff/A 10769-2024 georefererad karta.tif", "A 10769-2024")</f>
        <v/>
      </c>
      <c r="AA81">
        <f>HYPERLINK("https://klasma.github.io/Logging_0581/klagomål/A 10769-2024 FSC-klagomål.docx", "A 10769-2024")</f>
        <v/>
      </c>
      <c r="AB81">
        <f>HYPERLINK("https://klasma.github.io/Logging_0581/klagomålsmail/A 10769-2024 FSC-klagomål mail.docx", "A 10769-2024")</f>
        <v/>
      </c>
      <c r="AC81">
        <f>HYPERLINK("https://klasma.github.io/Logging_0581/tillsyn/A 10769-2024 tillsynsbegäran.docx", "A 10769-2024")</f>
        <v/>
      </c>
      <c r="AD81">
        <f>HYPERLINK("https://klasma.github.io/Logging_0581/tillsynsmail/A 10769-2024 tillsynsbegäran mail.docx", "A 10769-2024")</f>
        <v/>
      </c>
      <c r="AE81">
        <f>HYPERLINK("https://klasma.github.io/Logging_0581/fåglar/A 10769-2024 prioriterade fågelarter.docx", "A 10769-2024")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46280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42365-2025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46280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Tibast</t>
        </is>
      </c>
      <c r="W83">
        <f>HYPERLINK("https://klasma.github.io/Logging_0581/artfynd/A 42365-2025 artfynd.xlsx", "A 42365-2025")</f>
        <v/>
      </c>
      <c r="X83">
        <f>HYPERLINK("https://klasma.github.io/Logging_0581/kartor/A 42365-2025 karta.png", "A 42365-2025")</f>
        <v/>
      </c>
      <c r="Y83">
        <f>HYPERLINK("https://klasma.github.io/Logging_0581/kartor_geotiff/A 42365-2025 georefererad karta.tif", "A 42365-2025")</f>
        <v/>
      </c>
      <c r="AA83">
        <f>HYPERLINK("https://klasma.github.io/Logging_0581/klagomål/A 42365-2025 FSC-klagomål.docx", "A 42365-2025")</f>
        <v/>
      </c>
      <c r="AB83">
        <f>HYPERLINK("https://klasma.github.io/Logging_0581/klagomålsmail/A 42365-2025 FSC-klagomål mail.docx", "A 42365-2025")</f>
        <v/>
      </c>
      <c r="AC83">
        <f>HYPERLINK("https://klasma.github.io/Logging_0581/tillsyn/A 42365-2025 tillsynsbegäran.docx", "A 42365-2025")</f>
        <v/>
      </c>
      <c r="AD83">
        <f>HYPERLINK("https://klasma.github.io/Logging_0581/tillsynsmail/A 42365-2025 tillsynsbegäran mail.docx", "A 42365-2025")</f>
        <v/>
      </c>
    </row>
    <row r="84" ht="15" customHeight="1">
      <c r="A84" t="inlineStr">
        <is>
          <t>A 12188-2026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46086</v>
      </c>
      <c r="E84" s="1" t="n">
        <v>46280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7.8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Blomkålssvamp
Korallrot</t>
        </is>
      </c>
      <c r="W84">
        <f>HYPERLINK("https://klasma.github.io/Logging_0581/artfynd/A 12188-2026 artfynd.xlsx", "A 12188-2026")</f>
        <v/>
      </c>
      <c r="X84">
        <f>HYPERLINK("https://klasma.github.io/Logging_0581/kartor/A 12188-2026 karta.png", "A 12188-2026")</f>
        <v/>
      </c>
      <c r="Y84">
        <f>HYPERLINK("https://klasma.github.io/Logging_0581/kartor_geotiff/A 12188-2026 georefererad karta.tif", "A 12188-2026")</f>
        <v/>
      </c>
      <c r="AA84">
        <f>HYPERLINK("https://klasma.github.io/Logging_0581/klagomål/A 12188-2026 FSC-klagomål.docx", "A 12188-2026")</f>
        <v/>
      </c>
      <c r="AB84">
        <f>HYPERLINK("https://klasma.github.io/Logging_0581/klagomålsmail/A 12188-2026 FSC-klagomål mail.docx", "A 12188-2026")</f>
        <v/>
      </c>
      <c r="AC84">
        <f>HYPERLINK("https://klasma.github.io/Logging_0581/tillsyn/A 12188-2026 tillsynsbegäran.docx", "A 12188-2026")</f>
        <v/>
      </c>
      <c r="AD84">
        <f>HYPERLINK("https://klasma.github.io/Logging_0581/tillsynsmail/A 12188-2026 tillsynsbegäran mail.docx", "A 12188-2026")</f>
        <v/>
      </c>
    </row>
    <row r="85" ht="15" customHeight="1">
      <c r="A85" t="inlineStr">
        <is>
          <t>A 46692-2024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45583</v>
      </c>
      <c r="E85" s="1" t="n">
        <v>46280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1.4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Dvärgbägarlav
Flagellkvastmossa</t>
        </is>
      </c>
      <c r="W85">
        <f>HYPERLINK("https://klasma.github.io/Logging_0581/artfynd/A 46692-2024 artfynd.xlsx", "A 46692-2024")</f>
        <v/>
      </c>
      <c r="X85">
        <f>HYPERLINK("https://klasma.github.io/Logging_0581/kartor/A 46692-2024 karta.png", "A 46692-2024")</f>
        <v/>
      </c>
      <c r="Y85">
        <f>HYPERLINK("https://klasma.github.io/Logging_0581/kartor_geotiff/A 46692-2024 georefererad karta.tif", "A 46692-2024")</f>
        <v/>
      </c>
      <c r="AA85">
        <f>HYPERLINK("https://klasma.github.io/Logging_0581/klagomål/A 46692-2024 FSC-klagomål.docx", "A 46692-2024")</f>
        <v/>
      </c>
      <c r="AB85">
        <f>HYPERLINK("https://klasma.github.io/Logging_0581/klagomålsmail/A 46692-2024 FSC-klagomål mail.docx", "A 46692-2024")</f>
        <v/>
      </c>
      <c r="AC85">
        <f>HYPERLINK("https://klasma.github.io/Logging_0581/tillsyn/A 46692-2024 tillsynsbegäran.docx", "A 46692-2024")</f>
        <v/>
      </c>
      <c r="AD85">
        <f>HYPERLINK("https://klasma.github.io/Logging_0581/tillsynsmail/A 46692-2024 tillsynsbegäran mail.docx", "A 46692-2024")</f>
        <v/>
      </c>
    </row>
    <row r="86" ht="15" customHeight="1">
      <c r="A86" t="inlineStr">
        <is>
          <t>A 11490-2023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46280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Mattlummer
Trädlärka</t>
        </is>
      </c>
      <c r="W86">
        <f>HYPERLINK("https://klasma.github.io/Logging_0581/artfynd/A 11490-2023 artfynd.xlsx", "A 11490-2023")</f>
        <v/>
      </c>
      <c r="X86">
        <f>HYPERLINK("https://klasma.github.io/Logging_0581/kartor/A 11490-2023 karta.png", "A 11490-2023")</f>
        <v/>
      </c>
      <c r="Y86">
        <f>HYPERLINK("https://klasma.github.io/Logging_0581/kartor_geotiff/A 11490-2023 georefererad karta.tif", "A 11490-2023")</f>
        <v/>
      </c>
      <c r="AA86">
        <f>HYPERLINK("https://klasma.github.io/Logging_0581/klagomål/A 11490-2023 FSC-klagomål.docx", "A 11490-2023")</f>
        <v/>
      </c>
      <c r="AB86">
        <f>HYPERLINK("https://klasma.github.io/Logging_0581/klagomålsmail/A 11490-2023 FSC-klagomål mail.docx", "A 11490-2023")</f>
        <v/>
      </c>
      <c r="AC86">
        <f>HYPERLINK("https://klasma.github.io/Logging_0581/tillsyn/A 11490-2023 tillsynsbegäran.docx", "A 11490-2023")</f>
        <v/>
      </c>
      <c r="AD86">
        <f>HYPERLINK("https://klasma.github.io/Logging_0581/tillsynsmail/A 11490-2023 tillsynsbegäran mail.docx", "A 11490-2023")</f>
        <v/>
      </c>
      <c r="AE86">
        <f>HYPERLINK("https://klasma.github.io/Logging_0581/fåglar/A 11490-2023 prioriterade fågelarter.docx", "A 11490-2023")</f>
        <v/>
      </c>
    </row>
    <row r="87" ht="15" customHeight="1">
      <c r="A87" t="inlineStr">
        <is>
          <t>A 8987-2023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46280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0.5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Vedskivlav
Grovticka</t>
        </is>
      </c>
      <c r="W87">
        <f>HYPERLINK("https://klasma.github.io/Logging_0581/artfynd/A 8987-2023 artfynd.xlsx", "A 8987-2023")</f>
        <v/>
      </c>
      <c r="X87">
        <f>HYPERLINK("https://klasma.github.io/Logging_0581/kartor/A 8987-2023 karta.png", "A 8987-2023")</f>
        <v/>
      </c>
      <c r="Y87">
        <f>HYPERLINK("https://klasma.github.io/Logging_0581/kartor_geotiff/A 8987-2023 georefererad karta.tif", "A 8987-2023")</f>
        <v/>
      </c>
      <c r="AA87">
        <f>HYPERLINK("https://klasma.github.io/Logging_0581/klagomål/A 8987-2023 FSC-klagomål.docx", "A 8987-2023")</f>
        <v/>
      </c>
      <c r="AB87">
        <f>HYPERLINK("https://klasma.github.io/Logging_0581/klagomålsmail/A 8987-2023 FSC-klagomål mail.docx", "A 8987-2023")</f>
        <v/>
      </c>
      <c r="AC87">
        <f>HYPERLINK("https://klasma.github.io/Logging_0581/tillsyn/A 8987-2023 tillsynsbegäran.docx", "A 8987-2023")</f>
        <v/>
      </c>
      <c r="AD87">
        <f>HYPERLINK("https://klasma.github.io/Logging_0581/tillsynsmail/A 8987-2023 tillsynsbegäran mail.docx", "A 8987-2023")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46280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33659-2022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46280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Kommuner</t>
        </is>
      </c>
      <c r="I89" t="n">
        <v>3.4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Ask
Sotlav</t>
        </is>
      </c>
      <c r="W89">
        <f>HYPERLINK("https://klasma.github.io/Logging_0581/artfynd/A 33659-2022 artfynd.xlsx", "A 33659-2022")</f>
        <v/>
      </c>
      <c r="X89">
        <f>HYPERLINK("https://klasma.github.io/Logging_0581/kartor/A 33659-2022 karta.png", "A 33659-2022")</f>
        <v/>
      </c>
      <c r="Y89">
        <f>HYPERLINK("https://klasma.github.io/Logging_0581/kartor_geotiff/A 33659-2022 georefererad karta.tif", "A 33659-2022")</f>
        <v/>
      </c>
      <c r="AA89">
        <f>HYPERLINK("https://klasma.github.io/Logging_0581/klagomål/A 33659-2022 FSC-klagomål.docx", "A 33659-2022")</f>
        <v/>
      </c>
      <c r="AB89">
        <f>HYPERLINK("https://klasma.github.io/Logging_0581/klagomålsmail/A 33659-2022 FSC-klagomål mail.docx", "A 33659-2022")</f>
        <v/>
      </c>
      <c r="AC89">
        <f>HYPERLINK("https://klasma.github.io/Logging_0581/tillsyn/A 33659-2022 tillsynsbegäran.docx", "A 33659-2022")</f>
        <v/>
      </c>
      <c r="AD89">
        <f>HYPERLINK("https://klasma.github.io/Logging_0581/tillsynsmail/A 33659-2022 tillsynsbegäran mail.docx", "A 33659-2022")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46280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25291-2023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45086</v>
      </c>
      <c r="E91" s="1" t="n">
        <v>46280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Allmännings- och besparingsskogar</t>
        </is>
      </c>
      <c r="I91" t="n">
        <v>2.1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Slåtterfibbla
Svartvit flugsnappare</t>
        </is>
      </c>
      <c r="W91">
        <f>HYPERLINK("https://klasma.github.io/Logging_0581/artfynd/A 25291-2023 artfynd.xlsx", "A 25291-2023")</f>
        <v/>
      </c>
      <c r="X91">
        <f>HYPERLINK("https://klasma.github.io/Logging_0581/kartor/A 25291-2023 karta.png", "A 25291-2023")</f>
        <v/>
      </c>
      <c r="Y91">
        <f>HYPERLINK("https://klasma.github.io/Logging_0581/kartor_geotiff/A 25291-2023 georefererad karta.tif", "A 25291-2023")</f>
        <v/>
      </c>
      <c r="AA91">
        <f>HYPERLINK("https://klasma.github.io/Logging_0581/klagomål/A 25291-2023 FSC-klagomål.docx", "A 25291-2023")</f>
        <v/>
      </c>
      <c r="AB91">
        <f>HYPERLINK("https://klasma.github.io/Logging_0581/klagomålsmail/A 25291-2023 FSC-klagomål mail.docx", "A 25291-2023")</f>
        <v/>
      </c>
      <c r="AC91">
        <f>HYPERLINK("https://klasma.github.io/Logging_0581/tillsyn/A 25291-2023 tillsynsbegäran.docx", "A 25291-2023")</f>
        <v/>
      </c>
      <c r="AD91">
        <f>HYPERLINK("https://klasma.github.io/Logging_0581/tillsynsmail/A 25291-2023 tillsynsbegäran mail.docx", "A 25291-2023")</f>
        <v/>
      </c>
    </row>
    <row r="92" ht="15" customHeight="1">
      <c r="A92" t="inlineStr">
        <is>
          <t>A 5572-2024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46280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Kommuner</t>
        </is>
      </c>
      <c r="I92" t="n">
        <v>0.6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Grov baronmossa
Platt fjädermossa</t>
        </is>
      </c>
      <c r="W92">
        <f>HYPERLINK("https://klasma.github.io/Logging_0581/artfynd/A 5572-2024 artfynd.xlsx", "A 5572-2024")</f>
        <v/>
      </c>
      <c r="X92">
        <f>HYPERLINK("https://klasma.github.io/Logging_0581/kartor/A 5572-2024 karta.png", "A 5572-2024")</f>
        <v/>
      </c>
      <c r="Y92">
        <f>HYPERLINK("https://klasma.github.io/Logging_0581/kartor_geotiff/A 5572-2024 georefererad karta.tif", "A 5572-2024")</f>
        <v/>
      </c>
      <c r="AA92">
        <f>HYPERLINK("https://klasma.github.io/Logging_0581/klagomål/A 5572-2024 FSC-klagomål.docx", "A 5572-2024")</f>
        <v/>
      </c>
      <c r="AB92">
        <f>HYPERLINK("https://klasma.github.io/Logging_0581/klagomålsmail/A 5572-2024 FSC-klagomål mail.docx", "A 5572-2024")</f>
        <v/>
      </c>
      <c r="AC92">
        <f>HYPERLINK("https://klasma.github.io/Logging_0581/tillsyn/A 5572-2024 tillsynsbegäran.docx", "A 5572-2024")</f>
        <v/>
      </c>
      <c r="AD92">
        <f>HYPERLINK("https://klasma.github.io/Logging_0581/tillsynsmail/A 5572-2024 tillsynsbegäran mail.docx", "A 5572-2024")</f>
        <v/>
      </c>
    </row>
    <row r="93" ht="15" customHeight="1">
      <c r="A93" t="inlineStr">
        <is>
          <t>A 10553-2025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46280</v>
      </c>
      <c r="F93" t="inlineStr">
        <is>
          <t>ÖSTERGÖTLANDS LÄN</t>
        </is>
      </c>
      <c r="G93" t="inlineStr">
        <is>
          <t>NORRKÖPING</t>
        </is>
      </c>
      <c r="I93" t="n">
        <v>2.2</v>
      </c>
      <c r="J93" t="n">
        <v>2</v>
      </c>
      <c r="K93" t="n">
        <v>0</v>
      </c>
      <c r="L93" t="n">
        <v>1</v>
      </c>
      <c r="M93" t="n">
        <v>0</v>
      </c>
      <c r="N93" t="n">
        <v>1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Ejder
Rosenfink</t>
        </is>
      </c>
      <c r="W93">
        <f>HYPERLINK("https://klasma.github.io/Logging_0581/artfynd/A 10553-2025 artfynd.xlsx", "A 10553-2025")</f>
        <v/>
      </c>
      <c r="X93">
        <f>HYPERLINK("https://klasma.github.io/Logging_0581/kartor/A 10553-2025 karta.png", "A 10553-2025")</f>
        <v/>
      </c>
      <c r="Y93">
        <f>HYPERLINK("https://klasma.github.io/Logging_0581/kartor_geotiff/A 10553-2025 georefererad karta.tif", "A 10553-2025")</f>
        <v/>
      </c>
      <c r="AA93">
        <f>HYPERLINK("https://klasma.github.io/Logging_0581/klagomål/A 10553-2025 FSC-klagomål.docx", "A 10553-2025")</f>
        <v/>
      </c>
      <c r="AB93">
        <f>HYPERLINK("https://klasma.github.io/Logging_0581/klagomålsmail/A 10553-2025 FSC-klagomål mail.docx", "A 10553-2025")</f>
        <v/>
      </c>
      <c r="AC93">
        <f>HYPERLINK("https://klasma.github.io/Logging_0581/tillsyn/A 10553-2025 tillsynsbegäran.docx", "A 10553-2025")</f>
        <v/>
      </c>
      <c r="AD93">
        <f>HYPERLINK("https://klasma.github.io/Logging_0581/tillsynsmail/A 10553-2025 tillsynsbegäran mail.docx", "A 10553-2025")</f>
        <v/>
      </c>
      <c r="AE93">
        <f>HYPERLINK("https://klasma.github.io/Logging_0581/fåglar/A 10553-2025 prioriterade fågelarter.docx", "A 10553-2025")</f>
        <v/>
      </c>
    </row>
    <row r="94" ht="15" customHeight="1">
      <c r="A94" t="inlineStr">
        <is>
          <t>A 28796-2026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46198</v>
      </c>
      <c r="E94" s="1" t="n">
        <v>46280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28796-2026 artfynd.xlsx", "A 28796-2026")</f>
        <v/>
      </c>
      <c r="X94">
        <f>HYPERLINK("https://klasma.github.io/Logging_0581/kartor/A 28796-2026 karta.png", "A 28796-2026")</f>
        <v/>
      </c>
      <c r="Y94">
        <f>HYPERLINK("https://klasma.github.io/Logging_0581/kartor_geotiff/A 28796-2026 georefererad karta.tif", "A 28796-2026")</f>
        <v/>
      </c>
      <c r="AA94">
        <f>HYPERLINK("https://klasma.github.io/Logging_0581/klagomål/A 28796-2026 FSC-klagomål.docx", "A 28796-2026")</f>
        <v/>
      </c>
      <c r="AB94">
        <f>HYPERLINK("https://klasma.github.io/Logging_0581/klagomålsmail/A 28796-2026 FSC-klagomål mail.docx", "A 28796-2026")</f>
        <v/>
      </c>
      <c r="AC94">
        <f>HYPERLINK("https://klasma.github.io/Logging_0581/tillsyn/A 28796-2026 tillsynsbegäran.docx", "A 28796-2026")</f>
        <v/>
      </c>
      <c r="AD94">
        <f>HYPERLINK("https://klasma.github.io/Logging_0581/tillsynsmail/A 28796-2026 tillsynsbegäran mail.docx", "A 28796-2026")</f>
        <v/>
      </c>
    </row>
    <row r="95" ht="15" customHeight="1">
      <c r="A95" t="inlineStr">
        <is>
          <t>A 28893-2026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46280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28893-2026 artfynd.xlsx", "A 28893-2026")</f>
        <v/>
      </c>
      <c r="X95">
        <f>HYPERLINK("https://klasma.github.io/Logging_0581/kartor/A 28893-2026 karta.png", "A 28893-2026")</f>
        <v/>
      </c>
      <c r="Y95">
        <f>HYPERLINK("https://klasma.github.io/Logging_0581/kartor_geotiff/A 28893-2026 georefererad karta.tif", "A 28893-2026")</f>
        <v/>
      </c>
      <c r="AA95">
        <f>HYPERLINK("https://klasma.github.io/Logging_0581/klagomål/A 28893-2026 FSC-klagomål.docx", "A 28893-2026")</f>
        <v/>
      </c>
      <c r="AB95">
        <f>HYPERLINK("https://klasma.github.io/Logging_0581/klagomålsmail/A 28893-2026 FSC-klagomål mail.docx", "A 28893-2026")</f>
        <v/>
      </c>
      <c r="AC95">
        <f>HYPERLINK("https://klasma.github.io/Logging_0581/tillsyn/A 28893-2026 tillsynsbegäran.docx", "A 28893-2026")</f>
        <v/>
      </c>
      <c r="AD95">
        <f>HYPERLINK("https://klasma.github.io/Logging_0581/tillsynsmail/A 28893-2026 tillsynsbegäran mail.docx", "A 28893-2026")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46280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19182-2025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46280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3</v>
      </c>
      <c r="V97" s="2" t="inlineStr">
        <is>
          <t>Knärot
Ullticka</t>
        </is>
      </c>
      <c r="W97">
        <f>HYPERLINK("https://klasma.github.io/Logging_0581/artfynd/A 19182-2025 artfynd.xlsx", "A 19182-2025")</f>
        <v/>
      </c>
      <c r="X97">
        <f>HYPERLINK("https://klasma.github.io/Logging_0581/kartor/A 19182-2025 karta.png", "A 19182-2025")</f>
        <v/>
      </c>
      <c r="Y97">
        <f>HYPERLINK("https://klasma.github.io/Logging_0581/kartor_geotiff/A 19182-2025 georefererad karta.tif", "A 19182-2025")</f>
        <v/>
      </c>
      <c r="Z97">
        <f>HYPERLINK("https://klasma.github.io/Logging_0581/knärot/A 19182-2025 karta knärot.png", "A 19182-2025")</f>
        <v/>
      </c>
      <c r="AA97">
        <f>HYPERLINK("https://klasma.github.io/Logging_0581/klagomål/A 19182-2025 FSC-klagomål.docx", "A 19182-2025")</f>
        <v/>
      </c>
      <c r="AB97">
        <f>HYPERLINK("https://klasma.github.io/Logging_0581/klagomålsmail/A 19182-2025 FSC-klagomål mail.docx", "A 19182-2025")</f>
        <v/>
      </c>
      <c r="AC97">
        <f>HYPERLINK("https://klasma.github.io/Logging_0581/tillsyn/A 19182-2025 tillsynsbegäran.docx", "A 19182-2025")</f>
        <v/>
      </c>
      <c r="AD97">
        <f>HYPERLINK("https://klasma.github.io/Logging_0581/tillsynsmail/A 19182-2025 tillsynsbegäran mail.docx", "A 19182-2025")</f>
        <v/>
      </c>
    </row>
    <row r="98" ht="15" customHeight="1">
      <c r="A98" t="inlineStr">
        <is>
          <t>A 9746-2025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46280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1.6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Ask
Blåsippa</t>
        </is>
      </c>
      <c r="W98">
        <f>HYPERLINK("https://klasma.github.io/Logging_0581/artfynd/A 9746-2025 artfynd.xlsx", "A 9746-2025")</f>
        <v/>
      </c>
      <c r="X98">
        <f>HYPERLINK("https://klasma.github.io/Logging_0581/kartor/A 9746-2025 karta.png", "A 9746-2025")</f>
        <v/>
      </c>
      <c r="Y98">
        <f>HYPERLINK("https://klasma.github.io/Logging_0581/kartor_geotiff/A 9746-2025 georefererad karta.tif", "A 9746-2025")</f>
        <v/>
      </c>
      <c r="AA98">
        <f>HYPERLINK("https://klasma.github.io/Logging_0581/klagomål/A 9746-2025 FSC-klagomål.docx", "A 9746-2025")</f>
        <v/>
      </c>
      <c r="AB98">
        <f>HYPERLINK("https://klasma.github.io/Logging_0581/klagomålsmail/A 9746-2025 FSC-klagomål mail.docx", "A 9746-2025")</f>
        <v/>
      </c>
      <c r="AC98">
        <f>HYPERLINK("https://klasma.github.io/Logging_0581/tillsyn/A 9746-2025 tillsynsbegäran.docx", "A 9746-2025")</f>
        <v/>
      </c>
      <c r="AD98">
        <f>HYPERLINK("https://klasma.github.io/Logging_0581/tillsynsmail/A 9746-2025 tillsynsbegäran mail.docx", "A 9746-2025")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46280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Bårdlav
Havsörn</t>
        </is>
      </c>
      <c r="W99">
        <f>HYPERLINK("https://klasma.github.io/Logging_0581/artfynd/A 4826-2023 artfynd.xlsx", "A 4826-2023")</f>
        <v/>
      </c>
      <c r="X99">
        <f>HYPERLINK("https://klasma.github.io/Logging_0581/kartor/A 4826-2023 karta.png", "A 4826-2023")</f>
        <v/>
      </c>
      <c r="Y99">
        <f>HYPERLINK("https://klasma.github.io/Logging_0581/kartor_geotiff/A 4826-2023 georefererad karta.tif", "A 4826-2023")</f>
        <v/>
      </c>
      <c r="AA99">
        <f>HYPERLINK("https://klasma.github.io/Logging_0581/klagomål/A 4826-2023 FSC-klagomål.docx", "A 4826-2023")</f>
        <v/>
      </c>
      <c r="AB99">
        <f>HYPERLINK("https://klasma.github.io/Logging_0581/klagomålsmail/A 4826-2023 FSC-klagomål mail.docx", "A 4826-2023")</f>
        <v/>
      </c>
      <c r="AC99">
        <f>HYPERLINK("https://klasma.github.io/Logging_0581/tillsyn/A 4826-2023 tillsynsbegäran.docx", "A 4826-2023")</f>
        <v/>
      </c>
      <c r="AD99">
        <f>HYPERLINK("https://klasma.github.io/Logging_0581/tillsynsmail/A 4826-2023 tillsynsbegäran mail.docx", "A 4826-2023")</f>
        <v/>
      </c>
      <c r="AE99">
        <f>HYPERLINK("https://klasma.github.io/Logging_0581/fåglar/A 4826-2023 prioriterade fågelarter.docx", "A 4826-2023")</f>
        <v/>
      </c>
    </row>
    <row r="100" ht="15" customHeight="1">
      <c r="A100" t="inlineStr">
        <is>
          <t>A 14459-2024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45394</v>
      </c>
      <c r="E100" s="1" t="n">
        <v>46280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Garnlav
Talltita</t>
        </is>
      </c>
      <c r="W100">
        <f>HYPERLINK("https://klasma.github.io/Logging_0581/artfynd/A 14459-2024 artfynd.xlsx", "A 14459-2024")</f>
        <v/>
      </c>
      <c r="X100">
        <f>HYPERLINK("https://klasma.github.io/Logging_0581/kartor/A 14459-2024 karta.png", "A 14459-2024")</f>
        <v/>
      </c>
      <c r="Y100">
        <f>HYPERLINK("https://klasma.github.io/Logging_0581/kartor_geotiff/A 14459-2024 georefererad karta.tif", "A 14459-2024")</f>
        <v/>
      </c>
      <c r="AA100">
        <f>HYPERLINK("https://klasma.github.io/Logging_0581/klagomål/A 14459-2024 FSC-klagomål.docx", "A 14459-2024")</f>
        <v/>
      </c>
      <c r="AB100">
        <f>HYPERLINK("https://klasma.github.io/Logging_0581/klagomålsmail/A 14459-2024 FSC-klagomål mail.docx", "A 14459-2024")</f>
        <v/>
      </c>
      <c r="AC100">
        <f>HYPERLINK("https://klasma.github.io/Logging_0581/tillsyn/A 14459-2024 tillsynsbegäran.docx", "A 14459-2024")</f>
        <v/>
      </c>
      <c r="AD100">
        <f>HYPERLINK("https://klasma.github.io/Logging_0581/tillsynsmail/A 14459-2024 tillsynsbegäran mail.docx", "A 14459-2024")</f>
        <v/>
      </c>
      <c r="AE100">
        <f>HYPERLINK("https://klasma.github.io/Logging_0581/fåglar/A 14459-2024 prioriterade fågelarter.docx", "A 14459-2024")</f>
        <v/>
      </c>
    </row>
    <row r="101" ht="15" customHeight="1">
      <c r="A101" t="inlineStr">
        <is>
          <t>A 24233-2025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46280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5.4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Tallticka
Granbarkgnagare</t>
        </is>
      </c>
      <c r="W101">
        <f>HYPERLINK("https://klasma.github.io/Logging_0581/artfynd/A 24233-2025 artfynd.xlsx", "A 24233-2025")</f>
        <v/>
      </c>
      <c r="X101">
        <f>HYPERLINK("https://klasma.github.io/Logging_0581/kartor/A 24233-2025 karta.png", "A 24233-2025")</f>
        <v/>
      </c>
      <c r="Y101">
        <f>HYPERLINK("https://klasma.github.io/Logging_0581/kartor_geotiff/A 24233-2025 georefererad karta.tif", "A 24233-2025")</f>
        <v/>
      </c>
      <c r="AA101">
        <f>HYPERLINK("https://klasma.github.io/Logging_0581/klagomål/A 24233-2025 FSC-klagomål.docx", "A 24233-2025")</f>
        <v/>
      </c>
      <c r="AB101">
        <f>HYPERLINK("https://klasma.github.io/Logging_0581/klagomålsmail/A 24233-2025 FSC-klagomål mail.docx", "A 24233-2025")</f>
        <v/>
      </c>
      <c r="AC101">
        <f>HYPERLINK("https://klasma.github.io/Logging_0581/tillsyn/A 24233-2025 tillsynsbegäran.docx", "A 24233-2025")</f>
        <v/>
      </c>
      <c r="AD101">
        <f>HYPERLINK("https://klasma.github.io/Logging_0581/tillsynsmail/A 24233-2025 tillsynsbegäran mail.docx", "A 24233-2025")</f>
        <v/>
      </c>
    </row>
    <row r="102" ht="15" customHeight="1">
      <c r="A102" t="inlineStr">
        <is>
          <t>A 31298-2026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46280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0.7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Blåmossa
Orre</t>
        </is>
      </c>
      <c r="W102">
        <f>HYPERLINK("https://klasma.github.io/Logging_0581/artfynd/A 31298-2026 artfynd.xlsx", "A 31298-2026")</f>
        <v/>
      </c>
      <c r="X102">
        <f>HYPERLINK("https://klasma.github.io/Logging_0581/kartor/A 31298-2026 karta.png", "A 31298-2026")</f>
        <v/>
      </c>
      <c r="Y102">
        <f>HYPERLINK("https://klasma.github.io/Logging_0581/kartor_geotiff/A 31298-2026 georefererad karta.tif", "A 31298-2026")</f>
        <v/>
      </c>
      <c r="AA102">
        <f>HYPERLINK("https://klasma.github.io/Logging_0581/klagomål/A 31298-2026 FSC-klagomål.docx", "A 31298-2026")</f>
        <v/>
      </c>
      <c r="AB102">
        <f>HYPERLINK("https://klasma.github.io/Logging_0581/klagomålsmail/A 31298-2026 FSC-klagomål mail.docx", "A 31298-2026")</f>
        <v/>
      </c>
      <c r="AC102">
        <f>HYPERLINK("https://klasma.github.io/Logging_0581/tillsyn/A 31298-2026 tillsynsbegäran.docx", "A 31298-2026")</f>
        <v/>
      </c>
      <c r="AD102">
        <f>HYPERLINK("https://klasma.github.io/Logging_0581/tillsynsmail/A 31298-2026 tillsynsbegäran mail.docx", "A 31298-2026")</f>
        <v/>
      </c>
      <c r="AE102">
        <f>HYPERLINK("https://klasma.github.io/Logging_0581/fåglar/A 31298-2026 prioriterade fågelarter.docx", "A 31298-2026")</f>
        <v/>
      </c>
    </row>
    <row r="103" ht="15" customHeight="1">
      <c r="A103" t="inlineStr">
        <is>
          <t>A 31264-2026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46218</v>
      </c>
      <c r="E103" s="1" t="n">
        <v>46280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3.9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Vedskivlav
Fläcknycklar</t>
        </is>
      </c>
      <c r="W103">
        <f>HYPERLINK("https://klasma.github.io/Logging_0581/artfynd/A 31264-2026 artfynd.xlsx", "A 31264-2026")</f>
        <v/>
      </c>
      <c r="X103">
        <f>HYPERLINK("https://klasma.github.io/Logging_0581/kartor/A 31264-2026 karta.png", "A 31264-2026")</f>
        <v/>
      </c>
      <c r="Y103">
        <f>HYPERLINK("https://klasma.github.io/Logging_0581/kartor_geotiff/A 31264-2026 georefererad karta.tif", "A 31264-2026")</f>
        <v/>
      </c>
      <c r="AA103">
        <f>HYPERLINK("https://klasma.github.io/Logging_0581/klagomål/A 31264-2026 FSC-klagomål.docx", "A 31264-2026")</f>
        <v/>
      </c>
      <c r="AB103">
        <f>HYPERLINK("https://klasma.github.io/Logging_0581/klagomålsmail/A 31264-2026 FSC-klagomål mail.docx", "A 31264-2026")</f>
        <v/>
      </c>
      <c r="AC103">
        <f>HYPERLINK("https://klasma.github.io/Logging_0581/tillsyn/A 31264-2026 tillsynsbegäran.docx", "A 31264-2026")</f>
        <v/>
      </c>
      <c r="AD103">
        <f>HYPERLINK("https://klasma.github.io/Logging_0581/tillsynsmail/A 31264-2026 tillsynsbegäran mail.docx", "A 31264-2026")</f>
        <v/>
      </c>
    </row>
    <row r="104" ht="15" customHeight="1">
      <c r="A104" t="inlineStr">
        <is>
          <t>A 31335-2026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46219</v>
      </c>
      <c r="E104" s="1" t="n">
        <v>46280</v>
      </c>
      <c r="F104" t="inlineStr">
        <is>
          <t>ÖSTERGÖTLANDS LÄN</t>
        </is>
      </c>
      <c r="G104" t="inlineStr">
        <is>
          <t>NORRKÖPING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Bredbrämad bastardsvärmare
Älg</t>
        </is>
      </c>
      <c r="W104">
        <f>HYPERLINK("https://klasma.github.io/Logging_0581/artfynd/A 31335-2026 artfynd.xlsx", "A 31335-2026")</f>
        <v/>
      </c>
      <c r="X104">
        <f>HYPERLINK("https://klasma.github.io/Logging_0581/kartor/A 31335-2026 karta.png", "A 31335-2026")</f>
        <v/>
      </c>
      <c r="Y104">
        <f>HYPERLINK("https://klasma.github.io/Logging_0581/kartor_geotiff/A 31335-2026 georefererad karta.tif", "A 31335-2026")</f>
        <v/>
      </c>
      <c r="AA104">
        <f>HYPERLINK("https://klasma.github.io/Logging_0581/klagomål/A 31335-2026 FSC-klagomål.docx", "A 31335-2026")</f>
        <v/>
      </c>
      <c r="AB104">
        <f>HYPERLINK("https://klasma.github.io/Logging_0581/klagomålsmail/A 31335-2026 FSC-klagomål mail.docx", "A 31335-2026")</f>
        <v/>
      </c>
      <c r="AC104">
        <f>HYPERLINK("https://klasma.github.io/Logging_0581/tillsyn/A 31335-2026 tillsynsbegäran.docx", "A 31335-2026")</f>
        <v/>
      </c>
      <c r="AD104">
        <f>HYPERLINK("https://klasma.github.io/Logging_0581/tillsynsmail/A 31335-2026 tillsynsbegäran mail.docx", "A 31335-2026")</f>
        <v/>
      </c>
    </row>
    <row r="105" ht="15" customHeight="1">
      <c r="A105" t="inlineStr">
        <is>
          <t>A 5809-2025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45694</v>
      </c>
      <c r="E105" s="1" t="n">
        <v>46280</v>
      </c>
      <c r="F105" t="inlineStr">
        <is>
          <t>ÖSTERGÖTLANDS LÄN</t>
        </is>
      </c>
      <c r="G105" t="inlineStr">
        <is>
          <t>NORRKÖPING</t>
        </is>
      </c>
      <c r="I105" t="n">
        <v>3.7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Blåsippa
Vanlig padda</t>
        </is>
      </c>
      <c r="W105">
        <f>HYPERLINK("https://klasma.github.io/Logging_0581/artfynd/A 5809-2025 artfynd.xlsx", "A 5809-2025")</f>
        <v/>
      </c>
      <c r="X105">
        <f>HYPERLINK("https://klasma.github.io/Logging_0581/kartor/A 5809-2025 karta.png", "A 5809-2025")</f>
        <v/>
      </c>
      <c r="Y105">
        <f>HYPERLINK("https://klasma.github.io/Logging_0581/kartor_geotiff/A 5809-2025 georefererad karta.tif", "A 5809-2025")</f>
        <v/>
      </c>
      <c r="AA105">
        <f>HYPERLINK("https://klasma.github.io/Logging_0581/klagomål/A 5809-2025 FSC-klagomål.docx", "A 5809-2025")</f>
        <v/>
      </c>
      <c r="AB105">
        <f>HYPERLINK("https://klasma.github.io/Logging_0581/klagomålsmail/A 5809-2025 FSC-klagomål mail.docx", "A 5809-2025")</f>
        <v/>
      </c>
      <c r="AC105">
        <f>HYPERLINK("https://klasma.github.io/Logging_0581/tillsyn/A 5809-2025 tillsynsbegäran.docx", "A 5809-2025")</f>
        <v/>
      </c>
      <c r="AD105">
        <f>HYPERLINK("https://klasma.github.io/Logging_0581/tillsynsmail/A 5809-2025 tillsynsbegäran mail.docx", "A 5809-2025")</f>
        <v/>
      </c>
    </row>
    <row r="106" ht="15" customHeight="1">
      <c r="A106" t="inlineStr">
        <is>
          <t>A 55022-2022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46280</v>
      </c>
      <c r="F106" t="inlineStr">
        <is>
          <t>ÖSTERGÖTLANDS LÄN</t>
        </is>
      </c>
      <c r="G106" t="inlineStr">
        <is>
          <t>NORRKÖPING</t>
        </is>
      </c>
      <c r="I106" t="n">
        <v>1.4</v>
      </c>
      <c r="J106" t="n">
        <v>1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Tallfingersvamp
Purpurknipprot</t>
        </is>
      </c>
      <c r="W106">
        <f>HYPERLINK("https://klasma.github.io/Logging_0581/artfynd/A 55022-2022 artfynd.xlsx", "A 55022-2022")</f>
        <v/>
      </c>
      <c r="X106">
        <f>HYPERLINK("https://klasma.github.io/Logging_0581/kartor/A 55022-2022 karta.png", "A 55022-2022")</f>
        <v/>
      </c>
      <c r="Y106">
        <f>HYPERLINK("https://klasma.github.io/Logging_0581/kartor_geotiff/A 55022-2022 georefererad karta.tif", "A 55022-2022")</f>
        <v/>
      </c>
      <c r="AA106">
        <f>HYPERLINK("https://klasma.github.io/Logging_0581/klagomål/A 55022-2022 FSC-klagomål.docx", "A 55022-2022")</f>
        <v/>
      </c>
      <c r="AB106">
        <f>HYPERLINK("https://klasma.github.io/Logging_0581/klagomålsmail/A 55022-2022 FSC-klagomål mail.docx", "A 55022-2022")</f>
        <v/>
      </c>
      <c r="AC106">
        <f>HYPERLINK("https://klasma.github.io/Logging_0581/tillsyn/A 55022-2022 tillsynsbegäran.docx", "A 55022-2022")</f>
        <v/>
      </c>
      <c r="AD106">
        <f>HYPERLINK("https://klasma.github.io/Logging_0581/tillsynsmail/A 55022-2022 tillsynsbegäran mail.docx", "A 55022-2022")</f>
        <v/>
      </c>
    </row>
    <row r="107" ht="15" customHeight="1">
      <c r="A107" t="inlineStr">
        <is>
          <t>A 20377-2023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46280</v>
      </c>
      <c r="F107" t="inlineStr">
        <is>
          <t>ÖSTERGÖTLANDS LÄN</t>
        </is>
      </c>
      <c r="G107" t="inlineStr">
        <is>
          <t>NORRKÖPING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Tallticka
Kungsfågel</t>
        </is>
      </c>
      <c r="W107">
        <f>HYPERLINK("https://klasma.github.io/Logging_0581/artfynd/A 20377-2023 artfynd.xlsx", "A 20377-2023")</f>
        <v/>
      </c>
      <c r="X107">
        <f>HYPERLINK("https://klasma.github.io/Logging_0581/kartor/A 20377-2023 karta.png", "A 20377-2023")</f>
        <v/>
      </c>
      <c r="Y107">
        <f>HYPERLINK("https://klasma.github.io/Logging_0581/kartor_geotiff/A 20377-2023 georefererad karta.tif", "A 20377-2023")</f>
        <v/>
      </c>
      <c r="AA107">
        <f>HYPERLINK("https://klasma.github.io/Logging_0581/klagomål/A 20377-2023 FSC-klagomål.docx", "A 20377-2023")</f>
        <v/>
      </c>
      <c r="AB107">
        <f>HYPERLINK("https://klasma.github.io/Logging_0581/klagomålsmail/A 20377-2023 FSC-klagomål mail.docx", "A 20377-2023")</f>
        <v/>
      </c>
      <c r="AC107">
        <f>HYPERLINK("https://klasma.github.io/Logging_0581/tillsyn/A 20377-2023 tillsynsbegäran.docx", "A 20377-2023")</f>
        <v/>
      </c>
      <c r="AD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27503-2022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44742</v>
      </c>
      <c r="E108" s="1" t="n">
        <v>46280</v>
      </c>
      <c r="F108" t="inlineStr">
        <is>
          <t>ÖSTERGÖTLANDS LÄN</t>
        </is>
      </c>
      <c r="G108" t="inlineStr">
        <is>
          <t>NORRKÖPING</t>
        </is>
      </c>
      <c r="I108" t="n">
        <v>2.9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Svinrot
Ängsskära</t>
        </is>
      </c>
      <c r="W108">
        <f>HYPERLINK("https://klasma.github.io/Logging_0581/artfynd/A 27503-2022 artfynd.xlsx", "A 27503-2022")</f>
        <v/>
      </c>
      <c r="X108">
        <f>HYPERLINK("https://klasma.github.io/Logging_0581/kartor/A 27503-2022 karta.png", "A 27503-2022")</f>
        <v/>
      </c>
      <c r="Y108">
        <f>HYPERLINK("https://klasma.github.io/Logging_0581/kartor_geotiff/A 27503-2022 georefererad karta.tif", "A 27503-2022")</f>
        <v/>
      </c>
      <c r="AA108">
        <f>HYPERLINK("https://klasma.github.io/Logging_0581/klagomål/A 27503-2022 FSC-klagomål.docx", "A 27503-2022")</f>
        <v/>
      </c>
      <c r="AB108">
        <f>HYPERLINK("https://klasma.github.io/Logging_0581/klagomålsmail/A 27503-2022 FSC-klagomål mail.docx", "A 27503-2022")</f>
        <v/>
      </c>
      <c r="AC108">
        <f>HYPERLINK("https://klasma.github.io/Logging_0581/tillsyn/A 27503-2022 tillsynsbegäran.docx", "A 27503-2022")</f>
        <v/>
      </c>
      <c r="AD108">
        <f>HYPERLINK("https://klasma.github.io/Logging_0581/tillsynsmail/A 27503-2022 tillsynsbegäran mail.docx", "A 27503-2022")</f>
        <v/>
      </c>
    </row>
    <row r="109" ht="15" customHeight="1">
      <c r="A109" t="inlineStr">
        <is>
          <t>A 46955-2023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46280</v>
      </c>
      <c r="F109" t="inlineStr">
        <is>
          <t>ÖSTERGÖTLANDS LÄN</t>
        </is>
      </c>
      <c r="G109" t="inlineStr">
        <is>
          <t>NORRKÖPING</t>
        </is>
      </c>
      <c r="I109" t="n">
        <v>4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Dropptaggsvamp
Sparvuggla</t>
        </is>
      </c>
      <c r="W109">
        <f>HYPERLINK("https://klasma.github.io/Logging_0581/artfynd/A 46955-2023 artfynd.xlsx", "A 46955-2023")</f>
        <v/>
      </c>
      <c r="X109">
        <f>HYPERLINK("https://klasma.github.io/Logging_0581/kartor/A 46955-2023 karta.png", "A 46955-2023")</f>
        <v/>
      </c>
      <c r="Y109">
        <f>HYPERLINK("https://klasma.github.io/Logging_0581/kartor_geotiff/A 46955-2023 georefererad karta.tif", "A 46955-2023")</f>
        <v/>
      </c>
      <c r="AA109">
        <f>HYPERLINK("https://klasma.github.io/Logging_0581/klagomål/A 46955-2023 FSC-klagomål.docx", "A 46955-2023")</f>
        <v/>
      </c>
      <c r="AB109">
        <f>HYPERLINK("https://klasma.github.io/Logging_0581/klagomålsmail/A 46955-2023 FSC-klagomål mail.docx", "A 46955-2023")</f>
        <v/>
      </c>
      <c r="AC109">
        <f>HYPERLINK("https://klasma.github.io/Logging_0581/tillsyn/A 46955-2023 tillsynsbegäran.docx", "A 46955-2023")</f>
        <v/>
      </c>
      <c r="AD109">
        <f>HYPERLINK("https://klasma.github.io/Logging_0581/tillsynsmail/A 46955-2023 tillsynsbegäran mail.docx", "A 46955-2023")</f>
        <v/>
      </c>
      <c r="AE109">
        <f>HYPERLINK("https://klasma.github.io/Logging_0581/fåglar/A 46955-2023 prioriterade fågelarter.docx", "A 46955-2023")</f>
        <v/>
      </c>
    </row>
    <row r="110" ht="15" customHeight="1">
      <c r="A110" t="inlineStr">
        <is>
          <t>A 9722-2025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46280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3</v>
      </c>
      <c r="U110" t="n">
        <v>0</v>
      </c>
      <c r="V110" s="2" t="inlineStr">
        <is>
          <t>Ask
Blåsippa</t>
        </is>
      </c>
      <c r="W110">
        <f>HYPERLINK("https://klasma.github.io/Logging_0581/artfynd/A 9722-2025 artfynd.xlsx", "A 9722-2025")</f>
        <v/>
      </c>
      <c r="X110">
        <f>HYPERLINK("https://klasma.github.io/Logging_0581/kartor/A 9722-2025 karta.png", "A 9722-2025")</f>
        <v/>
      </c>
      <c r="Y110">
        <f>HYPERLINK("https://klasma.github.io/Logging_0581/kartor_geotiff/A 9722-2025 georefererad karta.tif", "A 9722-2025")</f>
        <v/>
      </c>
      <c r="AA110">
        <f>HYPERLINK("https://klasma.github.io/Logging_0581/klagomål/A 9722-2025 FSC-klagomål.docx", "A 9722-2025")</f>
        <v/>
      </c>
      <c r="AB110">
        <f>HYPERLINK("https://klasma.github.io/Logging_0581/klagomålsmail/A 9722-2025 FSC-klagomål mail.docx", "A 9722-2025")</f>
        <v/>
      </c>
      <c r="AC110">
        <f>HYPERLINK("https://klasma.github.io/Logging_0581/tillsyn/A 9722-2025 tillsynsbegäran.docx", "A 9722-2025")</f>
        <v/>
      </c>
      <c r="AD110">
        <f>HYPERLINK("https://klasma.github.io/Logging_0581/tillsynsmail/A 9722-2025 tillsynsbegäran mail.docx", "A 9722-2025")</f>
        <v/>
      </c>
    </row>
    <row r="111" ht="15" customHeight="1">
      <c r="A111" t="inlineStr">
        <is>
          <t>A 17248-2024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45414</v>
      </c>
      <c r="E111" s="1" t="n">
        <v>46280</v>
      </c>
      <c r="F111" t="inlineStr">
        <is>
          <t>ÖSTERGÖTLANDS LÄN</t>
        </is>
      </c>
      <c r="G111" t="inlineStr">
        <is>
          <t>NORRKÖPING</t>
        </is>
      </c>
      <c r="I111" t="n">
        <v>2.6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3</v>
      </c>
      <c r="V111" s="2" t="inlineStr">
        <is>
          <t>Tallticka
Vedticka</t>
        </is>
      </c>
      <c r="W111">
        <f>HYPERLINK("https://klasma.github.io/Logging_0581/artfynd/A 17248-2024 artfynd.xlsx", "A 17248-2024")</f>
        <v/>
      </c>
      <c r="X111">
        <f>HYPERLINK("https://klasma.github.io/Logging_0581/kartor/A 17248-2024 karta.png", "A 17248-2024")</f>
        <v/>
      </c>
      <c r="Y111">
        <f>HYPERLINK("https://klasma.github.io/Logging_0581/kartor_geotiff/A 17248-2024 georefererad karta.tif", "A 17248-2024")</f>
        <v/>
      </c>
      <c r="AA111">
        <f>HYPERLINK("https://klasma.github.io/Logging_0581/klagomål/A 17248-2024 FSC-klagomål.docx", "A 17248-2024")</f>
        <v/>
      </c>
      <c r="AB111">
        <f>HYPERLINK("https://klasma.github.io/Logging_0581/klagomålsmail/A 17248-2024 FSC-klagomål mail.docx", "A 17248-2024")</f>
        <v/>
      </c>
      <c r="AC111">
        <f>HYPERLINK("https://klasma.github.io/Logging_0581/tillsyn/A 17248-2024 tillsynsbegäran.docx", "A 17248-2024")</f>
        <v/>
      </c>
      <c r="AD111">
        <f>HYPERLINK("https://klasma.github.io/Logging_0581/tillsynsmail/A 17248-2024 tillsynsbegäran mail.docx", "A 17248-2024")</f>
        <v/>
      </c>
    </row>
    <row r="112" ht="15" customHeight="1">
      <c r="A112" t="inlineStr">
        <is>
          <t>A 17793-2025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46280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6.7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Huggorm</t>
        </is>
      </c>
      <c r="W112">
        <f>HYPERLINK("https://klasma.github.io/Logging_0581/artfynd/A 17793-2025 artfynd.xlsx", "A 17793-2025")</f>
        <v/>
      </c>
      <c r="X112">
        <f>HYPERLINK("https://klasma.github.io/Logging_0581/kartor/A 17793-2025 karta.png", "A 17793-2025")</f>
        <v/>
      </c>
      <c r="Y112">
        <f>HYPERLINK("https://klasma.github.io/Logging_0581/kartor_geotiff/A 17793-2025 georefererad karta.tif", "A 17793-2025")</f>
        <v/>
      </c>
      <c r="AA112">
        <f>HYPERLINK("https://klasma.github.io/Logging_0581/klagomål/A 17793-2025 FSC-klagomål.docx", "A 17793-2025")</f>
        <v/>
      </c>
      <c r="AB112">
        <f>HYPERLINK("https://klasma.github.io/Logging_0581/klagomålsmail/A 17793-2025 FSC-klagomål mail.docx", "A 17793-2025")</f>
        <v/>
      </c>
      <c r="AC112">
        <f>HYPERLINK("https://klasma.github.io/Logging_0581/tillsyn/A 17793-2025 tillsynsbegäran.docx", "A 17793-2025")</f>
        <v/>
      </c>
      <c r="AD112">
        <f>HYPERLINK("https://klasma.github.io/Logging_0581/tillsynsmail/A 17793-2025 tillsynsbegäran mail.docx", "A 17793-2025")</f>
        <v/>
      </c>
    </row>
    <row r="113" ht="15" customHeight="1">
      <c r="A113" t="inlineStr">
        <is>
          <t>A 49869-2021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46280</v>
      </c>
      <c r="F113" t="inlineStr">
        <is>
          <t>ÖSTERGÖTLANDS LÄN</t>
        </is>
      </c>
      <c r="G113" t="inlineStr">
        <is>
          <t>NORRKÖPING</t>
        </is>
      </c>
      <c r="I113" t="n">
        <v>2.2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2</v>
      </c>
      <c r="V113" s="2" t="inlineStr">
        <is>
          <t>Jungfrulin
Knippnejlika</t>
        </is>
      </c>
      <c r="W113">
        <f>HYPERLINK("https://klasma.github.io/Logging_0581/artfynd/A 49869-2021 artfynd.xlsx", "A 49869-2021")</f>
        <v/>
      </c>
      <c r="X113">
        <f>HYPERLINK("https://klasma.github.io/Logging_0581/kartor/A 49869-2021 karta.png", "A 49869-2021")</f>
        <v/>
      </c>
      <c r="Y113">
        <f>HYPERLINK("https://klasma.github.io/Logging_0581/kartor_geotiff/A 49869-2021 georefererad karta.tif", "A 49869-2021")</f>
        <v/>
      </c>
      <c r="AA113">
        <f>HYPERLINK("https://klasma.github.io/Logging_0581/klagomål/A 49869-2021 FSC-klagomål.docx", "A 49869-2021")</f>
        <v/>
      </c>
      <c r="AB113">
        <f>HYPERLINK("https://klasma.github.io/Logging_0581/klagomålsmail/A 49869-2021 FSC-klagomål mail.docx", "A 49869-2021")</f>
        <v/>
      </c>
      <c r="AC113">
        <f>HYPERLINK("https://klasma.github.io/Logging_0581/tillsyn/A 49869-2021 tillsynsbegäran.docx", "A 49869-2021")</f>
        <v/>
      </c>
      <c r="AD113">
        <f>HYPERLINK("https://klasma.github.io/Logging_0581/tillsynsmail/A 49869-2021 tillsynsbegäran mail.docx", "A 49869-2021")</f>
        <v/>
      </c>
    </row>
    <row r="114" ht="15" customHeight="1">
      <c r="A114" t="inlineStr">
        <is>
          <t>A 18682-2025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46280</v>
      </c>
      <c r="F114" t="inlineStr">
        <is>
          <t>ÖSTERGÖTLANDS LÄN</t>
        </is>
      </c>
      <c r="G114" t="inlineStr">
        <is>
          <t>NORRKÖPING</t>
        </is>
      </c>
      <c r="I114" t="n">
        <v>8.1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Jungfrulin
Blåmossa</t>
        </is>
      </c>
      <c r="W114">
        <f>HYPERLINK("https://klasma.github.io/Logging_0581/artfynd/A 18682-2025 artfynd.xlsx", "A 18682-2025")</f>
        <v/>
      </c>
      <c r="X114">
        <f>HYPERLINK("https://klasma.github.io/Logging_0581/kartor/A 18682-2025 karta.png", "A 18682-2025")</f>
        <v/>
      </c>
      <c r="Y114">
        <f>HYPERLINK("https://klasma.github.io/Logging_0581/kartor_geotiff/A 18682-2025 georefererad karta.tif", "A 18682-2025")</f>
        <v/>
      </c>
      <c r="AA114">
        <f>HYPERLINK("https://klasma.github.io/Logging_0581/klagomål/A 18682-2025 FSC-klagomål.docx", "A 18682-2025")</f>
        <v/>
      </c>
      <c r="AB114">
        <f>HYPERLINK("https://klasma.github.io/Logging_0581/klagomålsmail/A 18682-2025 FSC-klagomål mail.docx", "A 18682-2025")</f>
        <v/>
      </c>
      <c r="AC114">
        <f>HYPERLINK("https://klasma.github.io/Logging_0581/tillsyn/A 18682-2025 tillsynsbegäran.docx", "A 18682-2025")</f>
        <v/>
      </c>
      <c r="AD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45783</v>
      </c>
      <c r="E115" s="1" t="n">
        <v>46280</v>
      </c>
      <c r="F115" t="inlineStr">
        <is>
          <t>ÖSTERGÖTLANDS LÄN</t>
        </is>
      </c>
      <c r="G115" t="inlineStr">
        <is>
          <t>NORRKÖPING</t>
        </is>
      </c>
      <c r="I115" t="n">
        <v>3.5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HYPERLINK("https://klasma.github.io/Logging_0581/artfynd/A 21799-2025 artfynd.xlsx", "A 21799-2025")</f>
        <v/>
      </c>
      <c r="X115">
        <f>HYPERLINK("https://klasma.github.io/Logging_0581/kartor/A 21799-2025 karta.png", "A 21799-2025")</f>
        <v/>
      </c>
      <c r="Y115">
        <f>HYPERLINK("https://klasma.github.io/Logging_0581/kartor_geotiff/A 21799-2025 georefererad karta.tif", "A 21799-2025")</f>
        <v/>
      </c>
      <c r="AA115">
        <f>HYPERLINK("https://klasma.github.io/Logging_0581/klagomål/A 21799-2025 FSC-klagomål.docx", "A 21799-2025")</f>
        <v/>
      </c>
      <c r="AB115">
        <f>HYPERLINK("https://klasma.github.io/Logging_0581/klagomålsmail/A 21799-2025 FSC-klagomål mail.docx", "A 21799-2025")</f>
        <v/>
      </c>
      <c r="AC115">
        <f>HYPERLINK("https://klasma.github.io/Logging_0581/tillsyn/A 21799-2025 tillsynsbegäran.docx", "A 21799-2025")</f>
        <v/>
      </c>
      <c r="AD115">
        <f>HYPERLINK("https://klasma.github.io/Logging_0581/tillsynsmail/A 21799-2025 tillsynsbegäran mail.docx", "A 21799-2025")</f>
        <v/>
      </c>
    </row>
    <row r="116" ht="15" customHeight="1">
      <c r="A116" t="inlineStr">
        <is>
          <t>S 7166-2022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44915</v>
      </c>
      <c r="E116" s="1" t="n">
        <v>46280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12.3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Tallticka
Aspvedgnagare</t>
        </is>
      </c>
      <c r="W116">
        <f>HYPERLINK("https://klasma.github.io/Logging_0581/artfynd/S 7166-2022 artfynd.xlsx", "S 7166-2022")</f>
        <v/>
      </c>
      <c r="X116">
        <f>HYPERLINK("https://klasma.github.io/Logging_0581/kartor/S 7166-2022 karta.png", "S 7166-2022")</f>
        <v/>
      </c>
      <c r="Y116">
        <f>HYPERLINK("https://klasma.github.io/Logging_0581/kartor_geotiff/S 7166-2022 georefererad karta.tif", "S 7166-2022")</f>
        <v/>
      </c>
      <c r="AA116">
        <f>HYPERLINK("https://klasma.github.io/Logging_0581/klagomål/S 7166-2022 FSC-klagomål.docx", "S 7166-2022")</f>
        <v/>
      </c>
      <c r="AB116">
        <f>HYPERLINK("https://klasma.github.io/Logging_0581/klagomålsmail/S 7166-2022 FSC-klagomål mail.docx", "S 7166-2022")</f>
        <v/>
      </c>
      <c r="AC116">
        <f>HYPERLINK("https://klasma.github.io/Logging_0581/tillsyn/S 7166-2022 tillsynsbegäran.docx", "S 7166-2022")</f>
        <v/>
      </c>
      <c r="AD116">
        <f>HYPERLINK("https://klasma.github.io/Logging_0581/tillsynsmail/S 7166-2022 tillsynsbegäran mail.docx", "S 7166-2022")</f>
        <v/>
      </c>
    </row>
    <row r="117" ht="15" customHeight="1">
      <c r="A117" t="inlineStr">
        <is>
          <t>S 1518-2025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45791</v>
      </c>
      <c r="E117" s="1" t="n">
        <v>46280</v>
      </c>
      <c r="F117" t="inlineStr">
        <is>
          <t>ÖSTERGÖTLANDS LÄN</t>
        </is>
      </c>
      <c r="G117" t="inlineStr">
        <is>
          <t>NORRKÖPING</t>
        </is>
      </c>
      <c r="I117" t="n">
        <v>3.6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Blåmossa
Revlummer</t>
        </is>
      </c>
      <c r="W117">
        <f>HYPERLINK("https://klasma.github.io/Logging_0581/artfynd/S 1518-2025 artfynd.xlsx", "S 1518-2025")</f>
        <v/>
      </c>
      <c r="X117">
        <f>HYPERLINK("https://klasma.github.io/Logging_0581/kartor/S 1518-2025 karta.png", "S 1518-2025")</f>
        <v/>
      </c>
      <c r="Y117">
        <f>HYPERLINK("https://klasma.github.io/Logging_0581/kartor_geotiff/S 1518-2025 georefererad karta.tif", "S 1518-2025")</f>
        <v/>
      </c>
      <c r="AA117">
        <f>HYPERLINK("https://klasma.github.io/Logging_0581/klagomål/S 1518-2025 FSC-klagomål.docx", "S 1518-2025")</f>
        <v/>
      </c>
      <c r="AB117">
        <f>HYPERLINK("https://klasma.github.io/Logging_0581/klagomålsmail/S 1518-2025 FSC-klagomål mail.docx", "S 1518-2025")</f>
        <v/>
      </c>
      <c r="AC117">
        <f>HYPERLINK("https://klasma.github.io/Logging_0581/tillsyn/S 1518-2025 tillsynsbegäran.docx", "S 1518-2025")</f>
        <v/>
      </c>
      <c r="AD117">
        <f>HYPERLINK("https://klasma.github.io/Logging_0581/tillsynsmail/S 1518-2025 tillsynsbegäran mail.docx", "S 1518-2025")</f>
        <v/>
      </c>
    </row>
    <row r="118" ht="15" customHeight="1">
      <c r="A118" t="inlineStr">
        <is>
          <t>S 2624-2025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45918</v>
      </c>
      <c r="E118" s="1" t="n">
        <v>46280</v>
      </c>
      <c r="F118" t="inlineStr">
        <is>
          <t>ÖSTERGÖTLANDS LÄN</t>
        </is>
      </c>
      <c r="G118" t="inlineStr">
        <is>
          <t>NORRKÖPING</t>
        </is>
      </c>
      <c r="I118" t="n">
        <v>2.8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Större vattensalamander
Mindre vattensalamander</t>
        </is>
      </c>
      <c r="W118">
        <f>HYPERLINK("https://klasma.github.io/Logging_0581/artfynd/S 2624-2025 artfynd.xlsx", "S 2624-2025")</f>
        <v/>
      </c>
      <c r="X118">
        <f>HYPERLINK("https://klasma.github.io/Logging_0581/kartor/S 2624-2025 karta.png", "S 2624-2025")</f>
        <v/>
      </c>
      <c r="Y118">
        <f>HYPERLINK("https://klasma.github.io/Logging_0581/kartor_geotiff/S 2624-2025 georefererad karta.tif", "S 2624-2025")</f>
        <v/>
      </c>
      <c r="AA118">
        <f>HYPERLINK("https://klasma.github.io/Logging_0581/klagomål/S 2624-2025 FSC-klagomål.docx", "S 2624-2025")</f>
        <v/>
      </c>
      <c r="AB118">
        <f>HYPERLINK("https://klasma.github.io/Logging_0581/klagomålsmail/S 2624-2025 FSC-klagomål mail.docx", "S 2624-2025")</f>
        <v/>
      </c>
      <c r="AC118">
        <f>HYPERLINK("https://klasma.github.io/Logging_0581/tillsyn/S 2624-2025 tillsynsbegäran.docx", "S 2624-2025")</f>
        <v/>
      </c>
      <c r="AD118">
        <f>HYPERLINK("https://klasma.github.io/Logging_0581/tillsynsmail/S 2624-2025 tillsynsbegäran mail.docx", "S 2624-2025")</f>
        <v/>
      </c>
    </row>
    <row r="119" ht="15" customHeight="1">
      <c r="A119" t="inlineStr">
        <is>
          <t>A 56584-2021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46280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1.2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Vätteros</t>
        </is>
      </c>
      <c r="W119">
        <f>HYPERLINK("https://klasma.github.io/Logging_0581/artfynd/A 56584-2021 artfynd.xlsx", "A 56584-2021")</f>
        <v/>
      </c>
      <c r="X119">
        <f>HYPERLINK("https://klasma.github.io/Logging_0581/kartor/A 56584-2021 karta.png", "A 56584-2021")</f>
        <v/>
      </c>
      <c r="Y119">
        <f>HYPERLINK("https://klasma.github.io/Logging_0581/kartor_geotiff/A 56584-2021 georefererad karta.tif", "A 56584-2021")</f>
        <v/>
      </c>
      <c r="AA119">
        <f>HYPERLINK("https://klasma.github.io/Logging_0581/klagomål/A 56584-2021 FSC-klagomål.docx", "A 56584-2021")</f>
        <v/>
      </c>
      <c r="AB119">
        <f>HYPERLINK("https://klasma.github.io/Logging_0581/klagomålsmail/A 56584-2021 FSC-klagomål mail.docx", "A 56584-2021")</f>
        <v/>
      </c>
      <c r="AC119">
        <f>HYPERLINK("https://klasma.github.io/Logging_0581/tillsyn/A 56584-2021 tillsynsbegäran.docx", "A 56584-2021")</f>
        <v/>
      </c>
      <c r="AD119">
        <f>HYPERLINK("https://klasma.github.io/Logging_0581/tillsynsmail/A 56584-2021 tillsynsbegäran mail.docx", "A 56584-2021")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46280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46280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46280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46280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46280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HYPERLINK("https://klasma.github.io/Logging_0581/artfynd/A 9790-2024 artfynd.xlsx", "A 9790-2024")</f>
        <v/>
      </c>
      <c r="X124">
        <f>HYPERLINK("https://klasma.github.io/Logging_0581/kartor/A 9790-2024 karta.png", "A 9790-2024")</f>
        <v/>
      </c>
      <c r="Y124">
        <f>HYPERLINK("https://klasma.github.io/Logging_0581/kartor_geotiff/A 9790-2024 georefererad karta.tif", "A 9790-2024")</f>
        <v/>
      </c>
      <c r="AA124">
        <f>HYPERLINK("https://klasma.github.io/Logging_0581/klagomål/A 9790-2024 FSC-klagomål.docx", "A 9790-2024")</f>
        <v/>
      </c>
      <c r="AB124">
        <f>HYPERLINK("https://klasma.github.io/Logging_0581/klagomålsmail/A 9790-2024 FSC-klagomål mail.docx", "A 9790-2024")</f>
        <v/>
      </c>
      <c r="AC124">
        <f>HYPERLINK("https://klasma.github.io/Logging_0581/tillsyn/A 9790-2024 tillsynsbegäran.docx", "A 9790-2024")</f>
        <v/>
      </c>
      <c r="AD124">
        <f>HYPERLINK("https://klasma.github.io/Logging_0581/tillsynsmail/A 9790-2024 tillsynsbegäran mail.docx", "A 9790-2024")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46280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Grönpyrola</t>
        </is>
      </c>
      <c r="W125">
        <f>HYPERLINK("https://klasma.github.io/Logging_0581/artfynd/A 31897-2022 artfynd.xlsx", "A 31897-2022")</f>
        <v/>
      </c>
      <c r="X125">
        <f>HYPERLINK("https://klasma.github.io/Logging_0581/kartor/A 31897-2022 karta.png", "A 31897-2022")</f>
        <v/>
      </c>
      <c r="Y125">
        <f>HYPERLINK("https://klasma.github.io/Logging_0581/kartor_geotiff/A 31897-2022 georefererad karta.tif", "A 31897-2022")</f>
        <v/>
      </c>
      <c r="AA125">
        <f>HYPERLINK("https://klasma.github.io/Logging_0581/klagomål/A 31897-2022 FSC-klagomål.docx", "A 31897-2022")</f>
        <v/>
      </c>
      <c r="AB125">
        <f>HYPERLINK("https://klasma.github.io/Logging_0581/klagomålsmail/A 31897-2022 FSC-klagomål mail.docx", "A 31897-2022")</f>
        <v/>
      </c>
      <c r="AC125">
        <f>HYPERLINK("https://klasma.github.io/Logging_0581/tillsyn/A 31897-2022 tillsynsbegäran.docx", "A 31897-2022")</f>
        <v/>
      </c>
      <c r="AD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46806-2024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46280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46806-2024 artfynd.xlsx", "A 46806-2024")</f>
        <v/>
      </c>
      <c r="X126">
        <f>HYPERLINK("https://klasma.github.io/Logging_0581/kartor/A 46806-2024 karta.png", "A 46806-2024")</f>
        <v/>
      </c>
      <c r="Y126">
        <f>HYPERLINK("https://klasma.github.io/Logging_0581/kartor_geotiff/A 46806-2024 georefererad karta.tif", "A 46806-2024")</f>
        <v/>
      </c>
      <c r="AA126">
        <f>HYPERLINK("https://klasma.github.io/Logging_0581/klagomål/A 46806-2024 FSC-klagomål.docx", "A 46806-2024")</f>
        <v/>
      </c>
      <c r="AB126">
        <f>HYPERLINK("https://klasma.github.io/Logging_0581/klagomålsmail/A 46806-2024 FSC-klagomål mail.docx", "A 46806-2024")</f>
        <v/>
      </c>
      <c r="AC126">
        <f>HYPERLINK("https://klasma.github.io/Logging_0581/tillsyn/A 46806-2024 tillsynsbegäran.docx", "A 46806-2024")</f>
        <v/>
      </c>
      <c r="AD126">
        <f>HYPERLINK("https://klasma.github.io/Logging_0581/tillsynsmail/A 46806-2024 tillsynsbegäran mail.docx", "A 46806-2024")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46280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40053-2025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45894</v>
      </c>
      <c r="E128" s="1" t="n">
        <v>46280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HYPERLINK("https://klasma.github.io/Logging_0581/artfynd/A 40053-2025 artfynd.xlsx", "A 40053-2025")</f>
        <v/>
      </c>
      <c r="X128">
        <f>HYPERLINK("https://klasma.github.io/Logging_0581/kartor/A 40053-2025 karta.png", "A 40053-2025")</f>
        <v/>
      </c>
      <c r="Y128">
        <f>HYPERLINK("https://klasma.github.io/Logging_0581/kartor_geotiff/A 40053-2025 georefererad karta.tif", "A 40053-2025")</f>
        <v/>
      </c>
      <c r="AA128">
        <f>HYPERLINK("https://klasma.github.io/Logging_0581/klagomål/A 40053-2025 FSC-klagomål.docx", "A 40053-2025")</f>
        <v/>
      </c>
      <c r="AB128">
        <f>HYPERLINK("https://klasma.github.io/Logging_0581/klagomålsmail/A 40053-2025 FSC-klagomål mail.docx", "A 40053-2025")</f>
        <v/>
      </c>
      <c r="AC128">
        <f>HYPERLINK("https://klasma.github.io/Logging_0581/tillsyn/A 40053-2025 tillsynsbegäran.docx", "A 40053-2025")</f>
        <v/>
      </c>
      <c r="AD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46280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40095-2025 artfynd.xlsx", "A 40095-2025")</f>
        <v/>
      </c>
      <c r="X129">
        <f>HYPERLINK("https://klasma.github.io/Logging_0581/kartor/A 40095-2025 karta.png", "A 40095-2025")</f>
        <v/>
      </c>
      <c r="Y129">
        <f>HYPERLINK("https://klasma.github.io/Logging_0581/kartor_geotiff/A 40095-2025 georefererad karta.tif", "A 40095-2025")</f>
        <v/>
      </c>
      <c r="AA129">
        <f>HYPERLINK("https://klasma.github.io/Logging_0581/klagomål/A 40095-2025 FSC-klagomål.docx", "A 40095-2025")</f>
        <v/>
      </c>
      <c r="AB129">
        <f>HYPERLINK("https://klasma.github.io/Logging_0581/klagomålsmail/A 40095-2025 FSC-klagomål mail.docx", "A 40095-2025")</f>
        <v/>
      </c>
      <c r="AC129">
        <f>HYPERLINK("https://klasma.github.io/Logging_0581/tillsyn/A 40095-2025 tillsynsbegäran.docx", "A 40095-2025")</f>
        <v/>
      </c>
      <c r="AD129">
        <f>HYPERLINK("https://klasma.github.io/Logging_0581/tillsynsmail/A 40095-2025 tillsynsbegäran mail.docx", "A 40095-2025")</f>
        <v/>
      </c>
      <c r="AE129">
        <f>HYPERLINK("https://klasma.github.io/Logging_0581/fåglar/A 40095-2025 prioriterade fågelarter.docx", "A 40095-2025")</f>
        <v/>
      </c>
    </row>
    <row r="130" ht="15" customHeight="1">
      <c r="A130" t="inlineStr">
        <is>
          <t>A 46671-2024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46280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Kattfotslav</t>
        </is>
      </c>
      <c r="W130">
        <f>HYPERLINK("https://klasma.github.io/Logging_0581/artfynd/A 46671-2024 artfynd.xlsx", "A 46671-2024")</f>
        <v/>
      </c>
      <c r="X130">
        <f>HYPERLINK("https://klasma.github.io/Logging_0581/kartor/A 46671-2024 karta.png", "A 46671-2024")</f>
        <v/>
      </c>
      <c r="Y130">
        <f>HYPERLINK("https://klasma.github.io/Logging_0581/kartor_geotiff/A 46671-2024 georefererad karta.tif", "A 46671-2024")</f>
        <v/>
      </c>
      <c r="AA130">
        <f>HYPERLINK("https://klasma.github.io/Logging_0581/klagomål/A 46671-2024 FSC-klagomål.docx", "A 46671-2024")</f>
        <v/>
      </c>
      <c r="AB130">
        <f>HYPERLINK("https://klasma.github.io/Logging_0581/klagomålsmail/A 46671-2024 FSC-klagomål mail.docx", "A 46671-2024")</f>
        <v/>
      </c>
      <c r="AC130">
        <f>HYPERLINK("https://klasma.github.io/Logging_0581/tillsyn/A 46671-2024 tillsynsbegäran.docx", "A 46671-2024")</f>
        <v/>
      </c>
      <c r="AD130">
        <f>HYPERLINK("https://klasma.github.io/Logging_0581/tillsynsmail/A 46671-2024 tillsynsbegäran mail.docx", "A 46671-2024")</f>
        <v/>
      </c>
    </row>
    <row r="131" ht="15" customHeight="1">
      <c r="A131" t="inlineStr">
        <is>
          <t>A 2832-2026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46280</v>
      </c>
      <c r="F131" t="inlineStr">
        <is>
          <t>ÖSTERGÖTLANDS LÄN</t>
        </is>
      </c>
      <c r="G131" t="inlineStr">
        <is>
          <t>NORRKÖPING</t>
        </is>
      </c>
      <c r="I131" t="n">
        <v>5.5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HYPERLINK("https://klasma.github.io/Logging_0581/artfynd/A 2832-2026 artfynd.xlsx", "A 2832-2026")</f>
        <v/>
      </c>
      <c r="X131">
        <f>HYPERLINK("https://klasma.github.io/Logging_0581/kartor/A 2832-2026 karta.png", "A 2832-2026")</f>
        <v/>
      </c>
      <c r="Y131">
        <f>HYPERLINK("https://klasma.github.io/Logging_0581/kartor_geotiff/A 2832-2026 georefererad karta.tif", "A 2832-2026")</f>
        <v/>
      </c>
      <c r="AA131">
        <f>HYPERLINK("https://klasma.github.io/Logging_0581/klagomål/A 2832-2026 FSC-klagomål.docx", "A 2832-2026")</f>
        <v/>
      </c>
      <c r="AB131">
        <f>HYPERLINK("https://klasma.github.io/Logging_0581/klagomålsmail/A 2832-2026 FSC-klagomål mail.docx", "A 2832-2026")</f>
        <v/>
      </c>
      <c r="AC131">
        <f>HYPERLINK("https://klasma.github.io/Logging_0581/tillsyn/A 2832-2026 tillsynsbegäran.docx", "A 2832-2026")</f>
        <v/>
      </c>
      <c r="AD131">
        <f>HYPERLINK("https://klasma.github.io/Logging_0581/tillsynsmail/A 2832-2026 tillsynsbegäran mail.docx", "A 2832-2026")</f>
        <v/>
      </c>
    </row>
    <row r="132" ht="15" customHeight="1">
      <c r="A132" t="inlineStr">
        <is>
          <t>A 42548-2025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46280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Kattfotslav</t>
        </is>
      </c>
      <c r="W132">
        <f>HYPERLINK("https://klasma.github.io/Logging_0581/artfynd/A 42548-2025 artfynd.xlsx", "A 42548-2025")</f>
        <v/>
      </c>
      <c r="X132">
        <f>HYPERLINK("https://klasma.github.io/Logging_0581/kartor/A 42548-2025 karta.png", "A 42548-2025")</f>
        <v/>
      </c>
      <c r="Y132">
        <f>HYPERLINK("https://klasma.github.io/Logging_0581/kartor_geotiff/A 42548-2025 georefererad karta.tif", "A 42548-2025")</f>
        <v/>
      </c>
      <c r="AA132">
        <f>HYPERLINK("https://klasma.github.io/Logging_0581/klagomål/A 42548-2025 FSC-klagomål.docx", "A 42548-2025")</f>
        <v/>
      </c>
      <c r="AB132">
        <f>HYPERLINK("https://klasma.github.io/Logging_0581/klagomålsmail/A 42548-2025 FSC-klagomål mail.docx", "A 42548-2025")</f>
        <v/>
      </c>
      <c r="AC132">
        <f>HYPERLINK("https://klasma.github.io/Logging_0581/tillsyn/A 42548-2025 tillsynsbegäran.docx", "A 42548-2025")</f>
        <v/>
      </c>
      <c r="AD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42233-2025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46280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HYPERLINK("https://klasma.github.io/Logging_0581/artfynd/A 42233-2025 artfynd.xlsx", "A 42233-2025")</f>
        <v/>
      </c>
      <c r="X133">
        <f>HYPERLINK("https://klasma.github.io/Logging_0581/kartor/A 42233-2025 karta.png", "A 42233-2025")</f>
        <v/>
      </c>
      <c r="Y133">
        <f>HYPERLINK("https://klasma.github.io/Logging_0581/kartor_geotiff/A 42233-2025 georefererad karta.tif", "A 42233-2025")</f>
        <v/>
      </c>
      <c r="AA133">
        <f>HYPERLINK("https://klasma.github.io/Logging_0581/klagomål/A 42233-2025 FSC-klagomål.docx", "A 42233-2025")</f>
        <v/>
      </c>
      <c r="AB133">
        <f>HYPERLINK("https://klasma.github.io/Logging_0581/klagomålsmail/A 42233-2025 FSC-klagomål mail.docx", "A 42233-2025")</f>
        <v/>
      </c>
      <c r="AC133">
        <f>HYPERLINK("https://klasma.github.io/Logging_0581/tillsyn/A 42233-2025 tillsynsbegäran.docx", "A 42233-2025")</f>
        <v/>
      </c>
      <c r="AD133">
        <f>HYPERLINK("https://klasma.github.io/Logging_0581/tillsynsmail/A 42233-2025 tillsynsbegäran mail.docx", "A 42233-2025")</f>
        <v/>
      </c>
    </row>
    <row r="134" ht="15" customHeight="1">
      <c r="A134" t="inlineStr">
        <is>
          <t>A 31320-2025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46280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Blåmossa</t>
        </is>
      </c>
      <c r="W134">
        <f>HYPERLINK("https://klasma.github.io/Logging_0581/artfynd/A 31320-2025 artfynd.xlsx", "A 31320-2025")</f>
        <v/>
      </c>
      <c r="X134">
        <f>HYPERLINK("https://klasma.github.io/Logging_0581/kartor/A 31320-2025 karta.png", "A 31320-2025")</f>
        <v/>
      </c>
      <c r="Y134">
        <f>HYPERLINK("https://klasma.github.io/Logging_0581/kartor_geotiff/A 31320-2025 georefererad karta.tif", "A 31320-2025")</f>
        <v/>
      </c>
      <c r="AA134">
        <f>HYPERLINK("https://klasma.github.io/Logging_0581/klagomål/A 31320-2025 FSC-klagomål.docx", "A 31320-2025")</f>
        <v/>
      </c>
      <c r="AB134">
        <f>HYPERLINK("https://klasma.github.io/Logging_0581/klagomålsmail/A 31320-2025 FSC-klagomål mail.docx", "A 31320-2025")</f>
        <v/>
      </c>
      <c r="AC134">
        <f>HYPERLINK("https://klasma.github.io/Logging_0581/tillsyn/A 31320-2025 tillsynsbegäran.docx", "A 31320-2025")</f>
        <v/>
      </c>
      <c r="AD134">
        <f>HYPERLINK("https://klasma.github.io/Logging_0581/tillsynsmail/A 31320-2025 tillsynsbegäran mail.docx", "A 31320-2025")</f>
        <v/>
      </c>
    </row>
    <row r="135" ht="15" customHeight="1">
      <c r="A135" t="inlineStr">
        <is>
          <t>A 41369-2023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46280</v>
      </c>
      <c r="F135" t="inlineStr">
        <is>
          <t>ÖSTERGÖTLANDS LÄN</t>
        </is>
      </c>
      <c r="G135" t="inlineStr">
        <is>
          <t>NORRKÖPING</t>
        </is>
      </c>
      <c r="I135" t="n">
        <v>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HYPERLINK("https://klasma.github.io/Logging_0581/artfynd/A 41369-2023 artfynd.xlsx", "A 41369-2023")</f>
        <v/>
      </c>
      <c r="X135">
        <f>HYPERLINK("https://klasma.github.io/Logging_0581/kartor/A 41369-2023 karta.png", "A 41369-2023")</f>
        <v/>
      </c>
      <c r="Y135">
        <f>HYPERLINK("https://klasma.github.io/Logging_0581/kartor_geotiff/A 41369-2023 georefererad karta.tif", "A 41369-2023")</f>
        <v/>
      </c>
      <c r="AA135">
        <f>HYPERLINK("https://klasma.github.io/Logging_0581/klagomål/A 41369-2023 FSC-klagomål.docx", "A 41369-2023")</f>
        <v/>
      </c>
      <c r="AB135">
        <f>HYPERLINK("https://klasma.github.io/Logging_0581/klagomålsmail/A 41369-2023 FSC-klagomål mail.docx", "A 41369-2023")</f>
        <v/>
      </c>
      <c r="AC135">
        <f>HYPERLINK("https://klasma.github.io/Logging_0581/tillsyn/A 41369-2023 tillsynsbegäran.docx", "A 41369-2023")</f>
        <v/>
      </c>
      <c r="AD135">
        <f>HYPERLINK("https://klasma.github.io/Logging_0581/tillsynsmail/A 41369-2023 tillsynsbegäran mail.docx", "A 41369-2023")</f>
        <v/>
      </c>
    </row>
    <row r="136" ht="15" customHeight="1">
      <c r="A136" t="inlineStr">
        <is>
          <t>A 62973-2021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44504</v>
      </c>
      <c r="E136" s="1" t="n">
        <v>46280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Krusfrö</t>
        </is>
      </c>
      <c r="W136">
        <f>HYPERLINK("https://klasma.github.io/Logging_0581/artfynd/A 62973-2021 artfynd.xlsx", "A 62973-2021")</f>
        <v/>
      </c>
      <c r="X136">
        <f>HYPERLINK("https://klasma.github.io/Logging_0581/kartor/A 62973-2021 karta.png", "A 62973-2021")</f>
        <v/>
      </c>
      <c r="Y136">
        <f>HYPERLINK("https://klasma.github.io/Logging_0581/kartor_geotiff/A 62973-2021 georefererad karta.tif", "A 62973-2021")</f>
        <v/>
      </c>
      <c r="AA136">
        <f>HYPERLINK("https://klasma.github.io/Logging_0581/klagomål/A 62973-2021 FSC-klagomål.docx", "A 62973-2021")</f>
        <v/>
      </c>
      <c r="AB136">
        <f>HYPERLINK("https://klasma.github.io/Logging_0581/klagomålsmail/A 62973-2021 FSC-klagomål mail.docx", "A 62973-2021")</f>
        <v/>
      </c>
      <c r="AC136">
        <f>HYPERLINK("https://klasma.github.io/Logging_0581/tillsyn/A 62973-2021 tillsynsbegäran.docx", "A 62973-2021")</f>
        <v/>
      </c>
      <c r="AD136">
        <f>HYPERLINK("https://klasma.github.io/Logging_0581/tillsynsmail/A 62973-2021 tillsynsbegäran mail.docx", "A 62973-2021")</f>
        <v/>
      </c>
    </row>
    <row r="137" ht="15" customHeight="1">
      <c r="A137" t="inlineStr">
        <is>
          <t>A 19995-2025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46280</v>
      </c>
      <c r="F137" t="inlineStr">
        <is>
          <t>ÖSTERGÖTLANDS LÄN</t>
        </is>
      </c>
      <c r="G137" t="inlineStr">
        <is>
          <t>NORRKÖPING</t>
        </is>
      </c>
      <c r="I137" t="n">
        <v>1.1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Blomkålssvamp</t>
        </is>
      </c>
      <c r="W137">
        <f>HYPERLINK("https://klasma.github.io/Logging_0581/artfynd/A 19995-2025 artfynd.xlsx", "A 19995-2025")</f>
        <v/>
      </c>
      <c r="X137">
        <f>HYPERLINK("https://klasma.github.io/Logging_0581/kartor/A 19995-2025 karta.png", "A 19995-2025")</f>
        <v/>
      </c>
      <c r="Y137">
        <f>HYPERLINK("https://klasma.github.io/Logging_0581/kartor_geotiff/A 19995-2025 georefererad karta.tif", "A 19995-2025")</f>
        <v/>
      </c>
      <c r="AA137">
        <f>HYPERLINK("https://klasma.github.io/Logging_0581/klagomål/A 19995-2025 FSC-klagomål.docx", "A 19995-2025")</f>
        <v/>
      </c>
      <c r="AB137">
        <f>HYPERLINK("https://klasma.github.io/Logging_0581/klagomålsmail/A 19995-2025 FSC-klagomål mail.docx", "A 19995-2025")</f>
        <v/>
      </c>
      <c r="AC137">
        <f>HYPERLINK("https://klasma.github.io/Logging_0581/tillsyn/A 19995-2025 tillsynsbegäran.docx", "A 19995-2025")</f>
        <v/>
      </c>
      <c r="AD137">
        <f>HYPERLINK("https://klasma.github.io/Logging_0581/tillsynsmail/A 19995-2025 tillsynsbegäran mail.docx", "A 19995-2025")</f>
        <v/>
      </c>
    </row>
    <row r="138" ht="15" customHeight="1">
      <c r="A138" t="inlineStr">
        <is>
          <t>A 9941-2024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45363</v>
      </c>
      <c r="E138" s="1" t="n">
        <v>46280</v>
      </c>
      <c r="F138" t="inlineStr">
        <is>
          <t>ÖSTERGÖTLANDS LÄN</t>
        </is>
      </c>
      <c r="G138" t="inlineStr">
        <is>
          <t>NORRKÖPING</t>
        </is>
      </c>
      <c r="I138" t="n">
        <v>3.1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Purpurknipprot</t>
        </is>
      </c>
      <c r="W138">
        <f>HYPERLINK("https://klasma.github.io/Logging_0581/artfynd/A 9941-2024 artfynd.xlsx", "A 9941-2024")</f>
        <v/>
      </c>
      <c r="X138">
        <f>HYPERLINK("https://klasma.github.io/Logging_0581/kartor/A 9941-2024 karta.png", "A 9941-2024")</f>
        <v/>
      </c>
      <c r="Y138">
        <f>HYPERLINK("https://klasma.github.io/Logging_0581/kartor_geotiff/A 9941-2024 georefererad karta.tif", "A 9941-2024")</f>
        <v/>
      </c>
      <c r="AA138">
        <f>HYPERLINK("https://klasma.github.io/Logging_0581/klagomål/A 9941-2024 FSC-klagomål.docx", "A 9941-2024")</f>
        <v/>
      </c>
      <c r="AB138">
        <f>HYPERLINK("https://klasma.github.io/Logging_0581/klagomålsmail/A 9941-2024 FSC-klagomål mail.docx", "A 9941-2024")</f>
        <v/>
      </c>
      <c r="AC138">
        <f>HYPERLINK("https://klasma.github.io/Logging_0581/tillsyn/A 9941-2024 tillsynsbegäran.docx", "A 9941-2024")</f>
        <v/>
      </c>
      <c r="AD138">
        <f>HYPERLINK("https://klasma.github.io/Logging_0581/tillsynsmail/A 9941-2024 tillsynsbegäran mail.docx", "A 9941-2024")</f>
        <v/>
      </c>
    </row>
    <row r="139" ht="15" customHeight="1">
      <c r="A139" t="inlineStr">
        <is>
          <t>A 1077-2023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46280</v>
      </c>
      <c r="F139" t="inlineStr">
        <is>
          <t>ÖSTERGÖTLANDS LÄN</t>
        </is>
      </c>
      <c r="G139" t="inlineStr">
        <is>
          <t>NORRKÖPING</t>
        </is>
      </c>
      <c r="I139" t="n">
        <v>3.4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Äkta lopplummer</t>
        </is>
      </c>
      <c r="W139">
        <f>HYPERLINK("https://klasma.github.io/Logging_0581/artfynd/A 1077-2023 artfynd.xlsx", "A 1077-2023")</f>
        <v/>
      </c>
      <c r="X139">
        <f>HYPERLINK("https://klasma.github.io/Logging_0581/kartor/A 1077-2023 karta.png", "A 1077-2023")</f>
        <v/>
      </c>
      <c r="Y139">
        <f>HYPERLINK("https://klasma.github.io/Logging_0581/kartor_geotiff/A 1077-2023 georefererad karta.tif", "A 1077-2023")</f>
        <v/>
      </c>
      <c r="AA139">
        <f>HYPERLINK("https://klasma.github.io/Logging_0581/klagomål/A 1077-2023 FSC-klagomål.docx", "A 1077-2023")</f>
        <v/>
      </c>
      <c r="AB139">
        <f>HYPERLINK("https://klasma.github.io/Logging_0581/klagomålsmail/A 1077-2023 FSC-klagomål mail.docx", "A 1077-2023")</f>
        <v/>
      </c>
      <c r="AC139">
        <f>HYPERLINK("https://klasma.github.io/Logging_0581/tillsyn/A 1077-2023 tillsynsbegäran.docx", "A 1077-2023")</f>
        <v/>
      </c>
      <c r="AD139">
        <f>HYPERLINK("https://klasma.github.io/Logging_0581/tillsynsmail/A 1077-2023 tillsynsbegäran mail.docx", "A 1077-2023")</f>
        <v/>
      </c>
    </row>
    <row r="140" ht="15" customHeight="1">
      <c r="A140" t="inlineStr">
        <is>
          <t>A 46201-2025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46280</v>
      </c>
      <c r="F140" t="inlineStr">
        <is>
          <t>ÖSTERGÖTLANDS LÄN</t>
        </is>
      </c>
      <c r="G140" t="inlineStr">
        <is>
          <t>NORRKÖPING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Hasselticka</t>
        </is>
      </c>
      <c r="W140">
        <f>HYPERLINK("https://klasma.github.io/Logging_0581/artfynd/A 46201-2025 artfynd.xlsx", "A 46201-2025")</f>
        <v/>
      </c>
      <c r="X140">
        <f>HYPERLINK("https://klasma.github.io/Logging_0581/kartor/A 46201-2025 karta.png", "A 46201-2025")</f>
        <v/>
      </c>
      <c r="Y140">
        <f>HYPERLINK("https://klasma.github.io/Logging_0581/kartor_geotiff/A 46201-2025 georefererad karta.tif", "A 46201-2025")</f>
        <v/>
      </c>
      <c r="AA140">
        <f>HYPERLINK("https://klasma.github.io/Logging_0581/klagomål/A 46201-2025 FSC-klagomål.docx", "A 46201-2025")</f>
        <v/>
      </c>
      <c r="AB140">
        <f>HYPERLINK("https://klasma.github.io/Logging_0581/klagomålsmail/A 46201-2025 FSC-klagomål mail.docx", "A 46201-2025")</f>
        <v/>
      </c>
      <c r="AC140">
        <f>HYPERLINK("https://klasma.github.io/Logging_0581/tillsyn/A 46201-2025 tillsynsbegäran.docx", "A 46201-2025")</f>
        <v/>
      </c>
      <c r="AD140">
        <f>HYPERLINK("https://klasma.github.io/Logging_0581/tillsynsmail/A 46201-2025 tillsynsbegäran mail.docx", "A 46201-2025")</f>
        <v/>
      </c>
    </row>
    <row r="141" ht="15" customHeight="1">
      <c r="A141" t="inlineStr">
        <is>
          <t>A 34078-2025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46280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Järpe</t>
        </is>
      </c>
      <c r="W141">
        <f>HYPERLINK("https://klasma.github.io/Logging_0581/artfynd/A 34078-2025 artfynd.xlsx", "A 34078-2025")</f>
        <v/>
      </c>
      <c r="X141">
        <f>HYPERLINK("https://klasma.github.io/Logging_0581/kartor/A 34078-2025 karta.png", "A 34078-2025")</f>
        <v/>
      </c>
      <c r="Y141">
        <f>HYPERLINK("https://klasma.github.io/Logging_0581/kartor_geotiff/A 34078-2025 georefererad karta.tif", "A 34078-2025")</f>
        <v/>
      </c>
      <c r="AA141">
        <f>HYPERLINK("https://klasma.github.io/Logging_0581/klagomål/A 34078-2025 FSC-klagomål.docx", "A 34078-2025")</f>
        <v/>
      </c>
      <c r="AB141">
        <f>HYPERLINK("https://klasma.github.io/Logging_0581/klagomålsmail/A 34078-2025 FSC-klagomål mail.docx", "A 34078-2025")</f>
        <v/>
      </c>
      <c r="AC141">
        <f>HYPERLINK("https://klasma.github.io/Logging_0581/tillsyn/A 34078-2025 tillsynsbegäran.docx", "A 34078-2025")</f>
        <v/>
      </c>
      <c r="AD141">
        <f>HYPERLINK("https://klasma.github.io/Logging_0581/tillsynsmail/A 34078-2025 tillsynsbegäran mail.docx", "A 34078-2025")</f>
        <v/>
      </c>
      <c r="AE141">
        <f>HYPERLINK("https://klasma.github.io/Logging_0581/fåglar/A 34078-2025 prioriterade fågelarter.docx", "A 34078-2025")</f>
        <v/>
      </c>
    </row>
    <row r="142" ht="15" customHeight="1">
      <c r="A142" t="inlineStr">
        <is>
          <t>A 27236-2023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46280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HYPERLINK("https://klasma.github.io/Logging_0581/artfynd/A 27236-2023 artfynd.xlsx", "A 27236-2023")</f>
        <v/>
      </c>
      <c r="X142">
        <f>HYPERLINK("https://klasma.github.io/Logging_0581/kartor/A 27236-2023 karta.png", "A 27236-2023")</f>
        <v/>
      </c>
      <c r="Y142">
        <f>HYPERLINK("https://klasma.github.io/Logging_0581/kartor_geotiff/A 27236-2023 georefererad karta.tif", "A 27236-2023")</f>
        <v/>
      </c>
      <c r="AA142">
        <f>HYPERLINK("https://klasma.github.io/Logging_0581/klagomål/A 27236-2023 FSC-klagomål.docx", "A 27236-2023")</f>
        <v/>
      </c>
      <c r="AB142">
        <f>HYPERLINK("https://klasma.github.io/Logging_0581/klagomålsmail/A 27236-2023 FSC-klagomål mail.docx", "A 27236-2023")</f>
        <v/>
      </c>
      <c r="AC142">
        <f>HYPERLINK("https://klasma.github.io/Logging_0581/tillsyn/A 27236-2023 tillsynsbegäran.docx", "A 27236-2023")</f>
        <v/>
      </c>
      <c r="AD142">
        <f>HYPERLINK("https://klasma.github.io/Logging_0581/tillsynsmail/A 27236-2023 tillsynsbegäran mail.docx", "A 27236-2023")</f>
        <v/>
      </c>
    </row>
    <row r="143" ht="15" customHeight="1">
      <c r="A143" t="inlineStr">
        <is>
          <t>A 24629-2025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46280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Kråka</t>
        </is>
      </c>
      <c r="W143">
        <f>HYPERLINK("https://klasma.github.io/Logging_0581/artfynd/A 24629-2025 artfynd.xlsx", "A 24629-2025")</f>
        <v/>
      </c>
      <c r="X143">
        <f>HYPERLINK("https://klasma.github.io/Logging_0581/kartor/A 24629-2025 karta.png", "A 24629-2025")</f>
        <v/>
      </c>
      <c r="Y143">
        <f>HYPERLINK("https://klasma.github.io/Logging_0581/kartor_geotiff/A 24629-2025 georefererad karta.tif", "A 24629-2025")</f>
        <v/>
      </c>
      <c r="AA143">
        <f>HYPERLINK("https://klasma.github.io/Logging_0581/klagomål/A 24629-2025 FSC-klagomål.docx", "A 24629-2025")</f>
        <v/>
      </c>
      <c r="AB143">
        <f>HYPERLINK("https://klasma.github.io/Logging_0581/klagomålsmail/A 24629-2025 FSC-klagomål mail.docx", "A 24629-2025")</f>
        <v/>
      </c>
      <c r="AC143">
        <f>HYPERLINK("https://klasma.github.io/Logging_0581/tillsyn/A 24629-2025 tillsynsbegäran.docx", "A 24629-2025")</f>
        <v/>
      </c>
      <c r="AD143">
        <f>HYPERLINK("https://klasma.github.io/Logging_0581/tillsynsmail/A 24629-2025 tillsynsbegäran mail.docx", "A 24629-2025")</f>
        <v/>
      </c>
    </row>
    <row r="144" ht="15" customHeight="1">
      <c r="A144" t="inlineStr">
        <is>
          <t>A 15124-2025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46280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3.8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2</v>
      </c>
      <c r="V144" s="2" t="inlineStr">
        <is>
          <t>Vedskivlav</t>
        </is>
      </c>
      <c r="W144">
        <f>HYPERLINK("https://klasma.github.io/Logging_0581/artfynd/A 15124-2025 artfynd.xlsx", "A 15124-2025")</f>
        <v/>
      </c>
      <c r="X144">
        <f>HYPERLINK("https://klasma.github.io/Logging_0581/kartor/A 15124-2025 karta.png", "A 15124-2025")</f>
        <v/>
      </c>
      <c r="Y144">
        <f>HYPERLINK("https://klasma.github.io/Logging_0581/kartor_geotiff/A 15124-2025 georefererad karta.tif", "A 15124-2025")</f>
        <v/>
      </c>
      <c r="AA144">
        <f>HYPERLINK("https://klasma.github.io/Logging_0581/klagomål/A 15124-2025 FSC-klagomål.docx", "A 15124-2025")</f>
        <v/>
      </c>
      <c r="AB144">
        <f>HYPERLINK("https://klasma.github.io/Logging_0581/klagomålsmail/A 15124-2025 FSC-klagomål mail.docx", "A 15124-2025")</f>
        <v/>
      </c>
      <c r="AC144">
        <f>HYPERLINK("https://klasma.github.io/Logging_0581/tillsyn/A 15124-2025 tillsynsbegäran.docx", "A 15124-2025")</f>
        <v/>
      </c>
      <c r="AD144">
        <f>HYPERLINK("https://klasma.github.io/Logging_0581/tillsynsmail/A 15124-2025 tillsynsbegäran mail.docx", "A 15124-2025")</f>
        <v/>
      </c>
    </row>
    <row r="145" ht="15" customHeight="1">
      <c r="A145" t="inlineStr">
        <is>
          <t>A 11126-2026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46280</v>
      </c>
      <c r="F145" t="inlineStr">
        <is>
          <t>ÖSTERGÖTLANDS LÄN</t>
        </is>
      </c>
      <c r="G145" t="inlineStr">
        <is>
          <t>NORRKÖPING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Svinrot</t>
        </is>
      </c>
      <c r="W145">
        <f>HYPERLINK("https://klasma.github.io/Logging_0581/artfynd/A 11126-2026 artfynd.xlsx", "A 11126-2026")</f>
        <v/>
      </c>
      <c r="X145">
        <f>HYPERLINK("https://klasma.github.io/Logging_0581/kartor/A 11126-2026 karta.png", "A 11126-2026")</f>
        <v/>
      </c>
      <c r="Y145">
        <f>HYPERLINK("https://klasma.github.io/Logging_0581/kartor_geotiff/A 11126-2026 georefererad karta.tif", "A 11126-2026")</f>
        <v/>
      </c>
      <c r="AA145">
        <f>HYPERLINK("https://klasma.github.io/Logging_0581/klagomål/A 11126-2026 FSC-klagomål.docx", "A 11126-2026")</f>
        <v/>
      </c>
      <c r="AB145">
        <f>HYPERLINK("https://klasma.github.io/Logging_0581/klagomålsmail/A 11126-2026 FSC-klagomål mail.docx", "A 11126-2026")</f>
        <v/>
      </c>
      <c r="AC145">
        <f>HYPERLINK("https://klasma.github.io/Logging_0581/tillsyn/A 11126-2026 tillsynsbegäran.docx", "A 11126-2026")</f>
        <v/>
      </c>
      <c r="AD145">
        <f>HYPERLINK("https://klasma.github.io/Logging_0581/tillsynsmail/A 11126-2026 tillsynsbegäran mail.docx", "A 11126-2026")</f>
        <v/>
      </c>
    </row>
    <row r="146" ht="15" customHeight="1">
      <c r="A146" t="inlineStr">
        <is>
          <t>A 11714-2026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46280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Gulsparv</t>
        </is>
      </c>
      <c r="W146">
        <f>HYPERLINK("https://klasma.github.io/Logging_0581/artfynd/A 11714-2026 artfynd.xlsx", "A 11714-2026")</f>
        <v/>
      </c>
      <c r="X146">
        <f>HYPERLINK("https://klasma.github.io/Logging_0581/kartor/A 11714-2026 karta.png", "A 11714-2026")</f>
        <v/>
      </c>
      <c r="Y146">
        <f>HYPERLINK("https://klasma.github.io/Logging_0581/kartor_geotiff/A 11714-2026 georefererad karta.tif", "A 11714-2026")</f>
        <v/>
      </c>
      <c r="AA146">
        <f>HYPERLINK("https://klasma.github.io/Logging_0581/klagomål/A 11714-2026 FSC-klagomål.docx", "A 11714-2026")</f>
        <v/>
      </c>
      <c r="AB146">
        <f>HYPERLINK("https://klasma.github.io/Logging_0581/klagomålsmail/A 11714-2026 FSC-klagomål mail.docx", "A 11714-2026")</f>
        <v/>
      </c>
      <c r="AC146">
        <f>HYPERLINK("https://klasma.github.io/Logging_0581/tillsyn/A 11714-2026 tillsynsbegäran.docx", "A 11714-2026")</f>
        <v/>
      </c>
      <c r="AD146">
        <f>HYPERLINK("https://klasma.github.io/Logging_0581/tillsynsmail/A 11714-2026 tillsynsbegäran mail.docx", "A 11714-2026")</f>
        <v/>
      </c>
      <c r="AE146">
        <f>HYPERLINK("https://klasma.github.io/Logging_0581/fåglar/A 11714-2026 prioriterade fågelarter.docx", "A 11714-2026")</f>
        <v/>
      </c>
    </row>
    <row r="147" ht="15" customHeight="1">
      <c r="A147" t="inlineStr">
        <is>
          <t>A 15143-2025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46280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Vedskivlav</t>
        </is>
      </c>
      <c r="W147">
        <f>HYPERLINK("https://klasma.github.io/Logging_0581/artfynd/A 15143-2025 artfynd.xlsx", "A 15143-2025")</f>
        <v/>
      </c>
      <c r="X147">
        <f>HYPERLINK("https://klasma.github.io/Logging_0581/kartor/A 15143-2025 karta.png", "A 15143-2025")</f>
        <v/>
      </c>
      <c r="Y147">
        <f>HYPERLINK("https://klasma.github.io/Logging_0581/kartor_geotiff/A 15143-2025 georefererad karta.tif", "A 15143-2025")</f>
        <v/>
      </c>
      <c r="AA147">
        <f>HYPERLINK("https://klasma.github.io/Logging_0581/klagomål/A 15143-2025 FSC-klagomål.docx", "A 15143-2025")</f>
        <v/>
      </c>
      <c r="AB147">
        <f>HYPERLINK("https://klasma.github.io/Logging_0581/klagomålsmail/A 15143-2025 FSC-klagomål mail.docx", "A 15143-2025")</f>
        <v/>
      </c>
      <c r="AC147">
        <f>HYPERLINK("https://klasma.github.io/Logging_0581/tillsyn/A 15143-2025 tillsynsbegäran.docx", "A 15143-2025")</f>
        <v/>
      </c>
      <c r="AD147">
        <f>HYPERLINK("https://klasma.github.io/Logging_0581/tillsynsmail/A 15143-2025 tillsynsbegäran mail.docx", "A 15143-2025")</f>
        <v/>
      </c>
    </row>
    <row r="148" ht="15" customHeight="1">
      <c r="A148" t="inlineStr">
        <is>
          <t>A 2545-2023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46280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0.6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Hasselticka</t>
        </is>
      </c>
      <c r="W148">
        <f>HYPERLINK("https://klasma.github.io/Logging_0581/artfynd/A 2545-2023 artfynd.xlsx", "A 2545-2023")</f>
        <v/>
      </c>
      <c r="X148">
        <f>HYPERLINK("https://klasma.github.io/Logging_0581/kartor/A 2545-2023 karta.png", "A 2545-2023")</f>
        <v/>
      </c>
      <c r="Y148">
        <f>HYPERLINK("https://klasma.github.io/Logging_0581/kartor_geotiff/A 2545-2023 georefererad karta.tif", "A 2545-2023")</f>
        <v/>
      </c>
      <c r="AA148">
        <f>HYPERLINK("https://klasma.github.io/Logging_0581/klagomål/A 2545-2023 FSC-klagomål.docx", "A 2545-2023")</f>
        <v/>
      </c>
      <c r="AB148">
        <f>HYPERLINK("https://klasma.github.io/Logging_0581/klagomålsmail/A 2545-2023 FSC-klagomål mail.docx", "A 2545-2023")</f>
        <v/>
      </c>
      <c r="AC148">
        <f>HYPERLINK("https://klasma.github.io/Logging_0581/tillsyn/A 2545-2023 tillsynsbegäran.docx", "A 2545-2023")</f>
        <v/>
      </c>
      <c r="AD148">
        <f>HYPERLINK("https://klasma.github.io/Logging_0581/tillsynsmail/A 2545-2023 tillsynsbegäran mail.docx", "A 2545-2023")</f>
        <v/>
      </c>
    </row>
    <row r="149" ht="15" customHeight="1">
      <c r="A149" t="inlineStr">
        <is>
          <t>A 3247-2024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45317</v>
      </c>
      <c r="E149" s="1" t="n">
        <v>46280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Sparvuggla</t>
        </is>
      </c>
      <c r="W149">
        <f>HYPERLINK("https://klasma.github.io/Logging_0581/artfynd/A 3247-2024 artfynd.xlsx", "A 3247-2024")</f>
        <v/>
      </c>
      <c r="X149">
        <f>HYPERLINK("https://klasma.github.io/Logging_0581/kartor/A 3247-2024 karta.png", "A 3247-2024")</f>
        <v/>
      </c>
      <c r="Y149">
        <f>HYPERLINK("https://klasma.github.io/Logging_0581/kartor_geotiff/A 3247-2024 georefererad karta.tif", "A 3247-2024")</f>
        <v/>
      </c>
      <c r="AA149">
        <f>HYPERLINK("https://klasma.github.io/Logging_0581/klagomål/A 3247-2024 FSC-klagomål.docx", "A 3247-2024")</f>
        <v/>
      </c>
      <c r="AB149">
        <f>HYPERLINK("https://klasma.github.io/Logging_0581/klagomålsmail/A 3247-2024 FSC-klagomål mail.docx", "A 3247-2024")</f>
        <v/>
      </c>
      <c r="AC149">
        <f>HYPERLINK("https://klasma.github.io/Logging_0581/tillsyn/A 3247-2024 tillsynsbegäran.docx", "A 3247-2024")</f>
        <v/>
      </c>
      <c r="AD149">
        <f>HYPERLINK("https://klasma.github.io/Logging_0581/tillsynsmail/A 3247-2024 tillsynsbegäran mail.docx", "A 3247-2024")</f>
        <v/>
      </c>
      <c r="AE149">
        <f>HYPERLINK("https://klasma.github.io/Logging_0581/fåglar/A 3247-2024 prioriterade fågelarter.docx", "A 3247-2024")</f>
        <v/>
      </c>
    </row>
    <row r="150" ht="15" customHeight="1">
      <c r="A150" t="inlineStr">
        <is>
          <t>A 20170-2026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46139</v>
      </c>
      <c r="E150" s="1" t="n">
        <v>46280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Igelkott</t>
        </is>
      </c>
      <c r="W150">
        <f>HYPERLINK("https://klasma.github.io/Logging_0581/artfynd/A 20170-2026 artfynd.xlsx", "A 20170-2026")</f>
        <v/>
      </c>
      <c r="X150">
        <f>HYPERLINK("https://klasma.github.io/Logging_0581/kartor/A 20170-2026 karta.png", "A 20170-2026")</f>
        <v/>
      </c>
      <c r="Y150">
        <f>HYPERLINK("https://klasma.github.io/Logging_0581/kartor_geotiff/A 20170-2026 georefererad karta.tif", "A 20170-2026")</f>
        <v/>
      </c>
      <c r="AA150">
        <f>HYPERLINK("https://klasma.github.io/Logging_0581/klagomål/A 20170-2026 FSC-klagomål.docx", "A 20170-2026")</f>
        <v/>
      </c>
      <c r="AB150">
        <f>HYPERLINK("https://klasma.github.io/Logging_0581/klagomålsmail/A 20170-2026 FSC-klagomål mail.docx", "A 20170-2026")</f>
        <v/>
      </c>
      <c r="AC150">
        <f>HYPERLINK("https://klasma.github.io/Logging_0581/tillsyn/A 20170-2026 tillsynsbegäran.docx", "A 20170-2026")</f>
        <v/>
      </c>
      <c r="AD150">
        <f>HYPERLINK("https://klasma.github.io/Logging_0581/tillsynsmail/A 20170-2026 tillsynsbegäran mail.docx", "A 20170-2026")</f>
        <v/>
      </c>
    </row>
    <row r="151" ht="15" customHeight="1">
      <c r="A151" t="inlineStr">
        <is>
          <t>A 60899-2024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46280</v>
      </c>
      <c r="F151" t="inlineStr">
        <is>
          <t>ÖSTERGÖTLANDS LÄN</t>
        </is>
      </c>
      <c r="G151" t="inlineStr">
        <is>
          <t>NORRKÖPING</t>
        </is>
      </c>
      <c r="I151" t="n">
        <v>2.4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Grönpyrola</t>
        </is>
      </c>
      <c r="W151">
        <f>HYPERLINK("https://klasma.github.io/Logging_0581/artfynd/A 60899-2024 artfynd.xlsx", "A 60899-2024")</f>
        <v/>
      </c>
      <c r="X151">
        <f>HYPERLINK("https://klasma.github.io/Logging_0581/kartor/A 60899-2024 karta.png", "A 60899-2024")</f>
        <v/>
      </c>
      <c r="Y151">
        <f>HYPERLINK("https://klasma.github.io/Logging_0581/kartor_geotiff/A 60899-2024 georefererad karta.tif", "A 60899-2024")</f>
        <v/>
      </c>
      <c r="AA151">
        <f>HYPERLINK("https://klasma.github.io/Logging_0581/klagomål/A 60899-2024 FSC-klagomål.docx", "A 60899-2024")</f>
        <v/>
      </c>
      <c r="AB151">
        <f>HYPERLINK("https://klasma.github.io/Logging_0581/klagomålsmail/A 60899-2024 FSC-klagomål mail.docx", "A 60899-2024")</f>
        <v/>
      </c>
      <c r="AC151">
        <f>HYPERLINK("https://klasma.github.io/Logging_0581/tillsyn/A 60899-2024 tillsynsbegäran.docx", "A 60899-2024")</f>
        <v/>
      </c>
      <c r="AD151">
        <f>HYPERLINK("https://klasma.github.io/Logging_0581/tillsynsmail/A 60899-2024 tillsynsbegäran mail.docx", "A 60899-2024")</f>
        <v/>
      </c>
    </row>
    <row r="152" ht="15" customHeight="1">
      <c r="A152" t="inlineStr">
        <is>
          <t>A 25982-2023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46280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Linmåra/småsnärjmåra</t>
        </is>
      </c>
      <c r="W152">
        <f>HYPERLINK("https://klasma.github.io/Logging_0581/artfynd/A 25982-2023 artfynd.xlsx", "A 25982-2023")</f>
        <v/>
      </c>
      <c r="X152">
        <f>HYPERLINK("https://klasma.github.io/Logging_0581/kartor/A 25982-2023 karta.png", "A 25982-2023")</f>
        <v/>
      </c>
      <c r="Y152">
        <f>HYPERLINK("https://klasma.github.io/Logging_0581/kartor_geotiff/A 25982-2023 georefererad karta.tif", "A 25982-2023")</f>
        <v/>
      </c>
      <c r="AA152">
        <f>HYPERLINK("https://klasma.github.io/Logging_0581/klagomål/A 25982-2023 FSC-klagomål.docx", "A 25982-2023")</f>
        <v/>
      </c>
      <c r="AB152">
        <f>HYPERLINK("https://klasma.github.io/Logging_0581/klagomålsmail/A 25982-2023 FSC-klagomål mail.docx", "A 25982-2023")</f>
        <v/>
      </c>
      <c r="AC152">
        <f>HYPERLINK("https://klasma.github.io/Logging_0581/tillsyn/A 25982-2023 tillsynsbegäran.docx", "A 25982-2023")</f>
        <v/>
      </c>
      <c r="AD152">
        <f>HYPERLINK("https://klasma.github.io/Logging_0581/tillsynsmail/A 25982-2023 tillsynsbegäran mail.docx", "A 25982-2023")</f>
        <v/>
      </c>
    </row>
    <row r="153" ht="15" customHeight="1">
      <c r="A153" t="inlineStr">
        <is>
          <t>A 23627-2026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46280</v>
      </c>
      <c r="F153" t="inlineStr">
        <is>
          <t>ÖSTERGÖTLANDS LÄN</t>
        </is>
      </c>
      <c r="G153" t="inlineStr">
        <is>
          <t>NORRKÖPING</t>
        </is>
      </c>
      <c r="I153" t="n">
        <v>4.1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Ekoxe</t>
        </is>
      </c>
      <c r="W153">
        <f>HYPERLINK("https://klasma.github.io/Logging_0581/artfynd/A 23627-2026 artfynd.xlsx", "A 23627-2026")</f>
        <v/>
      </c>
      <c r="X153">
        <f>HYPERLINK("https://klasma.github.io/Logging_0581/kartor/A 23627-2026 karta.png", "A 23627-2026")</f>
        <v/>
      </c>
      <c r="Y153">
        <f>HYPERLINK("https://klasma.github.io/Logging_0581/kartor_geotiff/A 23627-2026 georefererad karta.tif", "A 23627-2026")</f>
        <v/>
      </c>
      <c r="AA153">
        <f>HYPERLINK("https://klasma.github.io/Logging_0581/klagomål/A 23627-2026 FSC-klagomål.docx", "A 23627-2026")</f>
        <v/>
      </c>
      <c r="AB153">
        <f>HYPERLINK("https://klasma.github.io/Logging_0581/klagomålsmail/A 23627-2026 FSC-klagomål mail.docx", "A 23627-2026")</f>
        <v/>
      </c>
      <c r="AC153">
        <f>HYPERLINK("https://klasma.github.io/Logging_0581/tillsyn/A 23627-2026 tillsynsbegäran.docx", "A 23627-2026")</f>
        <v/>
      </c>
      <c r="AD153">
        <f>HYPERLINK("https://klasma.github.io/Logging_0581/tillsynsmail/A 23627-2026 tillsynsbegäran mail.docx", "A 23627-2026")</f>
        <v/>
      </c>
    </row>
    <row r="154" ht="15" customHeight="1">
      <c r="A154" t="inlineStr">
        <is>
          <t>A 58318-2023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46280</v>
      </c>
      <c r="F154" t="inlineStr">
        <is>
          <t>ÖSTERGÖTLANDS LÄN</t>
        </is>
      </c>
      <c r="G154" t="inlineStr">
        <is>
          <t>NORRKÖPING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Havsörn</t>
        </is>
      </c>
      <c r="W154">
        <f>HYPERLINK("https://klasma.github.io/Logging_0581/artfynd/A 58318-2023 artfynd.xlsx", "A 58318-2023")</f>
        <v/>
      </c>
      <c r="X154">
        <f>HYPERLINK("https://klasma.github.io/Logging_0581/kartor/A 58318-2023 karta.png", "A 58318-2023")</f>
        <v/>
      </c>
      <c r="Y154">
        <f>HYPERLINK("https://klasma.github.io/Logging_0581/kartor_geotiff/A 58318-2023 georefererad karta.tif", "A 58318-2023")</f>
        <v/>
      </c>
      <c r="AA154">
        <f>HYPERLINK("https://klasma.github.io/Logging_0581/klagomål/A 58318-2023 FSC-klagomål.docx", "A 58318-2023")</f>
        <v/>
      </c>
      <c r="AB154">
        <f>HYPERLINK("https://klasma.github.io/Logging_0581/klagomålsmail/A 58318-2023 FSC-klagomål mail.docx", "A 58318-2023")</f>
        <v/>
      </c>
      <c r="AC154">
        <f>HYPERLINK("https://klasma.github.io/Logging_0581/tillsyn/A 58318-2023 tillsynsbegäran.docx", "A 58318-2023")</f>
        <v/>
      </c>
      <c r="AD154">
        <f>HYPERLINK("https://klasma.github.io/Logging_0581/tillsynsmail/A 58318-2023 tillsynsbegäran mail.docx", "A 58318-2023")</f>
        <v/>
      </c>
      <c r="AE154">
        <f>HYPERLINK("https://klasma.github.io/Logging_0581/fåglar/A 58318-2023 prioriterade fågelarter.docx", "A 58318-2023")</f>
        <v/>
      </c>
    </row>
    <row r="155" ht="15" customHeight="1">
      <c r="A155" t="inlineStr">
        <is>
          <t>A 25707-2026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46280</v>
      </c>
      <c r="F155" t="inlineStr">
        <is>
          <t>ÖSTERGÖTLANDS LÄN</t>
        </is>
      </c>
      <c r="G155" t="inlineStr">
        <is>
          <t>NORRKÖPING</t>
        </is>
      </c>
      <c r="I155" t="n">
        <v>0.5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Tallticka</t>
        </is>
      </c>
      <c r="W155">
        <f>HYPERLINK("https://klasma.github.io/Logging_0581/artfynd/A 25707-2026 artfynd.xlsx", "A 25707-2026")</f>
        <v/>
      </c>
      <c r="X155">
        <f>HYPERLINK("https://klasma.github.io/Logging_0581/kartor/A 25707-2026 karta.png", "A 25707-2026")</f>
        <v/>
      </c>
      <c r="Y155">
        <f>HYPERLINK("https://klasma.github.io/Logging_0581/kartor_geotiff/A 25707-2026 georefererad karta.tif", "A 25707-2026")</f>
        <v/>
      </c>
      <c r="AA155">
        <f>HYPERLINK("https://klasma.github.io/Logging_0581/klagomål/A 25707-2026 FSC-klagomål.docx", "A 25707-2026")</f>
        <v/>
      </c>
      <c r="AB155">
        <f>HYPERLINK("https://klasma.github.io/Logging_0581/klagomålsmail/A 25707-2026 FSC-klagomål mail.docx", "A 25707-2026")</f>
        <v/>
      </c>
      <c r="AC155">
        <f>HYPERLINK("https://klasma.github.io/Logging_0581/tillsyn/A 25707-2026 tillsynsbegäran.docx", "A 25707-2026")</f>
        <v/>
      </c>
      <c r="AD155">
        <f>HYPERLINK("https://klasma.github.io/Logging_0581/tillsynsmail/A 25707-2026 tillsynsbegäran mail.docx", "A 25707-2026")</f>
        <v/>
      </c>
    </row>
    <row r="156" ht="15" customHeight="1">
      <c r="A156" t="inlineStr">
        <is>
          <t>A 32815-2026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46241</v>
      </c>
      <c r="E156" s="1" t="n">
        <v>46280</v>
      </c>
      <c r="F156" t="inlineStr">
        <is>
          <t>ÖSTERGÖTLANDS LÄN</t>
        </is>
      </c>
      <c r="G156" t="inlineStr">
        <is>
          <t>NORRKÖPING</t>
        </is>
      </c>
      <c r="I156" t="n">
        <v>2.2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Ärtsångare</t>
        </is>
      </c>
      <c r="W156">
        <f>HYPERLINK("https://klasma.github.io/Logging_0581/artfynd/A 32815-2026 artfynd.xlsx", "A 32815-2026")</f>
        <v/>
      </c>
      <c r="X156">
        <f>HYPERLINK("https://klasma.github.io/Logging_0581/kartor/A 32815-2026 karta.png", "A 32815-2026")</f>
        <v/>
      </c>
      <c r="Y156">
        <f>HYPERLINK("https://klasma.github.io/Logging_0581/kartor_geotiff/A 32815-2026 georefererad karta.tif", "A 32815-2026")</f>
        <v/>
      </c>
      <c r="AA156">
        <f>HYPERLINK("https://klasma.github.io/Logging_0581/klagomål/A 32815-2026 FSC-klagomål.docx", "A 32815-2026")</f>
        <v/>
      </c>
      <c r="AB156">
        <f>HYPERLINK("https://klasma.github.io/Logging_0581/klagomålsmail/A 32815-2026 FSC-klagomål mail.docx", "A 32815-2026")</f>
        <v/>
      </c>
      <c r="AC156">
        <f>HYPERLINK("https://klasma.github.io/Logging_0581/tillsyn/A 32815-2026 tillsynsbegäran.docx", "A 32815-2026")</f>
        <v/>
      </c>
      <c r="AD156">
        <f>HYPERLINK("https://klasma.github.io/Logging_0581/tillsynsmail/A 32815-2026 tillsynsbegäran mail.docx", "A 32815-2026")</f>
        <v/>
      </c>
    </row>
    <row r="157" ht="15" customHeight="1">
      <c r="A157" t="inlineStr">
        <is>
          <t>A 29202-2026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46280</v>
      </c>
      <c r="F157" t="inlineStr">
        <is>
          <t>ÖSTERGÖTLANDS LÄN</t>
        </is>
      </c>
      <c r="G157" t="inlineStr">
        <is>
          <t>NORRKÖPING</t>
        </is>
      </c>
      <c r="I157" t="n">
        <v>2.5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Tibast</t>
        </is>
      </c>
      <c r="W157">
        <f>HYPERLINK("https://klasma.github.io/Logging_0581/artfynd/A 29202-2026 artfynd.xlsx", "A 29202-2026")</f>
        <v/>
      </c>
      <c r="X157">
        <f>HYPERLINK("https://klasma.github.io/Logging_0581/kartor/A 29202-2026 karta.png", "A 29202-2026")</f>
        <v/>
      </c>
      <c r="Y157">
        <f>HYPERLINK("https://klasma.github.io/Logging_0581/kartor_geotiff/A 29202-2026 georefererad karta.tif", "A 29202-2026")</f>
        <v/>
      </c>
      <c r="AA157">
        <f>HYPERLINK("https://klasma.github.io/Logging_0581/klagomål/A 29202-2026 FSC-klagomål.docx", "A 29202-2026")</f>
        <v/>
      </c>
      <c r="AB157">
        <f>HYPERLINK("https://klasma.github.io/Logging_0581/klagomålsmail/A 29202-2026 FSC-klagomål mail.docx", "A 29202-2026")</f>
        <v/>
      </c>
      <c r="AC157">
        <f>HYPERLINK("https://klasma.github.io/Logging_0581/tillsyn/A 29202-2026 tillsynsbegäran.docx", "A 29202-2026")</f>
        <v/>
      </c>
      <c r="AD157">
        <f>HYPERLINK("https://klasma.github.io/Logging_0581/tillsynsmail/A 29202-2026 tillsynsbegäran mail.docx", "A 29202-2026")</f>
        <v/>
      </c>
    </row>
    <row r="158" ht="15" customHeight="1">
      <c r="A158" t="inlineStr">
        <is>
          <t>A 12682-2025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46280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2.3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Talltita</t>
        </is>
      </c>
      <c r="W158">
        <f>HYPERLINK("https://klasma.github.io/Logging_0581/artfynd/A 12682-2025 artfynd.xlsx", "A 12682-2025")</f>
        <v/>
      </c>
      <c r="X158">
        <f>HYPERLINK("https://klasma.github.io/Logging_0581/kartor/A 12682-2025 karta.png", "A 12682-2025")</f>
        <v/>
      </c>
      <c r="Y158">
        <f>HYPERLINK("https://klasma.github.io/Logging_0581/kartor_geotiff/A 12682-2025 georefererad karta.tif", "A 12682-2025")</f>
        <v/>
      </c>
      <c r="Z158">
        <f>HYPERLINK("https://klasma.github.io/Logging_0581/knärot/A 12682-2025 karta knärot.png", "A 12682-2025")</f>
        <v/>
      </c>
      <c r="AA158">
        <f>HYPERLINK("https://klasma.github.io/Logging_0581/klagomål/A 12682-2025 FSC-klagomål.docx", "A 12682-2025")</f>
        <v/>
      </c>
      <c r="AB158">
        <f>HYPERLINK("https://klasma.github.io/Logging_0581/klagomålsmail/A 12682-2025 FSC-klagomål mail.docx", "A 12682-2025")</f>
        <v/>
      </c>
      <c r="AC158">
        <f>HYPERLINK("https://klasma.github.io/Logging_0581/tillsyn/A 12682-2025 tillsynsbegäran.docx", "A 12682-2025")</f>
        <v/>
      </c>
      <c r="AD158">
        <f>HYPERLINK("https://klasma.github.io/Logging_0581/tillsynsmail/A 12682-2025 tillsynsbegäran mail.docx", "A 12682-2025")</f>
        <v/>
      </c>
      <c r="AE158">
        <f>HYPERLINK("https://klasma.github.io/Logging_0581/fåglar/A 12682-2025 prioriterade fågelarter.docx", "A 12682-2025")</f>
        <v/>
      </c>
    </row>
    <row r="159" ht="15" customHeight="1">
      <c r="A159" t="inlineStr">
        <is>
          <t>A 31231-2026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46217</v>
      </c>
      <c r="E159" s="1" t="n">
        <v>46280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4.2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Blåmossa</t>
        </is>
      </c>
      <c r="W159">
        <f>HYPERLINK("https://klasma.github.io/Logging_0581/artfynd/A 31231-2026 artfynd.xlsx", "A 31231-2026")</f>
        <v/>
      </c>
      <c r="X159">
        <f>HYPERLINK("https://klasma.github.io/Logging_0581/kartor/A 31231-2026 karta.png", "A 31231-2026")</f>
        <v/>
      </c>
      <c r="Y159">
        <f>HYPERLINK("https://klasma.github.io/Logging_0581/kartor_geotiff/A 31231-2026 georefererad karta.tif", "A 31231-2026")</f>
        <v/>
      </c>
      <c r="AA159">
        <f>HYPERLINK("https://klasma.github.io/Logging_0581/klagomål/A 31231-2026 FSC-klagomål.docx", "A 31231-2026")</f>
        <v/>
      </c>
      <c r="AB159">
        <f>HYPERLINK("https://klasma.github.io/Logging_0581/klagomålsmail/A 31231-2026 FSC-klagomål mail.docx", "A 31231-2026")</f>
        <v/>
      </c>
      <c r="AC159">
        <f>HYPERLINK("https://klasma.github.io/Logging_0581/tillsyn/A 31231-2026 tillsynsbegäran.docx", "A 31231-2026")</f>
        <v/>
      </c>
      <c r="AD159">
        <f>HYPERLINK("https://klasma.github.io/Logging_0581/tillsynsmail/A 31231-2026 tillsynsbegäran mail.docx", "A 31231-2026")</f>
        <v/>
      </c>
    </row>
    <row r="160" ht="15" customHeight="1">
      <c r="A160" t="inlineStr">
        <is>
          <t>A 8245-2023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46280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Svedjenäva</t>
        </is>
      </c>
      <c r="W160">
        <f>HYPERLINK("https://klasma.github.io/Logging_0581/artfynd/A 8245-2023 artfynd.xlsx", "A 8245-2023")</f>
        <v/>
      </c>
      <c r="X160">
        <f>HYPERLINK("https://klasma.github.io/Logging_0581/kartor/A 8245-2023 karta.png", "A 8245-2023")</f>
        <v/>
      </c>
      <c r="Y160">
        <f>HYPERLINK("https://klasma.github.io/Logging_0581/kartor_geotiff/A 8245-2023 georefererad karta.tif", "A 8245-2023")</f>
        <v/>
      </c>
      <c r="AA160">
        <f>HYPERLINK("https://klasma.github.io/Logging_0581/klagomål/A 8245-2023 FSC-klagomål.docx", "A 8245-2023")</f>
        <v/>
      </c>
      <c r="AB160">
        <f>HYPERLINK("https://klasma.github.io/Logging_0581/klagomålsmail/A 8245-2023 FSC-klagomål mail.docx", "A 8245-2023")</f>
        <v/>
      </c>
      <c r="AC160">
        <f>HYPERLINK("https://klasma.github.io/Logging_0581/tillsyn/A 8245-2023 tillsynsbegäran.docx", "A 8245-2023")</f>
        <v/>
      </c>
      <c r="AD160">
        <f>HYPERLINK("https://klasma.github.io/Logging_0581/tillsynsmail/A 8245-2023 tillsynsbegäran mail.docx", "A 8245-2023")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46280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57772-2022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46280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Fällmossa</t>
        </is>
      </c>
      <c r="W162">
        <f>HYPERLINK("https://klasma.github.io/Logging_0581/artfynd/A 57772-2022 artfynd.xlsx", "A 57772-2022")</f>
        <v/>
      </c>
      <c r="X162">
        <f>HYPERLINK("https://klasma.github.io/Logging_0581/kartor/A 57772-2022 karta.png", "A 57772-2022")</f>
        <v/>
      </c>
      <c r="Y162">
        <f>HYPERLINK("https://klasma.github.io/Logging_0581/kartor_geotiff/A 57772-2022 georefererad karta.tif", "A 57772-2022")</f>
        <v/>
      </c>
      <c r="AA162">
        <f>HYPERLINK("https://klasma.github.io/Logging_0581/klagomål/A 57772-2022 FSC-klagomål.docx", "A 57772-2022")</f>
        <v/>
      </c>
      <c r="AB162">
        <f>HYPERLINK("https://klasma.github.io/Logging_0581/klagomålsmail/A 57772-2022 FSC-klagomål mail.docx", "A 57772-2022")</f>
        <v/>
      </c>
      <c r="AC162">
        <f>HYPERLINK("https://klasma.github.io/Logging_0581/tillsyn/A 57772-2022 tillsynsbegäran.docx", "A 57772-2022")</f>
        <v/>
      </c>
      <c r="AD162">
        <f>HYPERLINK("https://klasma.github.io/Logging_0581/tillsynsmail/A 57772-2022 tillsynsbegäran mail.docx", "A 57772-2022")</f>
        <v/>
      </c>
    </row>
    <row r="163" ht="15" customHeight="1">
      <c r="A163" t="inlineStr">
        <is>
          <t>A 45953-2024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45580</v>
      </c>
      <c r="E163" s="1" t="n">
        <v>46280</v>
      </c>
      <c r="F163" t="inlineStr">
        <is>
          <t>ÖSTERGÖTLANDS LÄN</t>
        </is>
      </c>
      <c r="G163" t="inlineStr">
        <is>
          <t>NORRKÖPING</t>
        </is>
      </c>
      <c r="I163" t="n">
        <v>1.9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Ekoxe</t>
        </is>
      </c>
      <c r="W163">
        <f>HYPERLINK("https://klasma.github.io/Logging_0581/artfynd/A 45953-2024 artfynd.xlsx", "A 45953-2024")</f>
        <v/>
      </c>
      <c r="X163">
        <f>HYPERLINK("https://klasma.github.io/Logging_0581/kartor/A 45953-2024 karta.png", "A 45953-2024")</f>
        <v/>
      </c>
      <c r="Y163">
        <f>HYPERLINK("https://klasma.github.io/Logging_0581/kartor_geotiff/A 45953-2024 georefererad karta.tif", "A 45953-2024")</f>
        <v/>
      </c>
      <c r="AA163">
        <f>HYPERLINK("https://klasma.github.io/Logging_0581/klagomål/A 45953-2024 FSC-klagomål.docx", "A 45953-2024")</f>
        <v/>
      </c>
      <c r="AB163">
        <f>HYPERLINK("https://klasma.github.io/Logging_0581/klagomålsmail/A 45953-2024 FSC-klagomål mail.docx", "A 45953-2024")</f>
        <v/>
      </c>
      <c r="AC163">
        <f>HYPERLINK("https://klasma.github.io/Logging_0581/tillsyn/A 45953-2024 tillsynsbegäran.docx", "A 45953-2024")</f>
        <v/>
      </c>
      <c r="AD163">
        <f>HYPERLINK("https://klasma.github.io/Logging_0581/tillsynsmail/A 45953-2024 tillsynsbegäran mail.docx", "A 45953-2024")</f>
        <v/>
      </c>
    </row>
    <row r="164" ht="15" customHeight="1">
      <c r="A164" t="inlineStr">
        <is>
          <t>A 31325-2026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46280</v>
      </c>
      <c r="F164" t="inlineStr">
        <is>
          <t>ÖSTERGÖTLANDS LÄN</t>
        </is>
      </c>
      <c r="G164" t="inlineStr">
        <is>
          <t>NORRKÖPING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Bergsslok</t>
        </is>
      </c>
      <c r="W164">
        <f>HYPERLINK("https://klasma.github.io/Logging_0581/artfynd/A 31325-2026 artfynd.xlsx", "A 31325-2026")</f>
        <v/>
      </c>
      <c r="X164">
        <f>HYPERLINK("https://klasma.github.io/Logging_0581/kartor/A 31325-2026 karta.png", "A 31325-2026")</f>
        <v/>
      </c>
      <c r="Y164">
        <f>HYPERLINK("https://klasma.github.io/Logging_0581/kartor_geotiff/A 31325-2026 georefererad karta.tif", "A 31325-2026")</f>
        <v/>
      </c>
      <c r="AA164">
        <f>HYPERLINK("https://klasma.github.io/Logging_0581/klagomål/A 31325-2026 FSC-klagomål.docx", "A 31325-2026")</f>
        <v/>
      </c>
      <c r="AB164">
        <f>HYPERLINK("https://klasma.github.io/Logging_0581/klagomålsmail/A 31325-2026 FSC-klagomål mail.docx", "A 31325-2026")</f>
        <v/>
      </c>
      <c r="AC164">
        <f>HYPERLINK("https://klasma.github.io/Logging_0581/tillsyn/A 31325-2026 tillsynsbegäran.docx", "A 31325-2026")</f>
        <v/>
      </c>
      <c r="AD164">
        <f>HYPERLINK("https://klasma.github.io/Logging_0581/tillsynsmail/A 31325-2026 tillsynsbegäran mail.docx", "A 31325-2026")</f>
        <v/>
      </c>
    </row>
    <row r="165" ht="15" customHeight="1">
      <c r="A165" t="inlineStr">
        <is>
          <t>A 31660-2026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46225</v>
      </c>
      <c r="E165" s="1" t="n">
        <v>46280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8.199999999999999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Ängsskära</t>
        </is>
      </c>
      <c r="W165">
        <f>HYPERLINK("https://klasma.github.io/Logging_0581/artfynd/A 31660-2026 artfynd.xlsx", "A 31660-2026")</f>
        <v/>
      </c>
      <c r="X165">
        <f>HYPERLINK("https://klasma.github.io/Logging_0581/kartor/A 31660-2026 karta.png", "A 31660-2026")</f>
        <v/>
      </c>
      <c r="Y165">
        <f>HYPERLINK("https://klasma.github.io/Logging_0581/kartor_geotiff/A 31660-2026 georefererad karta.tif", "A 31660-2026")</f>
        <v/>
      </c>
      <c r="AA165">
        <f>HYPERLINK("https://klasma.github.io/Logging_0581/klagomål/A 31660-2026 FSC-klagomål.docx", "A 31660-2026")</f>
        <v/>
      </c>
      <c r="AB165">
        <f>HYPERLINK("https://klasma.github.io/Logging_0581/klagomålsmail/A 31660-2026 FSC-klagomål mail.docx", "A 31660-2026")</f>
        <v/>
      </c>
      <c r="AC165">
        <f>HYPERLINK("https://klasma.github.io/Logging_0581/tillsyn/A 31660-2026 tillsynsbegäran.docx", "A 31660-2026")</f>
        <v/>
      </c>
      <c r="AD165">
        <f>HYPERLINK("https://klasma.github.io/Logging_0581/tillsynsmail/A 31660-2026 tillsynsbegäran mail.docx", "A 31660-2026")</f>
        <v/>
      </c>
    </row>
    <row r="166" ht="15" customHeight="1">
      <c r="A166" t="inlineStr">
        <is>
          <t>A 14044-2023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45008</v>
      </c>
      <c r="E166" s="1" t="n">
        <v>46280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Tjäder</t>
        </is>
      </c>
      <c r="W166">
        <f>HYPERLINK("https://klasma.github.io/Logging_0581/artfynd/A 14044-2023 artfynd.xlsx", "A 14044-2023")</f>
        <v/>
      </c>
      <c r="X166">
        <f>HYPERLINK("https://klasma.github.io/Logging_0581/kartor/A 14044-2023 karta.png", "A 14044-2023")</f>
        <v/>
      </c>
      <c r="Y166">
        <f>HYPERLINK("https://klasma.github.io/Logging_0581/kartor_geotiff/A 14044-2023 georefererad karta.tif", "A 14044-2023")</f>
        <v/>
      </c>
      <c r="AA166">
        <f>HYPERLINK("https://klasma.github.io/Logging_0581/klagomål/A 14044-2023 FSC-klagomål.docx", "A 14044-2023")</f>
        <v/>
      </c>
      <c r="AB166">
        <f>HYPERLINK("https://klasma.github.io/Logging_0581/klagomålsmail/A 14044-2023 FSC-klagomål mail.docx", "A 14044-2023")</f>
        <v/>
      </c>
      <c r="AC166">
        <f>HYPERLINK("https://klasma.github.io/Logging_0581/tillsyn/A 14044-2023 tillsynsbegäran.docx", "A 14044-2023")</f>
        <v/>
      </c>
      <c r="AD166">
        <f>HYPERLINK("https://klasma.github.io/Logging_0581/tillsynsmail/A 14044-2023 tillsynsbegäran mail.docx", "A 14044-2023")</f>
        <v/>
      </c>
      <c r="AE166">
        <f>HYPERLINK("https://klasma.github.io/Logging_0581/fåglar/A 14044-2023 prioriterade fågelarter.docx", "A 14044-2023")</f>
        <v/>
      </c>
    </row>
    <row r="167" ht="15" customHeight="1">
      <c r="A167" t="inlineStr">
        <is>
          <t>A 31659-2023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46280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Tjäder</t>
        </is>
      </c>
      <c r="W167">
        <f>HYPERLINK("https://klasma.github.io/Logging_0581/artfynd/A 31659-2023 artfynd.xlsx", "A 31659-2023")</f>
        <v/>
      </c>
      <c r="X167">
        <f>HYPERLINK("https://klasma.github.io/Logging_0581/kartor/A 31659-2023 karta.png", "A 31659-2023")</f>
        <v/>
      </c>
      <c r="Y167">
        <f>HYPERLINK("https://klasma.github.io/Logging_0581/kartor_geotiff/A 31659-2023 georefererad karta.tif", "A 31659-2023")</f>
        <v/>
      </c>
      <c r="AA167">
        <f>HYPERLINK("https://klasma.github.io/Logging_0581/klagomål/A 31659-2023 FSC-klagomål.docx", "A 31659-2023")</f>
        <v/>
      </c>
      <c r="AB167">
        <f>HYPERLINK("https://klasma.github.io/Logging_0581/klagomålsmail/A 31659-2023 FSC-klagomål mail.docx", "A 31659-2023")</f>
        <v/>
      </c>
      <c r="AC167">
        <f>HYPERLINK("https://klasma.github.io/Logging_0581/tillsyn/A 31659-2023 tillsynsbegäran.docx", "A 31659-2023")</f>
        <v/>
      </c>
      <c r="AD167">
        <f>HYPERLINK("https://klasma.github.io/Logging_0581/tillsynsmail/A 31659-2023 tillsynsbegäran mail.docx", "A 31659-2023")</f>
        <v/>
      </c>
      <c r="AE167">
        <f>HYPERLINK("https://klasma.github.io/Logging_0581/fåglar/A 31659-2023 prioriterade fågelarter.docx", "A 31659-2023")</f>
        <v/>
      </c>
    </row>
    <row r="168" ht="15" customHeight="1">
      <c r="A168" t="inlineStr">
        <is>
          <t>A 31892-2026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46231</v>
      </c>
      <c r="E168" s="1" t="n">
        <v>46280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HYPERLINK("https://klasma.github.io/Logging_0581/artfynd/A 31892-2026 artfynd.xlsx", "A 31892-2026")</f>
        <v/>
      </c>
      <c r="X168">
        <f>HYPERLINK("https://klasma.github.io/Logging_0581/kartor/A 31892-2026 karta.png", "A 31892-2026")</f>
        <v/>
      </c>
      <c r="Y168">
        <f>HYPERLINK("https://klasma.github.io/Logging_0581/kartor_geotiff/A 31892-2026 georefererad karta.tif", "A 31892-2026")</f>
        <v/>
      </c>
      <c r="AA168">
        <f>HYPERLINK("https://klasma.github.io/Logging_0581/klagomål/A 31892-2026 FSC-klagomål.docx", "A 31892-2026")</f>
        <v/>
      </c>
      <c r="AB168">
        <f>HYPERLINK("https://klasma.github.io/Logging_0581/klagomålsmail/A 31892-2026 FSC-klagomål mail.docx", "A 31892-2026")</f>
        <v/>
      </c>
      <c r="AC168">
        <f>HYPERLINK("https://klasma.github.io/Logging_0581/tillsyn/A 31892-2026 tillsynsbegäran.docx", "A 31892-2026")</f>
        <v/>
      </c>
      <c r="AD168">
        <f>HYPERLINK("https://klasma.github.io/Logging_0581/tillsynsmail/A 31892-2026 tillsynsbegäran mail.docx", "A 31892-2026")</f>
        <v/>
      </c>
    </row>
    <row r="169" ht="15" customHeight="1">
      <c r="A169" t="inlineStr">
        <is>
          <t>A 14329-2022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44652</v>
      </c>
      <c r="E169" s="1" t="n">
        <v>46280</v>
      </c>
      <c r="F169" t="inlineStr">
        <is>
          <t>ÖSTERGÖTLANDS LÄN</t>
        </is>
      </c>
      <c r="G169" t="inlineStr">
        <is>
          <t>NORRKÖPING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Röd skogslilja</t>
        </is>
      </c>
      <c r="W169">
        <f>HYPERLINK("https://klasma.github.io/Logging_0581/artfynd/A 14329-2022 artfynd.xlsx", "A 14329-2022")</f>
        <v/>
      </c>
      <c r="X169">
        <f>HYPERLINK("https://klasma.github.io/Logging_0581/kartor/A 14329-2022 karta.png", "A 14329-2022")</f>
        <v/>
      </c>
      <c r="Y169">
        <f>HYPERLINK("https://klasma.github.io/Logging_0581/kartor_geotiff/A 14329-2022 georefererad karta.tif", "A 14329-2022")</f>
        <v/>
      </c>
      <c r="AA169">
        <f>HYPERLINK("https://klasma.github.io/Logging_0581/klagomål/A 14329-2022 FSC-klagomål.docx", "A 14329-2022")</f>
        <v/>
      </c>
      <c r="AB169">
        <f>HYPERLINK("https://klasma.github.io/Logging_0581/klagomålsmail/A 14329-2022 FSC-klagomål mail.docx", "A 14329-2022")</f>
        <v/>
      </c>
      <c r="AC169">
        <f>HYPERLINK("https://klasma.github.io/Logging_0581/tillsyn/A 14329-2022 tillsynsbegäran.docx", "A 14329-2022")</f>
        <v/>
      </c>
      <c r="AD169">
        <f>HYPERLINK("https://klasma.github.io/Logging_0581/tillsynsmail/A 14329-2022 tillsynsbegäran mail.docx", "A 14329-2022")</f>
        <v/>
      </c>
    </row>
    <row r="170" ht="15" customHeight="1">
      <c r="A170" t="inlineStr">
        <is>
          <t>A 46957-2023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45201</v>
      </c>
      <c r="E170" s="1" t="n">
        <v>46280</v>
      </c>
      <c r="F170" t="inlineStr">
        <is>
          <t>ÖSTERGÖTLANDS LÄN</t>
        </is>
      </c>
      <c r="G170" t="inlineStr">
        <is>
          <t>NORRKÖPING</t>
        </is>
      </c>
      <c r="I170" t="n">
        <v>1.8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Vedskivlav</t>
        </is>
      </c>
      <c r="W170">
        <f>HYPERLINK("https://klasma.github.io/Logging_0581/artfynd/A 46957-2023 artfynd.xlsx", "A 46957-2023")</f>
        <v/>
      </c>
      <c r="X170">
        <f>HYPERLINK("https://klasma.github.io/Logging_0581/kartor/A 46957-2023 karta.png", "A 46957-2023")</f>
        <v/>
      </c>
      <c r="Y170">
        <f>HYPERLINK("https://klasma.github.io/Logging_0581/kartor_geotiff/A 46957-2023 georefererad karta.tif", "A 46957-2023")</f>
        <v/>
      </c>
      <c r="AA170">
        <f>HYPERLINK("https://klasma.github.io/Logging_0581/klagomål/A 46957-2023 FSC-klagomål.docx", "A 46957-2023")</f>
        <v/>
      </c>
      <c r="AB170">
        <f>HYPERLINK("https://klasma.github.io/Logging_0581/klagomålsmail/A 46957-2023 FSC-klagomål mail.docx", "A 46957-2023")</f>
        <v/>
      </c>
      <c r="AC170">
        <f>HYPERLINK("https://klasma.github.io/Logging_0581/tillsyn/A 46957-2023 tillsynsbegäran.docx", "A 46957-2023")</f>
        <v/>
      </c>
      <c r="AD170">
        <f>HYPERLINK("https://klasma.github.io/Logging_0581/tillsynsmail/A 46957-2023 tillsynsbegäran mail.docx", "A 46957-2023")</f>
        <v/>
      </c>
    </row>
    <row r="171" ht="15" customHeight="1">
      <c r="A171" t="inlineStr">
        <is>
          <t>A 27107-2023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45096</v>
      </c>
      <c r="E171" s="1" t="n">
        <v>46280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0.5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Svartvit flugsnappare</t>
        </is>
      </c>
      <c r="W171">
        <f>HYPERLINK("https://klasma.github.io/Logging_0581/artfynd/A 27107-2023 artfynd.xlsx", "A 27107-2023")</f>
        <v/>
      </c>
      <c r="X171">
        <f>HYPERLINK("https://klasma.github.io/Logging_0581/kartor/A 27107-2023 karta.png", "A 27107-2023")</f>
        <v/>
      </c>
      <c r="Y171">
        <f>HYPERLINK("https://klasma.github.io/Logging_0581/kartor_geotiff/A 27107-2023 georefererad karta.tif", "A 27107-2023")</f>
        <v/>
      </c>
      <c r="AA171">
        <f>HYPERLINK("https://klasma.github.io/Logging_0581/klagomål/A 27107-2023 FSC-klagomål.docx", "A 27107-2023")</f>
        <v/>
      </c>
      <c r="AB171">
        <f>HYPERLINK("https://klasma.github.io/Logging_0581/klagomålsmail/A 27107-2023 FSC-klagomål mail.docx", "A 27107-2023")</f>
        <v/>
      </c>
      <c r="AC171">
        <f>HYPERLINK("https://klasma.github.io/Logging_0581/tillsyn/A 27107-2023 tillsynsbegäran.docx", "A 27107-2023")</f>
        <v/>
      </c>
      <c r="AD171">
        <f>HYPERLINK("https://klasma.github.io/Logging_0581/tillsynsmail/A 27107-2023 tillsynsbegäran mail.docx", "A 27107-2023")</f>
        <v/>
      </c>
    </row>
    <row r="172" ht="15" customHeight="1">
      <c r="A172" t="inlineStr">
        <is>
          <t>A 31582-2023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46280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Tjäder</t>
        </is>
      </c>
      <c r="W172">
        <f>HYPERLINK("https://klasma.github.io/Logging_0581/artfynd/A 31582-2023 artfynd.xlsx", "A 31582-2023")</f>
        <v/>
      </c>
      <c r="X172">
        <f>HYPERLINK("https://klasma.github.io/Logging_0581/kartor/A 31582-2023 karta.png", "A 31582-2023")</f>
        <v/>
      </c>
      <c r="Y172">
        <f>HYPERLINK("https://klasma.github.io/Logging_0581/kartor_geotiff/A 31582-2023 georefererad karta.tif", "A 31582-2023")</f>
        <v/>
      </c>
      <c r="AA172">
        <f>HYPERLINK("https://klasma.github.io/Logging_0581/klagomål/A 31582-2023 FSC-klagomål.docx", "A 31582-2023")</f>
        <v/>
      </c>
      <c r="AB172">
        <f>HYPERLINK("https://klasma.github.io/Logging_0581/klagomålsmail/A 31582-2023 FSC-klagomål mail.docx", "A 31582-2023")</f>
        <v/>
      </c>
      <c r="AC172">
        <f>HYPERLINK("https://klasma.github.io/Logging_0581/tillsyn/A 31582-2023 tillsynsbegäran.docx", "A 31582-2023")</f>
        <v/>
      </c>
      <c r="AD172">
        <f>HYPERLINK("https://klasma.github.io/Logging_0581/tillsynsmail/A 31582-2023 tillsynsbegäran mail.docx", "A 31582-2023")</f>
        <v/>
      </c>
      <c r="AE172">
        <f>HYPERLINK("https://klasma.github.io/Logging_0581/fåglar/A 31582-2023 prioriterade fågelarter.docx", "A 31582-2023")</f>
        <v/>
      </c>
    </row>
    <row r="173" ht="15" customHeight="1">
      <c r="A173" t="inlineStr">
        <is>
          <t>A 16610-2024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46280</v>
      </c>
      <c r="F173" t="inlineStr">
        <is>
          <t>ÖSTERGÖTLANDS LÄN</t>
        </is>
      </c>
      <c r="G173" t="inlineStr">
        <is>
          <t>NORRKÖPING</t>
        </is>
      </c>
      <c r="I173" t="n">
        <v>5.8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t="n">
        <v>3</v>
      </c>
      <c r="V173" s="2" t="inlineStr">
        <is>
          <t>Knärot</t>
        </is>
      </c>
      <c r="W173">
        <f>HYPERLINK("https://klasma.github.io/Logging_0581/artfynd/A 16610-2024 artfynd.xlsx", "A 16610-2024")</f>
        <v/>
      </c>
      <c r="X173">
        <f>HYPERLINK("https://klasma.github.io/Logging_0581/kartor/A 16610-2024 karta.png", "A 16610-2024")</f>
        <v/>
      </c>
      <c r="Y173">
        <f>HYPERLINK("https://klasma.github.io/Logging_0581/kartor_geotiff/A 16610-2024 georefererad karta.tif", "A 16610-2024")</f>
        <v/>
      </c>
      <c r="Z173">
        <f>HYPERLINK("https://klasma.github.io/Logging_0581/knärot/A 16610-2024 karta knärot.png", "A 16610-2024")</f>
        <v/>
      </c>
      <c r="AA173">
        <f>HYPERLINK("https://klasma.github.io/Logging_0581/klagomål/A 16610-2024 FSC-klagomål.docx", "A 16610-2024")</f>
        <v/>
      </c>
      <c r="AB173">
        <f>HYPERLINK("https://klasma.github.io/Logging_0581/klagomålsmail/A 16610-2024 FSC-klagomål mail.docx", "A 16610-2024")</f>
        <v/>
      </c>
      <c r="AC173">
        <f>HYPERLINK("https://klasma.github.io/Logging_0581/tillsyn/A 16610-2024 tillsynsbegäran.docx", "A 16610-2024")</f>
        <v/>
      </c>
      <c r="AD173">
        <f>HYPERLINK("https://klasma.github.io/Logging_0581/tillsynsmail/A 16610-2024 tillsynsbegäran mail.docx", "A 16610-2024")</f>
        <v/>
      </c>
    </row>
    <row r="174" ht="15" customHeight="1">
      <c r="A174" t="inlineStr">
        <is>
          <t>A 18636-2023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45043</v>
      </c>
      <c r="E174" s="1" t="n">
        <v>46280</v>
      </c>
      <c r="F174" t="inlineStr">
        <is>
          <t>ÖSTERGÖTLANDS LÄN</t>
        </is>
      </c>
      <c r="G174" t="inlineStr">
        <is>
          <t>NORRKÖPING</t>
        </is>
      </c>
      <c r="I174" t="n">
        <v>5.7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Spillkråka</t>
        </is>
      </c>
      <c r="W174">
        <f>HYPERLINK("https://klasma.github.io/Logging_0581/artfynd/A 18636-2023 artfynd.xlsx", "A 18636-2023")</f>
        <v/>
      </c>
      <c r="X174">
        <f>HYPERLINK("https://klasma.github.io/Logging_0581/kartor/A 18636-2023 karta.png", "A 18636-2023")</f>
        <v/>
      </c>
      <c r="Y174">
        <f>HYPERLINK("https://klasma.github.io/Logging_0581/kartor_geotiff/A 18636-2023 georefererad karta.tif", "A 18636-2023")</f>
        <v/>
      </c>
      <c r="AA174">
        <f>HYPERLINK("https://klasma.github.io/Logging_0581/klagomål/A 18636-2023 FSC-klagomål.docx", "A 18636-2023")</f>
        <v/>
      </c>
      <c r="AB174">
        <f>HYPERLINK("https://klasma.github.io/Logging_0581/klagomålsmail/A 18636-2023 FSC-klagomål mail.docx", "A 18636-2023")</f>
        <v/>
      </c>
      <c r="AC174">
        <f>HYPERLINK("https://klasma.github.io/Logging_0581/tillsyn/A 18636-2023 tillsynsbegäran.docx", "A 18636-2023")</f>
        <v/>
      </c>
      <c r="AD174">
        <f>HYPERLINK("https://klasma.github.io/Logging_0581/tillsynsmail/A 18636-2023 tillsynsbegäran mail.docx", "A 18636-2023")</f>
        <v/>
      </c>
      <c r="AE174">
        <f>HYPERLINK("https://klasma.github.io/Logging_0581/fåglar/A 18636-2023 prioriterade fågelarter.docx", "A 18636-2023")</f>
        <v/>
      </c>
    </row>
    <row r="175" ht="15" customHeight="1">
      <c r="A175" t="inlineStr">
        <is>
          <t>A 12145-2024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45376</v>
      </c>
      <c r="E175" s="1" t="n">
        <v>46280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Allmännings- och besparingsskogar</t>
        </is>
      </c>
      <c r="I175" t="n">
        <v>10.4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Gullgröppa</t>
        </is>
      </c>
      <c r="W175">
        <f>HYPERLINK("https://klasma.github.io/Logging_0581/artfynd/A 12145-2024 artfynd.xlsx", "A 12145-2024")</f>
        <v/>
      </c>
      <c r="X175">
        <f>HYPERLINK("https://klasma.github.io/Logging_0581/kartor/A 12145-2024 karta.png", "A 12145-2024")</f>
        <v/>
      </c>
      <c r="Y175">
        <f>HYPERLINK("https://klasma.github.io/Logging_0581/kartor_geotiff/A 12145-2024 georefererad karta.tif", "A 12145-2024")</f>
        <v/>
      </c>
      <c r="AA175">
        <f>HYPERLINK("https://klasma.github.io/Logging_0581/klagomål/A 12145-2024 FSC-klagomål.docx", "A 12145-2024")</f>
        <v/>
      </c>
      <c r="AB175">
        <f>HYPERLINK("https://klasma.github.io/Logging_0581/klagomålsmail/A 12145-2024 FSC-klagomål mail.docx", "A 12145-2024")</f>
        <v/>
      </c>
      <c r="AC175">
        <f>HYPERLINK("https://klasma.github.io/Logging_0581/tillsyn/A 12145-2024 tillsynsbegäran.docx", "A 12145-2024")</f>
        <v/>
      </c>
      <c r="AD175">
        <f>HYPERLINK("https://klasma.github.io/Logging_0581/tillsynsmail/A 12145-2024 tillsynsbegäran mail.docx", "A 12145-2024")</f>
        <v/>
      </c>
    </row>
    <row r="176" ht="15" customHeight="1">
      <c r="A176" t="inlineStr">
        <is>
          <t>A 15870-2024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45405</v>
      </c>
      <c r="E176" s="1" t="n">
        <v>46280</v>
      </c>
      <c r="F176" t="inlineStr">
        <is>
          <t>ÖSTERGÖTLANDS LÄN</t>
        </is>
      </c>
      <c r="G176" t="inlineStr">
        <is>
          <t>NORRKÖPING</t>
        </is>
      </c>
      <c r="I176" t="n">
        <v>1.3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Mörk dunört</t>
        </is>
      </c>
      <c r="W176">
        <f>HYPERLINK("https://klasma.github.io/Logging_0581/artfynd/A 15870-2024 artfynd.xlsx", "A 15870-2024")</f>
        <v/>
      </c>
      <c r="X176">
        <f>HYPERLINK("https://klasma.github.io/Logging_0581/kartor/A 15870-2024 karta.png", "A 15870-2024")</f>
        <v/>
      </c>
      <c r="Y176">
        <f>HYPERLINK("https://klasma.github.io/Logging_0581/kartor_geotiff/A 15870-2024 georefererad karta.tif", "A 15870-2024")</f>
        <v/>
      </c>
      <c r="AA176">
        <f>HYPERLINK("https://klasma.github.io/Logging_0581/klagomål/A 15870-2024 FSC-klagomål.docx", "A 15870-2024")</f>
        <v/>
      </c>
      <c r="AB176">
        <f>HYPERLINK("https://klasma.github.io/Logging_0581/klagomålsmail/A 15870-2024 FSC-klagomål mail.docx", "A 15870-2024")</f>
        <v/>
      </c>
      <c r="AC176">
        <f>HYPERLINK("https://klasma.github.io/Logging_0581/tillsyn/A 15870-2024 tillsynsbegäran.docx", "A 15870-2024")</f>
        <v/>
      </c>
      <c r="AD176">
        <f>HYPERLINK("https://klasma.github.io/Logging_0581/tillsynsmail/A 15870-2024 tillsynsbegäran mail.docx", "A 15870-2024")</f>
        <v/>
      </c>
    </row>
    <row r="177" ht="15" customHeight="1">
      <c r="A177" t="inlineStr">
        <is>
          <t>A 58711-2023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46280</v>
      </c>
      <c r="F177" t="inlineStr">
        <is>
          <t>ÖSTERGÖTLANDS LÄN</t>
        </is>
      </c>
      <c r="G177" t="inlineStr">
        <is>
          <t>NORRKÖPING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Ängsskära</t>
        </is>
      </c>
      <c r="W177">
        <f>HYPERLINK("https://klasma.github.io/Logging_0581/artfynd/A 58711-2023 artfynd.xlsx", "A 58711-2023")</f>
        <v/>
      </c>
      <c r="X177">
        <f>HYPERLINK("https://klasma.github.io/Logging_0581/kartor/A 58711-2023 karta.png", "A 58711-2023")</f>
        <v/>
      </c>
      <c r="Y177">
        <f>HYPERLINK("https://klasma.github.io/Logging_0581/kartor_geotiff/A 58711-2023 georefererad karta.tif", "A 58711-2023")</f>
        <v/>
      </c>
      <c r="AA177">
        <f>HYPERLINK("https://klasma.github.io/Logging_0581/klagomål/A 58711-2023 FSC-klagomål.docx", "A 58711-2023")</f>
        <v/>
      </c>
      <c r="AB177">
        <f>HYPERLINK("https://klasma.github.io/Logging_0581/klagomålsmail/A 58711-2023 FSC-klagomål mail.docx", "A 58711-2023")</f>
        <v/>
      </c>
      <c r="AC177">
        <f>HYPERLINK("https://klasma.github.io/Logging_0581/tillsyn/A 58711-2023 tillsynsbegäran.docx", "A 58711-2023")</f>
        <v/>
      </c>
      <c r="AD177">
        <f>HYPERLINK("https://klasma.github.io/Logging_0581/tillsynsmail/A 58711-2023 tillsynsbegäran mail.docx", "A 58711-2023")</f>
        <v/>
      </c>
    </row>
    <row r="178" ht="15" customHeight="1">
      <c r="A178" t="inlineStr">
        <is>
          <t>A 11520-2025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46280</v>
      </c>
      <c r="F178" t="inlineStr">
        <is>
          <t>ÖSTERGÖTLANDS LÄN</t>
        </is>
      </c>
      <c r="G178" t="inlineStr">
        <is>
          <t>NORRKÖPING</t>
        </is>
      </c>
      <c r="I178" t="n">
        <v>1.7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Myskbock</t>
        </is>
      </c>
      <c r="W178">
        <f>HYPERLINK("https://klasma.github.io/Logging_0581/artfynd/A 11520-2025 artfynd.xlsx", "A 11520-2025")</f>
        <v/>
      </c>
      <c r="X178">
        <f>HYPERLINK("https://klasma.github.io/Logging_0581/kartor/A 11520-2025 karta.png", "A 11520-2025")</f>
        <v/>
      </c>
      <c r="Y178">
        <f>HYPERLINK("https://klasma.github.io/Logging_0581/kartor_geotiff/A 11520-2025 georefererad karta.tif", "A 11520-2025")</f>
        <v/>
      </c>
      <c r="AA178">
        <f>HYPERLINK("https://klasma.github.io/Logging_0581/klagomål/A 11520-2025 FSC-klagomål.docx", "A 11520-2025")</f>
        <v/>
      </c>
      <c r="AB178">
        <f>HYPERLINK("https://klasma.github.io/Logging_0581/klagomålsmail/A 11520-2025 FSC-klagomål mail.docx", "A 11520-2025")</f>
        <v/>
      </c>
      <c r="AC178">
        <f>HYPERLINK("https://klasma.github.io/Logging_0581/tillsyn/A 11520-2025 tillsynsbegäran.docx", "A 11520-2025")</f>
        <v/>
      </c>
      <c r="AD178">
        <f>HYPERLINK("https://klasma.github.io/Logging_0581/tillsynsmail/A 11520-2025 tillsynsbegäran mail.docx", "A 11520-2025")</f>
        <v/>
      </c>
    </row>
    <row r="179" ht="15" customHeight="1">
      <c r="A179" t="inlineStr">
        <is>
          <t>S 703-2022</t>
        </is>
      </c>
      <c r="B179" t="inlineStr">
        <is>
          <t>samrådsanmälan</t>
        </is>
      </c>
      <c r="C179" t="inlineStr">
        <is>
          <t>Skogsbilväg</t>
        </is>
      </c>
      <c r="D179" s="1" t="n">
        <v>44596</v>
      </c>
      <c r="E179" s="1" t="n">
        <v>46280</v>
      </c>
      <c r="F179" t="inlineStr">
        <is>
          <t>ÖSTERGÖTLANDS LÄN</t>
        </is>
      </c>
      <c r="G179" t="inlineStr">
        <is>
          <t>NORRKÖPING</t>
        </is>
      </c>
      <c r="I179" t="n">
        <v>2.3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Talltita</t>
        </is>
      </c>
      <c r="W179">
        <f>HYPERLINK("https://klasma.github.io/Logging_0581/artfynd/S 703-2022 artfynd.xlsx", "S 703-2022")</f>
        <v/>
      </c>
      <c r="X179">
        <f>HYPERLINK("https://klasma.github.io/Logging_0581/kartor/S 703-2022 karta.png", "S 703-2022")</f>
        <v/>
      </c>
      <c r="Y179">
        <f>HYPERLINK("https://klasma.github.io/Logging_0581/kartor_geotiff/S 703-2022 georefererad karta.tif", "S 703-2022")</f>
        <v/>
      </c>
      <c r="AA179">
        <f>HYPERLINK("https://klasma.github.io/Logging_0581/klagomål/S 703-2022 FSC-klagomål.docx", "S 703-2022")</f>
        <v/>
      </c>
      <c r="AB179">
        <f>HYPERLINK("https://klasma.github.io/Logging_0581/klagomålsmail/S 703-2022 FSC-klagomål mail.docx", "S 703-2022")</f>
        <v/>
      </c>
      <c r="AC179">
        <f>HYPERLINK("https://klasma.github.io/Logging_0581/tillsyn/S 703-2022 tillsynsbegäran.docx", "S 703-2022")</f>
        <v/>
      </c>
      <c r="AD179">
        <f>HYPERLINK("https://klasma.github.io/Logging_0581/tillsynsmail/S 703-2022 tillsynsbegäran mail.docx", "S 703-2022")</f>
        <v/>
      </c>
      <c r="AE179">
        <f>HYPERLINK("https://klasma.github.io/Logging_0581/fåglar/S 703-2022 prioriterade fågelarter.docx", "S 703-2022")</f>
        <v/>
      </c>
    </row>
    <row r="180" ht="15" customHeight="1">
      <c r="A180" t="inlineStr">
        <is>
          <t>S 9752-2021</t>
        </is>
      </c>
      <c r="B180" t="inlineStr">
        <is>
          <t>samrådsanmälan</t>
        </is>
      </c>
      <c r="C180" t="inlineStr">
        <is>
          <t>Åtgärd i nyckelbiotop</t>
        </is>
      </c>
      <c r="D180" s="1" t="n">
        <v>44529</v>
      </c>
      <c r="E180" s="1" t="n">
        <v>46280</v>
      </c>
      <c r="F180" t="inlineStr">
        <is>
          <t>ÖSTERGÖTLANDS LÄN</t>
        </is>
      </c>
      <c r="G180" t="inlineStr">
        <is>
          <t>NORRKÖPING</t>
        </is>
      </c>
      <c r="I180" t="n">
        <v>1.6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Fällmossa</t>
        </is>
      </c>
      <c r="W180">
        <f>HYPERLINK("https://klasma.github.io/Logging_0581/artfynd/S 9752-2021 artfynd.xlsx", "S 9752-2021")</f>
        <v/>
      </c>
      <c r="X180">
        <f>HYPERLINK("https://klasma.github.io/Logging_0581/kartor/S 9752-2021 karta.png", "S 9752-2021")</f>
        <v/>
      </c>
      <c r="Y180">
        <f>HYPERLINK("https://klasma.github.io/Logging_0581/kartor_geotiff/S 9752-2021 georefererad karta.tif", "S 9752-2021")</f>
        <v/>
      </c>
      <c r="AA180">
        <f>HYPERLINK("https://klasma.github.io/Logging_0581/klagomål/S 9752-2021 FSC-klagomål.docx", "S 9752-2021")</f>
        <v/>
      </c>
      <c r="AB180">
        <f>HYPERLINK("https://klasma.github.io/Logging_0581/klagomålsmail/S 9752-2021 FSC-klagomål mail.docx", "S 9752-2021")</f>
        <v/>
      </c>
      <c r="AC180">
        <f>HYPERLINK("https://klasma.github.io/Logging_0581/tillsyn/S 9752-2021 tillsynsbegäran.docx", "S 9752-2021")</f>
        <v/>
      </c>
      <c r="AD180">
        <f>HYPERLINK("https://klasma.github.io/Logging_0581/tillsynsmail/S 9752-2021 tillsynsbegäran mail.docx", "S 9752-2021")</f>
        <v/>
      </c>
    </row>
    <row r="181" ht="15" customHeight="1">
      <c r="A181" t="inlineStr">
        <is>
          <t>A 50133-2021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44456</v>
      </c>
      <c r="E181" s="1" t="n">
        <v>46280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44456</v>
      </c>
      <c r="E182" s="1" t="n">
        <v>46280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46280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68936-2021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46280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46280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46280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46280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46280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46280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46280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46280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46280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46280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46280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46280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46280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46280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46280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46280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46280</v>
      </c>
      <c r="F200" t="inlineStr">
        <is>
          <t>ÖSTERGÖTLANDS LÄN</t>
        </is>
      </c>
      <c r="G200" t="inlineStr">
        <is>
          <t>NORRKÖPING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46280</v>
      </c>
      <c r="F201" t="inlineStr">
        <is>
          <t>ÖSTERGÖTLANDS LÄN</t>
        </is>
      </c>
      <c r="G201" t="inlineStr">
        <is>
          <t>NORRKÖPING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46280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69038-2021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46280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46280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44459</v>
      </c>
      <c r="E205" s="1" t="n">
        <v>46280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46280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Allmännings- och besparingsskogar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50306-2021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46280</v>
      </c>
      <c r="F207" t="inlineStr">
        <is>
          <t>ÖSTERGÖTLANDS LÄN</t>
        </is>
      </c>
      <c r="G207" t="inlineStr">
        <is>
          <t>NORRKÖPING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55429-2021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46280</v>
      </c>
      <c r="F208" t="inlineStr">
        <is>
          <t>ÖSTERGÖTLANDS LÄN</t>
        </is>
      </c>
      <c r="G208" t="inlineStr">
        <is>
          <t>NORRKÖPING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44574</v>
      </c>
      <c r="E209" s="1" t="n">
        <v>46280</v>
      </c>
      <c r="F209" t="inlineStr">
        <is>
          <t>ÖSTERGÖTLANDS LÄN</t>
        </is>
      </c>
      <c r="G209" t="inlineStr">
        <is>
          <t>NORRKÖPING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44686</v>
      </c>
      <c r="E210" s="1" t="n">
        <v>46280</v>
      </c>
      <c r="F210" t="inlineStr">
        <is>
          <t>ÖSTERGÖTLANDS LÄN</t>
        </is>
      </c>
      <c r="G210" t="inlineStr">
        <is>
          <t>NORRKÖPING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46280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56032-2022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44889</v>
      </c>
      <c r="E212" s="1" t="n">
        <v>46280</v>
      </c>
      <c r="F212" t="inlineStr">
        <is>
          <t>ÖSTERGÖTLANDS LÄN</t>
        </is>
      </c>
      <c r="G212" t="inlineStr">
        <is>
          <t>NORRKÖPING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46280</v>
      </c>
      <c r="F213" t="inlineStr">
        <is>
          <t>ÖSTERGÖTLANDS LÄN</t>
        </is>
      </c>
      <c r="G213" t="inlineStr">
        <is>
          <t>NORRKÖPING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44582</v>
      </c>
      <c r="E214" s="1" t="n">
        <v>46280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40975-2022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44825</v>
      </c>
      <c r="E215" s="1" t="n">
        <v>46280</v>
      </c>
      <c r="F215" t="inlineStr">
        <is>
          <t>ÖSTERGÖTLANDS LÄN</t>
        </is>
      </c>
      <c r="G215" t="inlineStr">
        <is>
          <t>NORRKÖPING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46280</v>
      </c>
      <c r="F216" t="inlineStr">
        <is>
          <t>ÖSTERGÖTLANDS LÄN</t>
        </is>
      </c>
      <c r="G216" t="inlineStr">
        <is>
          <t>NORRKÖPING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44730</v>
      </c>
      <c r="E217" s="1" t="n">
        <v>46280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44578</v>
      </c>
      <c r="E218" s="1" t="n">
        <v>46280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BillerudKorsnäs AB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44886</v>
      </c>
      <c r="E219" s="1" t="n">
        <v>46280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44740</v>
      </c>
      <c r="E220" s="1" t="n">
        <v>46280</v>
      </c>
      <c r="F220" t="inlineStr">
        <is>
          <t>ÖSTERGÖTLANDS LÄN</t>
        </is>
      </c>
      <c r="G220" t="inlineStr">
        <is>
          <t>NORRKÖPING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44874</v>
      </c>
      <c r="E221" s="1" t="n">
        <v>46280</v>
      </c>
      <c r="F221" t="inlineStr">
        <is>
          <t>ÖSTERGÖTLANDS LÄN</t>
        </is>
      </c>
      <c r="G221" t="inlineStr">
        <is>
          <t>NORRKÖPING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44726</v>
      </c>
      <c r="E222" s="1" t="n">
        <v>46280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Allmännings- och besparingsskogar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58093-2021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44487</v>
      </c>
      <c r="E223" s="1" t="n">
        <v>46280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44596</v>
      </c>
      <c r="E224" s="1" t="n">
        <v>46280</v>
      </c>
      <c r="F224" t="inlineStr">
        <is>
          <t>ÖSTERGÖTLANDS LÄN</t>
        </is>
      </c>
      <c r="G224" t="inlineStr">
        <is>
          <t>NORRKÖPING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53444-2021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44468</v>
      </c>
      <c r="E225" s="1" t="n">
        <v>46280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44630</v>
      </c>
      <c r="E226" s="1" t="n">
        <v>46280</v>
      </c>
      <c r="F226" t="inlineStr">
        <is>
          <t>ÖSTERGÖTLANDS LÄN</t>
        </is>
      </c>
      <c r="G226" t="inlineStr">
        <is>
          <t>NORRKÖPING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44869</v>
      </c>
      <c r="E227" s="1" t="n">
        <v>46280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46280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45401</v>
      </c>
      <c r="E229" s="1" t="n">
        <v>46280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14138-2022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44651</v>
      </c>
      <c r="E230" s="1" t="n">
        <v>46280</v>
      </c>
      <c r="F230" t="inlineStr">
        <is>
          <t>ÖSTERGÖTLANDS LÄN</t>
        </is>
      </c>
      <c r="G230" t="inlineStr">
        <is>
          <t>NORRKÖPING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44957</v>
      </c>
      <c r="E231" s="1" t="n">
        <v>46280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41223-2022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46280</v>
      </c>
      <c r="F232" t="inlineStr">
        <is>
          <t>ÖSTERGÖTLANDS LÄN</t>
        </is>
      </c>
      <c r="G232" t="inlineStr">
        <is>
          <t>NORRKÖPING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46280</v>
      </c>
      <c r="F233" t="inlineStr">
        <is>
          <t>ÖSTERGÖTLANDS LÄN</t>
        </is>
      </c>
      <c r="G233" t="inlineStr">
        <is>
          <t>NORRKÖPING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45118</v>
      </c>
      <c r="E234" s="1" t="n">
        <v>46280</v>
      </c>
      <c r="F234" t="inlineStr">
        <is>
          <t>ÖSTERGÖTLANDS LÄN</t>
        </is>
      </c>
      <c r="G234" t="inlineStr">
        <is>
          <t>NORRKÖPING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26390-2024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45469</v>
      </c>
      <c r="E235" s="1" t="n">
        <v>46280</v>
      </c>
      <c r="F235" t="inlineStr">
        <is>
          <t>ÖSTERGÖTLANDS LÄN</t>
        </is>
      </c>
      <c r="G235" t="inlineStr">
        <is>
          <t>NORRKÖPING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44900</v>
      </c>
      <c r="E236" s="1" t="n">
        <v>46280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32630-2022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44783</v>
      </c>
      <c r="E237" s="1" t="n">
        <v>46280</v>
      </c>
      <c r="F237" t="inlineStr">
        <is>
          <t>ÖSTERGÖTLANDS LÄN</t>
        </is>
      </c>
      <c r="G237" t="inlineStr">
        <is>
          <t>NORRKÖPING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45086</v>
      </c>
      <c r="E238" s="1" t="n">
        <v>46280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Allmännings- och besparingsskogar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64898-2021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44512</v>
      </c>
      <c r="E239" s="1" t="n">
        <v>46280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45076</v>
      </c>
      <c r="E240" s="1" t="n">
        <v>46280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45386</v>
      </c>
      <c r="E241" s="1" t="n">
        <v>46280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45706</v>
      </c>
      <c r="E242" s="1" t="n">
        <v>46280</v>
      </c>
      <c r="F242" t="inlineStr">
        <is>
          <t>ÖSTERGÖTLANDS LÄN</t>
        </is>
      </c>
      <c r="G242" t="inlineStr">
        <is>
          <t>NORRKÖPING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45716</v>
      </c>
      <c r="E243" s="1" t="n">
        <v>46280</v>
      </c>
      <c r="F243" t="inlineStr">
        <is>
          <t>ÖSTERGÖTLANDS LÄN</t>
        </is>
      </c>
      <c r="G243" t="inlineStr">
        <is>
          <t>NORRKÖPING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46280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46280</v>
      </c>
      <c r="F245" t="inlineStr">
        <is>
          <t>ÖSTERGÖTLANDS LÄN</t>
        </is>
      </c>
      <c r="G245" t="inlineStr">
        <is>
          <t>NORRKÖPING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45053</v>
      </c>
      <c r="E246" s="1" t="n">
        <v>46280</v>
      </c>
      <c r="F246" t="inlineStr">
        <is>
          <t>ÖSTERGÖTLANDS LÄN</t>
        </is>
      </c>
      <c r="G246" t="inlineStr">
        <is>
          <t>NORRKÖPING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46280</v>
      </c>
      <c r="F247" t="inlineStr">
        <is>
          <t>ÖSTERGÖTLANDS LÄN</t>
        </is>
      </c>
      <c r="G247" t="inlineStr">
        <is>
          <t>NORRKÖPING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44861</v>
      </c>
      <c r="E248" s="1" t="n">
        <v>46280</v>
      </c>
      <c r="F248" t="inlineStr">
        <is>
          <t>ÖSTERGÖTLANDS LÄN</t>
        </is>
      </c>
      <c r="G248" t="inlineStr">
        <is>
          <t>NORRKÖPING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46280</v>
      </c>
      <c r="F249" t="inlineStr">
        <is>
          <t>ÖSTERGÖTLANDS LÄN</t>
        </is>
      </c>
      <c r="G249" t="inlineStr">
        <is>
          <t>NORRKÖPING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45266</v>
      </c>
      <c r="E250" s="1" t="n">
        <v>46280</v>
      </c>
      <c r="F250" t="inlineStr">
        <is>
          <t>ÖSTERGÖTLANDS LÄN</t>
        </is>
      </c>
      <c r="G250" t="inlineStr">
        <is>
          <t>NORRKÖPING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45110</v>
      </c>
      <c r="E251" s="1" t="n">
        <v>46280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46280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45636</v>
      </c>
      <c r="E253" s="1" t="n">
        <v>46280</v>
      </c>
      <c r="F253" t="inlineStr">
        <is>
          <t>ÖSTERGÖTLANDS LÄN</t>
        </is>
      </c>
      <c r="G253" t="inlineStr">
        <is>
          <t>NORRKÖPING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45313</v>
      </c>
      <c r="E254" s="1" t="n">
        <v>46280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45238</v>
      </c>
      <c r="E255" s="1" t="n">
        <v>46280</v>
      </c>
      <c r="F255" t="inlineStr">
        <is>
          <t>ÖSTERGÖTLANDS LÄN</t>
        </is>
      </c>
      <c r="G255" t="inlineStr">
        <is>
          <t>NORRKÖPING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45356</v>
      </c>
      <c r="E256" s="1" t="n">
        <v>46280</v>
      </c>
      <c r="F256" t="inlineStr">
        <is>
          <t>ÖSTERGÖTLANDS LÄN</t>
        </is>
      </c>
      <c r="G256" t="inlineStr">
        <is>
          <t>NORRKÖPING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44741</v>
      </c>
      <c r="E257" s="1" t="n">
        <v>46280</v>
      </c>
      <c r="F257" t="inlineStr">
        <is>
          <t>ÖSTERGÖTLANDS LÄN</t>
        </is>
      </c>
      <c r="G257" t="inlineStr">
        <is>
          <t>NORRKÖPING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14585-2025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45742</v>
      </c>
      <c r="E258" s="1" t="n">
        <v>46280</v>
      </c>
      <c r="F258" t="inlineStr">
        <is>
          <t>ÖSTERGÖTLANDS LÄN</t>
        </is>
      </c>
      <c r="G258" t="inlineStr">
        <is>
          <t>NORRKÖPING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45259</v>
      </c>
      <c r="E259" s="1" t="n">
        <v>46280</v>
      </c>
      <c r="F259" t="inlineStr">
        <is>
          <t>ÖSTERGÖTLANDS LÄN</t>
        </is>
      </c>
      <c r="G259" t="inlineStr">
        <is>
          <t>NORRKÖPING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45796</v>
      </c>
      <c r="E260" s="1" t="n">
        <v>46280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46280</v>
      </c>
      <c r="F261" t="inlineStr">
        <is>
          <t>ÖSTERGÖTLANDS LÄN</t>
        </is>
      </c>
      <c r="G261" t="inlineStr">
        <is>
          <t>NORRKÖPING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46280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46280</v>
      </c>
      <c r="F263" t="inlineStr">
        <is>
          <t>ÖSTERGÖTLANDS LÄN</t>
        </is>
      </c>
      <c r="G263" t="inlineStr">
        <is>
          <t>NORRKÖPING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46280</v>
      </c>
      <c r="F264" t="inlineStr">
        <is>
          <t>ÖSTERGÖTLANDS LÄN</t>
        </is>
      </c>
      <c r="G264" t="inlineStr">
        <is>
          <t>NORRKÖPING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46280</v>
      </c>
      <c r="F265" t="inlineStr">
        <is>
          <t>ÖSTERGÖTLANDS LÄN</t>
        </is>
      </c>
      <c r="G265" t="inlineStr">
        <is>
          <t>NORRKÖPING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46280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46280</v>
      </c>
      <c r="F267" t="inlineStr">
        <is>
          <t>ÖSTERGÖTLANDS LÄN</t>
        </is>
      </c>
      <c r="G267" t="inlineStr">
        <is>
          <t>NORRKÖPING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46280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62473-2025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46007</v>
      </c>
      <c r="E269" s="1" t="n">
        <v>46280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46280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46280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45408</v>
      </c>
      <c r="E272" s="1" t="n">
        <v>46280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46280</v>
      </c>
      <c r="F273" t="inlineStr">
        <is>
          <t>ÖSTERGÖTLANDS LÄN</t>
        </is>
      </c>
      <c r="G273" t="inlineStr">
        <is>
          <t>NORRKÖPING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46280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45554</v>
      </c>
      <c r="E275" s="1" t="n">
        <v>46280</v>
      </c>
      <c r="F275" t="inlineStr">
        <is>
          <t>ÖSTERGÖTLANDS LÄN</t>
        </is>
      </c>
      <c r="G275" t="inlineStr">
        <is>
          <t>NORRKÖPING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13152-2024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45386</v>
      </c>
      <c r="E276" s="1" t="n">
        <v>46280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45722</v>
      </c>
      <c r="E277" s="1" t="n">
        <v>46280</v>
      </c>
      <c r="F277" t="inlineStr">
        <is>
          <t>ÖSTERGÖTLANDS LÄN</t>
        </is>
      </c>
      <c r="G277" t="inlineStr">
        <is>
          <t>NORRKÖPING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46280</v>
      </c>
      <c r="F278" t="inlineStr">
        <is>
          <t>ÖSTERGÖTLANDS LÄN</t>
        </is>
      </c>
      <c r="G278" t="inlineStr">
        <is>
          <t>NORRKÖPING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45762</v>
      </c>
      <c r="E279" s="1" t="n">
        <v>46280</v>
      </c>
      <c r="F279" t="inlineStr">
        <is>
          <t>ÖSTERGÖTLANDS LÄN</t>
        </is>
      </c>
      <c r="G279" t="inlineStr">
        <is>
          <t>NORRKÖPING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15843-2023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45022</v>
      </c>
      <c r="E280" s="1" t="n">
        <v>46280</v>
      </c>
      <c r="F280" t="inlineStr">
        <is>
          <t>ÖSTERGÖTLANDS LÄN</t>
        </is>
      </c>
      <c r="G280" t="inlineStr">
        <is>
          <t>NORRKÖPING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46280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Kommuner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45043</v>
      </c>
      <c r="E282" s="1" t="n">
        <v>46280</v>
      </c>
      <c r="F282" t="inlineStr">
        <is>
          <t>ÖSTERGÖTLANDS LÄN</t>
        </is>
      </c>
      <c r="G282" t="inlineStr">
        <is>
          <t>NORRKÖPING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46010</v>
      </c>
      <c r="E283" s="1" t="n">
        <v>46280</v>
      </c>
      <c r="F283" t="inlineStr">
        <is>
          <t>ÖSTERGÖTLANDS LÄN</t>
        </is>
      </c>
      <c r="G283" t="inlineStr">
        <is>
          <t>NORRKÖPING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63229-2025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46280</v>
      </c>
      <c r="F284" t="inlineStr">
        <is>
          <t>ÖSTERGÖTLANDS LÄN</t>
        </is>
      </c>
      <c r="G284" t="inlineStr">
        <is>
          <t>NORRKÖPING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46280</v>
      </c>
      <c r="F285" t="inlineStr">
        <is>
          <t>ÖSTERGÖTLANDS LÄN</t>
        </is>
      </c>
      <c r="G285" t="inlineStr">
        <is>
          <t>NORRKÖPING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46280</v>
      </c>
      <c r="F286" t="inlineStr">
        <is>
          <t>ÖSTERGÖTLANDS LÄN</t>
        </is>
      </c>
      <c r="G286" t="inlineStr">
        <is>
          <t>NORRKÖPING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44970</v>
      </c>
      <c r="E287" s="1" t="n">
        <v>46280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49778-2022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44862</v>
      </c>
      <c r="E288" s="1" t="n">
        <v>46280</v>
      </c>
      <c r="F288" t="inlineStr">
        <is>
          <t>ÖSTERGÖTLANDS LÄN</t>
        </is>
      </c>
      <c r="G288" t="inlineStr">
        <is>
          <t>NORRKÖPING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46280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45254</v>
      </c>
      <c r="E290" s="1" t="n">
        <v>46280</v>
      </c>
      <c r="F290" t="inlineStr">
        <is>
          <t>ÖSTERGÖTLANDS LÄN</t>
        </is>
      </c>
      <c r="G290" t="inlineStr">
        <is>
          <t>NORRKÖPING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46280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46280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45583</v>
      </c>
      <c r="E293" s="1" t="n">
        <v>46280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36412-2024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45535</v>
      </c>
      <c r="E294" s="1" t="n">
        <v>46280</v>
      </c>
      <c r="F294" t="inlineStr">
        <is>
          <t>ÖSTERGÖTLANDS LÄN</t>
        </is>
      </c>
      <c r="G294" t="inlineStr">
        <is>
          <t>NORRKÖPING</t>
        </is>
      </c>
      <c r="I294" t="n">
        <v>12.8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46280</v>
      </c>
      <c r="F295" t="inlineStr">
        <is>
          <t>ÖSTERGÖTLANDS LÄN</t>
        </is>
      </c>
      <c r="G295" t="inlineStr">
        <is>
          <t>NORRKÖPING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63944-2025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46010</v>
      </c>
      <c r="E296" s="1" t="n">
        <v>46280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Allmännings- och besparingsskogar</t>
        </is>
      </c>
      <c r="I296" t="n">
        <v>11.6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46280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46280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45356</v>
      </c>
      <c r="E299" s="1" t="n">
        <v>46280</v>
      </c>
      <c r="F299" t="inlineStr">
        <is>
          <t>ÖSTERGÖTLANDS LÄN</t>
        </is>
      </c>
      <c r="G299" t="inlineStr">
        <is>
          <t>NORRKÖPING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46280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46280</v>
      </c>
      <c r="F301" t="inlineStr">
        <is>
          <t>ÖSTERGÖTLANDS LÄN</t>
        </is>
      </c>
      <c r="G301" t="inlineStr">
        <is>
          <t>NORRKÖPING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46280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44980</v>
      </c>
      <c r="E303" s="1" t="n">
        <v>46280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44956</v>
      </c>
      <c r="E304" s="1" t="n">
        <v>46280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46280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46280</v>
      </c>
      <c r="F306" t="inlineStr">
        <is>
          <t>ÖSTERGÖTLANDS LÄN</t>
        </is>
      </c>
      <c r="G306" t="inlineStr">
        <is>
          <t>NORRKÖPING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46280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46280</v>
      </c>
      <c r="F308" t="inlineStr">
        <is>
          <t>ÖSTERGÖTLANDS LÄN</t>
        </is>
      </c>
      <c r="G308" t="inlineStr">
        <is>
          <t>NORRKÖPING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46280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Allmännings- och besparingsskogar</t>
        </is>
      </c>
      <c r="I309" t="n">
        <v>12.4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46280</v>
      </c>
      <c r="F310" t="inlineStr">
        <is>
          <t>ÖSTERGÖTLANDS LÄN</t>
        </is>
      </c>
      <c r="G310" t="inlineStr">
        <is>
          <t>NORRKÖPING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44936</v>
      </c>
      <c r="E311" s="1" t="n">
        <v>46280</v>
      </c>
      <c r="F311" t="inlineStr">
        <is>
          <t>ÖSTERGÖTLANDS LÄN</t>
        </is>
      </c>
      <c r="G311" t="inlineStr">
        <is>
          <t>NORRKÖPING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46280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45820</v>
      </c>
      <c r="E313" s="1" t="n">
        <v>46280</v>
      </c>
      <c r="F313" t="inlineStr">
        <is>
          <t>ÖSTERGÖTLANDS LÄN</t>
        </is>
      </c>
      <c r="G313" t="inlineStr">
        <is>
          <t>NORRKÖPING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45246</v>
      </c>
      <c r="E314" s="1" t="n">
        <v>46280</v>
      </c>
      <c r="F314" t="inlineStr">
        <is>
          <t>ÖSTERGÖTLANDS LÄN</t>
        </is>
      </c>
      <c r="G314" t="inlineStr">
        <is>
          <t>NORRKÖPING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46041</v>
      </c>
      <c r="E315" s="1" t="n">
        <v>46280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41321-2025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46280</v>
      </c>
      <c r="F316" t="inlineStr">
        <is>
          <t>ÖSTERGÖTLANDS LÄN</t>
        </is>
      </c>
      <c r="G316" t="inlineStr">
        <is>
          <t>NORRKÖPING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44575</v>
      </c>
      <c r="E317" s="1" t="n">
        <v>46280</v>
      </c>
      <c r="F317" t="inlineStr">
        <is>
          <t>ÖSTERGÖTLANDS LÄN</t>
        </is>
      </c>
      <c r="G317" t="inlineStr">
        <is>
          <t>NORRKÖPING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46280</v>
      </c>
      <c r="F318" t="inlineStr">
        <is>
          <t>ÖSTERGÖTLANDS LÄN</t>
        </is>
      </c>
      <c r="G318" t="inlineStr">
        <is>
          <t>NORRKÖPING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45824</v>
      </c>
      <c r="E319" s="1" t="n">
        <v>46280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45414</v>
      </c>
      <c r="E320" s="1" t="n">
        <v>46280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46280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45903</v>
      </c>
      <c r="E322" s="1" t="n">
        <v>46280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46038</v>
      </c>
      <c r="E323" s="1" t="n">
        <v>46280</v>
      </c>
      <c r="F323" t="inlineStr">
        <is>
          <t>ÖSTERGÖTLANDS LÄN</t>
        </is>
      </c>
      <c r="G323" t="inlineStr">
        <is>
          <t>NORRKÖPING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46280</v>
      </c>
      <c r="F324" t="inlineStr">
        <is>
          <t>ÖSTERGÖTLANDS LÄN</t>
        </is>
      </c>
      <c r="G324" t="inlineStr">
        <is>
          <t>NORRKÖPING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46280</v>
      </c>
      <c r="F325" t="inlineStr">
        <is>
          <t>ÖSTERGÖTLANDS LÄN</t>
        </is>
      </c>
      <c r="G325" t="inlineStr">
        <is>
          <t>NORRKÖPING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46280</v>
      </c>
      <c r="F326" t="inlineStr">
        <is>
          <t>ÖSTERGÖTLANDS LÄN</t>
        </is>
      </c>
      <c r="G326" t="inlineStr">
        <is>
          <t>NORRKÖPING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46280</v>
      </c>
      <c r="F327" t="inlineStr">
        <is>
          <t>ÖSTERGÖTLANDS LÄN</t>
        </is>
      </c>
      <c r="G327" t="inlineStr">
        <is>
          <t>NORRKÖPING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46280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46280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62875-2023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45272</v>
      </c>
      <c r="E330" s="1" t="n">
        <v>46280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45603</v>
      </c>
      <c r="E331" s="1" t="n">
        <v>46280</v>
      </c>
      <c r="F331" t="inlineStr">
        <is>
          <t>ÖSTERGÖTLANDS LÄN</t>
        </is>
      </c>
      <c r="G331" t="inlineStr">
        <is>
          <t>NORRKÖPING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15190-2024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45400</v>
      </c>
      <c r="E332" s="1" t="n">
        <v>46280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31564-2025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46280</v>
      </c>
      <c r="F333" t="inlineStr">
        <is>
          <t>ÖSTERGÖTLANDS LÄN</t>
        </is>
      </c>
      <c r="G333" t="inlineStr">
        <is>
          <t>NORRKÖPING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45274</v>
      </c>
      <c r="E334" s="1" t="n">
        <v>46280</v>
      </c>
      <c r="F334" t="inlineStr">
        <is>
          <t>ÖSTERGÖTLANDS LÄN</t>
        </is>
      </c>
      <c r="G334" t="inlineStr">
        <is>
          <t>NORRKÖPING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46280</v>
      </c>
      <c r="F335" t="inlineStr">
        <is>
          <t>ÖSTERGÖTLANDS LÄN</t>
        </is>
      </c>
      <c r="G335" t="inlineStr">
        <is>
          <t>NORRKÖPING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46280</v>
      </c>
      <c r="F336" t="inlineStr">
        <is>
          <t>ÖSTERGÖTLANDS LÄN</t>
        </is>
      </c>
      <c r="G336" t="inlineStr">
        <is>
          <t>NORRKÖPING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46280</v>
      </c>
      <c r="F337" t="inlineStr">
        <is>
          <t>ÖSTERGÖTLANDS LÄN</t>
        </is>
      </c>
      <c r="G337" t="inlineStr">
        <is>
          <t>NORRKÖPING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29622-2022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44754</v>
      </c>
      <c r="E338" s="1" t="n">
        <v>46280</v>
      </c>
      <c r="F338" t="inlineStr">
        <is>
          <t>ÖSTERGÖTLANDS LÄN</t>
        </is>
      </c>
      <c r="G338" t="inlineStr">
        <is>
          <t>NORRKÖPING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46046</v>
      </c>
      <c r="E339" s="1" t="n">
        <v>46280</v>
      </c>
      <c r="F339" t="inlineStr">
        <is>
          <t>ÖSTERGÖTLANDS LÄN</t>
        </is>
      </c>
      <c r="G339" t="inlineStr">
        <is>
          <t>NORRKÖPING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46046</v>
      </c>
      <c r="E340" s="1" t="n">
        <v>46280</v>
      </c>
      <c r="F340" t="inlineStr">
        <is>
          <t>ÖSTERGÖTLANDS LÄN</t>
        </is>
      </c>
      <c r="G340" t="inlineStr">
        <is>
          <t>NORRKÖPING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46280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Allmännings- och besparingsskogar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45174</v>
      </c>
      <c r="E342" s="1" t="n">
        <v>46280</v>
      </c>
      <c r="F342" t="inlineStr">
        <is>
          <t>ÖSTERGÖTLANDS LÄN</t>
        </is>
      </c>
      <c r="G342" t="inlineStr">
        <is>
          <t>NORRKÖPING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45174</v>
      </c>
      <c r="E343" s="1" t="n">
        <v>46280</v>
      </c>
      <c r="F343" t="inlineStr">
        <is>
          <t>ÖSTERGÖTLANDS LÄN</t>
        </is>
      </c>
      <c r="G343" t="inlineStr">
        <is>
          <t>NORRKÖPING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44554-2025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46280</v>
      </c>
      <c r="F344" t="inlineStr">
        <is>
          <t>ÖSTERGÖTLANDS LÄN</t>
        </is>
      </c>
      <c r="G344" t="inlineStr">
        <is>
          <t>NORRKÖPING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46280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Kommuner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46280</v>
      </c>
      <c r="F346" t="inlineStr">
        <is>
          <t>ÖSTERGÖTLANDS LÄN</t>
        </is>
      </c>
      <c r="G346" t="inlineStr">
        <is>
          <t>NORRKÖPING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46280</v>
      </c>
      <c r="F347" t="inlineStr">
        <is>
          <t>ÖSTERGÖTLANDS LÄN</t>
        </is>
      </c>
      <c r="G347" t="inlineStr">
        <is>
          <t>NORRKÖPING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46280</v>
      </c>
      <c r="F348" t="inlineStr">
        <is>
          <t>ÖSTERGÖTLANDS LÄN</t>
        </is>
      </c>
      <c r="G348" t="inlineStr">
        <is>
          <t>NORRKÖPING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46280</v>
      </c>
      <c r="F349" t="inlineStr">
        <is>
          <t>ÖSTERGÖTLANDS LÄN</t>
        </is>
      </c>
      <c r="G349" t="inlineStr">
        <is>
          <t>NORRKÖPING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46280</v>
      </c>
      <c r="F350" t="inlineStr">
        <is>
          <t>ÖSTERGÖTLANDS LÄN</t>
        </is>
      </c>
      <c r="G350" t="inlineStr">
        <is>
          <t>NORRKÖPING</t>
        </is>
      </c>
      <c r="I350" t="n">
        <v>10.1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56876-2024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45628</v>
      </c>
      <c r="E351" s="1" t="n">
        <v>46280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33246-2025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45840</v>
      </c>
      <c r="E352" s="1" t="n">
        <v>46280</v>
      </c>
      <c r="F352" t="inlineStr">
        <is>
          <t>ÖSTERGÖTLANDS LÄN</t>
        </is>
      </c>
      <c r="G352" t="inlineStr">
        <is>
          <t>NORRKÖPING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57733-2022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46280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46280</v>
      </c>
      <c r="F354" t="inlineStr">
        <is>
          <t>ÖSTERGÖTLANDS LÄN</t>
        </is>
      </c>
      <c r="G354" t="inlineStr">
        <is>
          <t>NORRKÖPING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46280</v>
      </c>
      <c r="F355" t="inlineStr">
        <is>
          <t>ÖSTERGÖTLANDS LÄN</t>
        </is>
      </c>
      <c r="G355" t="inlineStr">
        <is>
          <t>NORRKÖPING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46280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45678</v>
      </c>
      <c r="E357" s="1" t="n">
        <v>46280</v>
      </c>
      <c r="F357" t="inlineStr">
        <is>
          <t>ÖSTERGÖTLANDS LÄN</t>
        </is>
      </c>
      <c r="G357" t="inlineStr">
        <is>
          <t>NORRKÖPING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44935</v>
      </c>
      <c r="E358" s="1" t="n">
        <v>46280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44950</v>
      </c>
      <c r="E359" s="1" t="n">
        <v>46280</v>
      </c>
      <c r="F359" t="inlineStr">
        <is>
          <t>ÖSTERGÖTLANDS LÄN</t>
        </is>
      </c>
      <c r="G359" t="inlineStr">
        <is>
          <t>NORRKÖPING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46280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46280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46148-2025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46280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57413-2022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44896</v>
      </c>
      <c r="E363" s="1" t="n">
        <v>46280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46280</v>
      </c>
      <c r="F364" t="inlineStr">
        <is>
          <t>ÖSTERGÖTLANDS LÄN</t>
        </is>
      </c>
      <c r="G364" t="inlineStr">
        <is>
          <t>NORRKÖPING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48462-2022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44858</v>
      </c>
      <c r="E365" s="1" t="n">
        <v>46280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20583-2024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45436</v>
      </c>
      <c r="E366" s="1" t="n">
        <v>46280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45758</v>
      </c>
      <c r="E367" s="1" t="n">
        <v>46280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46280</v>
      </c>
      <c r="F368" t="inlineStr">
        <is>
          <t>ÖSTERGÖTLANDS LÄN</t>
        </is>
      </c>
      <c r="G368" t="inlineStr">
        <is>
          <t>NORRKÖPING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13173-2022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44644</v>
      </c>
      <c r="E369" s="1" t="n">
        <v>46280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Allmännings- och besparingsskogar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13419-2025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46280</v>
      </c>
      <c r="F370" t="inlineStr">
        <is>
          <t>ÖSTERGÖTLANDS LÄN</t>
        </is>
      </c>
      <c r="G370" t="inlineStr">
        <is>
          <t>NORRKÖPING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49452-2021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44454</v>
      </c>
      <c r="E371" s="1" t="n">
        <v>46280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Allmännings- och besparingsskogar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45110</v>
      </c>
      <c r="E372" s="1" t="n">
        <v>46280</v>
      </c>
      <c r="F372" t="inlineStr">
        <is>
          <t>ÖSTERGÖTLANDS LÄN</t>
        </is>
      </c>
      <c r="G372" t="inlineStr">
        <is>
          <t>NORRKÖPING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45110</v>
      </c>
      <c r="E373" s="1" t="n">
        <v>46280</v>
      </c>
      <c r="F373" t="inlineStr">
        <is>
          <t>ÖSTERGÖTLANDS LÄN</t>
        </is>
      </c>
      <c r="G373" t="inlineStr">
        <is>
          <t>NORRKÖPING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46280</v>
      </c>
      <c r="F374" t="inlineStr">
        <is>
          <t>ÖSTERGÖTLANDS LÄN</t>
        </is>
      </c>
      <c r="G374" t="inlineStr">
        <is>
          <t>NORRKÖPING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45936</v>
      </c>
      <c r="E375" s="1" t="n">
        <v>46280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35701-2024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45532</v>
      </c>
      <c r="E376" s="1" t="n">
        <v>46280</v>
      </c>
      <c r="F376" t="inlineStr">
        <is>
          <t>ÖSTERGÖTLANDS LÄN</t>
        </is>
      </c>
      <c r="G376" t="inlineStr">
        <is>
          <t>NORRKÖPING</t>
        </is>
      </c>
      <c r="I376" t="n">
        <v>11.7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46280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Kyrkan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46280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9787-2026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46280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Kyrkan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45121</v>
      </c>
      <c r="E380" s="1" t="n">
        <v>46280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45873</v>
      </c>
      <c r="E381" s="1" t="n">
        <v>46280</v>
      </c>
      <c r="F381" t="inlineStr">
        <is>
          <t>ÖSTERGÖTLANDS LÄN</t>
        </is>
      </c>
      <c r="G381" t="inlineStr">
        <is>
          <t>NORRKÖPING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49818-2024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45597</v>
      </c>
      <c r="E382" s="1" t="n">
        <v>46280</v>
      </c>
      <c r="F382" t="inlineStr">
        <is>
          <t>ÖSTERGÖTLANDS LÄN</t>
        </is>
      </c>
      <c r="G382" t="inlineStr">
        <is>
          <t>NORRKÖPING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46280</v>
      </c>
      <c r="F383" t="inlineStr">
        <is>
          <t>ÖSTERGÖTLANDS LÄN</t>
        </is>
      </c>
      <c r="G383" t="inlineStr">
        <is>
          <t>NORRKÖPING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46280</v>
      </c>
      <c r="F384" t="inlineStr">
        <is>
          <t>ÖSTERGÖTLANDS LÄN</t>
        </is>
      </c>
      <c r="G384" t="inlineStr">
        <is>
          <t>NORRKÖPING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46280</v>
      </c>
      <c r="F385" t="inlineStr">
        <is>
          <t>ÖSTERGÖTLANDS LÄN</t>
        </is>
      </c>
      <c r="G385" t="inlineStr">
        <is>
          <t>NORRKÖPING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50146-2025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45943</v>
      </c>
      <c r="E386" s="1" t="n">
        <v>46280</v>
      </c>
      <c r="F386" t="inlineStr">
        <is>
          <t>ÖSTERGÖTLANDS LÄN</t>
        </is>
      </c>
      <c r="G386" t="inlineStr">
        <is>
          <t>NORRKÖPING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45071</v>
      </c>
      <c r="E387" s="1" t="n">
        <v>46280</v>
      </c>
      <c r="F387" t="inlineStr">
        <is>
          <t>ÖSTERGÖTLANDS LÄN</t>
        </is>
      </c>
      <c r="G387" t="inlineStr">
        <is>
          <t>NORRKÖPING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46280</v>
      </c>
      <c r="F388" t="inlineStr">
        <is>
          <t>ÖSTERGÖTLANDS LÄN</t>
        </is>
      </c>
      <c r="G388" t="inlineStr">
        <is>
          <t>NORRKÖPING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55941-2022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44889</v>
      </c>
      <c r="E389" s="1" t="n">
        <v>46280</v>
      </c>
      <c r="F389" t="inlineStr">
        <is>
          <t>ÖSTERGÖTLANDS LÄN</t>
        </is>
      </c>
      <c r="G389" t="inlineStr">
        <is>
          <t>NORRKÖPING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45678</v>
      </c>
      <c r="E390" s="1" t="n">
        <v>46280</v>
      </c>
      <c r="F390" t="inlineStr">
        <is>
          <t>ÖSTERGÖTLANDS LÄN</t>
        </is>
      </c>
      <c r="G390" t="inlineStr">
        <is>
          <t>NORRKÖPING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3325-2024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45317</v>
      </c>
      <c r="E391" s="1" t="n">
        <v>46280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46280</v>
      </c>
      <c r="F392" t="inlineStr">
        <is>
          <t>ÖSTERGÖTLANDS LÄN</t>
        </is>
      </c>
      <c r="G392" t="inlineStr">
        <is>
          <t>NORRKÖPING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47345-2023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45202</v>
      </c>
      <c r="E393" s="1" t="n">
        <v>46280</v>
      </c>
      <c r="F393" t="inlineStr">
        <is>
          <t>ÖSTERGÖTLANDS LÄN</t>
        </is>
      </c>
      <c r="G393" t="inlineStr">
        <is>
          <t>NORRKÖPING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11041-2026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46280</v>
      </c>
      <c r="F394" t="inlineStr">
        <is>
          <t>ÖSTERGÖTLANDS LÄN</t>
        </is>
      </c>
      <c r="G394" t="inlineStr">
        <is>
          <t>NORRKÖPING</t>
        </is>
      </c>
      <c r="I394" t="n">
        <v>8.199999999999999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45796</v>
      </c>
      <c r="E395" s="1" t="n">
        <v>46280</v>
      </c>
      <c r="F395" t="inlineStr">
        <is>
          <t>ÖSTERGÖTLANDS LÄN</t>
        </is>
      </c>
      <c r="G395" t="inlineStr">
        <is>
          <t>NORRKÖPING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37876-2025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45881</v>
      </c>
      <c r="E396" s="1" t="n">
        <v>46280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45883</v>
      </c>
      <c r="E397" s="1" t="n">
        <v>46280</v>
      </c>
      <c r="F397" t="inlineStr">
        <is>
          <t>ÖSTERGÖTLANDS LÄN</t>
        </is>
      </c>
      <c r="G397" t="inlineStr">
        <is>
          <t>NORRKÖPING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45883</v>
      </c>
      <c r="E398" s="1" t="n">
        <v>46280</v>
      </c>
      <c r="F398" t="inlineStr">
        <is>
          <t>ÖSTERGÖTLANDS LÄN</t>
        </is>
      </c>
      <c r="G398" t="inlineStr">
        <is>
          <t>NORRKÖPING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45043</v>
      </c>
      <c r="E399" s="1" t="n">
        <v>46280</v>
      </c>
      <c r="F399" t="inlineStr">
        <is>
          <t>ÖSTERGÖTLANDS LÄN</t>
        </is>
      </c>
      <c r="G399" t="inlineStr">
        <is>
          <t>NORRKÖPING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45883</v>
      </c>
      <c r="E400" s="1" t="n">
        <v>46280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Allmännings- och besparingsskogar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45478</v>
      </c>
      <c r="E401" s="1" t="n">
        <v>46280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46280</v>
      </c>
      <c r="F402" t="inlineStr">
        <is>
          <t>ÖSTERGÖTLANDS LÄN</t>
        </is>
      </c>
      <c r="G402" t="inlineStr">
        <is>
          <t>NORRKÖPING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27735-2023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46280</v>
      </c>
      <c r="F403" t="inlineStr">
        <is>
          <t>ÖSTERGÖTLANDS LÄN</t>
        </is>
      </c>
      <c r="G403" t="inlineStr">
        <is>
          <t>NORRKÖPING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46090</v>
      </c>
      <c r="E404" s="1" t="n">
        <v>46280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45414</v>
      </c>
      <c r="E405" s="1" t="n">
        <v>46280</v>
      </c>
      <c r="F405" t="inlineStr">
        <is>
          <t>ÖSTERGÖTLANDS LÄN</t>
        </is>
      </c>
      <c r="G405" t="inlineStr">
        <is>
          <t>NORRKÖPING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43277-2023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45183</v>
      </c>
      <c r="E406" s="1" t="n">
        <v>46280</v>
      </c>
      <c r="F406" t="inlineStr">
        <is>
          <t>ÖSTERGÖTLANDS LÄN</t>
        </is>
      </c>
      <c r="G406" t="inlineStr">
        <is>
          <t>NORRKÖPING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18886-2025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45764</v>
      </c>
      <c r="E407" s="1" t="n">
        <v>46280</v>
      </c>
      <c r="F407" t="inlineStr">
        <is>
          <t>ÖSTERGÖTLANDS LÄN</t>
        </is>
      </c>
      <c r="G407" t="inlineStr">
        <is>
          <t>NORRKÖPING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18705-2023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45043</v>
      </c>
      <c r="E408" s="1" t="n">
        <v>46280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17582-2025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45757</v>
      </c>
      <c r="E409" s="1" t="n">
        <v>46280</v>
      </c>
      <c r="F409" t="inlineStr">
        <is>
          <t>ÖSTERGÖTLANDS LÄN</t>
        </is>
      </c>
      <c r="G409" t="inlineStr">
        <is>
          <t>NORRKÖPING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56210-2023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45240</v>
      </c>
      <c r="E410" s="1" t="n">
        <v>46280</v>
      </c>
      <c r="F410" t="inlineStr">
        <is>
          <t>ÖSTERGÖTLANDS LÄN</t>
        </is>
      </c>
      <c r="G410" t="inlineStr">
        <is>
          <t>NORRKÖPING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45118</v>
      </c>
      <c r="E411" s="1" t="n">
        <v>46280</v>
      </c>
      <c r="F411" t="inlineStr">
        <is>
          <t>ÖSTERGÖTLANDS LÄN</t>
        </is>
      </c>
      <c r="G411" t="inlineStr">
        <is>
          <t>NORRKÖPING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9532-2025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45715</v>
      </c>
      <c r="E412" s="1" t="n">
        <v>46280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70378-2021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44536</v>
      </c>
      <c r="E413" s="1" t="n">
        <v>46280</v>
      </c>
      <c r="F413" t="inlineStr">
        <is>
          <t>ÖSTERGÖTLANDS LÄN</t>
        </is>
      </c>
      <c r="G413" t="inlineStr">
        <is>
          <t>NORRKÖPING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46280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50092-2023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45215</v>
      </c>
      <c r="E415" s="1" t="n">
        <v>46280</v>
      </c>
      <c r="F415" t="inlineStr">
        <is>
          <t>ÖSTERGÖTLANDS LÄN</t>
        </is>
      </c>
      <c r="G415" t="inlineStr">
        <is>
          <t>NORRKÖPING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27288-2023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45096</v>
      </c>
      <c r="E416" s="1" t="n">
        <v>46280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13012-2026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46280</v>
      </c>
      <c r="F417" t="inlineStr">
        <is>
          <t>ÖSTERGÖTLANDS LÄN</t>
        </is>
      </c>
      <c r="G417" t="inlineStr">
        <is>
          <t>NORRKÖPING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46280</v>
      </c>
      <c r="F418" t="inlineStr">
        <is>
          <t>ÖSTERGÖTLANDS LÄN</t>
        </is>
      </c>
      <c r="G418" t="inlineStr">
        <is>
          <t>NORRKÖPING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6067-2022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44599</v>
      </c>
      <c r="E419" s="1" t="n">
        <v>46280</v>
      </c>
      <c r="F419" t="inlineStr">
        <is>
          <t>ÖSTERGÖTLANDS LÄN</t>
        </is>
      </c>
      <c r="G419" t="inlineStr">
        <is>
          <t>NORRKÖPING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46280</v>
      </c>
      <c r="F420" t="inlineStr">
        <is>
          <t>ÖSTERGÖTLANDS LÄN</t>
        </is>
      </c>
      <c r="G420" t="inlineStr">
        <is>
          <t>NORRKÖPING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46072</v>
      </c>
      <c r="E421" s="1" t="n">
        <v>46280</v>
      </c>
      <c r="F421" t="inlineStr">
        <is>
          <t>ÖSTERGÖTLANDS LÄN</t>
        </is>
      </c>
      <c r="G421" t="inlineStr">
        <is>
          <t>NORRKÖPING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13239-2026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46280</v>
      </c>
      <c r="F422" t="inlineStr">
        <is>
          <t>ÖSTERGÖTLANDS LÄN</t>
        </is>
      </c>
      <c r="G422" t="inlineStr">
        <is>
          <t>NORRKÖPING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44999</v>
      </c>
      <c r="E423" s="1" t="n">
        <v>46280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46280</v>
      </c>
      <c r="F424" t="inlineStr">
        <is>
          <t>ÖSTERGÖTLANDS LÄN</t>
        </is>
      </c>
      <c r="G424" t="inlineStr">
        <is>
          <t>NORRKÖPING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46280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13388-2026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46280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46280</v>
      </c>
      <c r="F427" t="inlineStr">
        <is>
          <t>ÖSTERGÖTLANDS LÄN</t>
        </is>
      </c>
      <c r="G427" t="inlineStr">
        <is>
          <t>NORRKÖPING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46280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46280</v>
      </c>
      <c r="F429" t="inlineStr">
        <is>
          <t>ÖSTERGÖTLANDS LÄN</t>
        </is>
      </c>
      <c r="G429" t="inlineStr">
        <is>
          <t>NORRKÖPING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19334-2023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45049</v>
      </c>
      <c r="E430" s="1" t="n">
        <v>46280</v>
      </c>
      <c r="F430" t="inlineStr">
        <is>
          <t>ÖSTERGÖTLANDS LÄN</t>
        </is>
      </c>
      <c r="G430" t="inlineStr">
        <is>
          <t>NORRKÖPING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45330</v>
      </c>
      <c r="E431" s="1" t="n">
        <v>46280</v>
      </c>
      <c r="F431" t="inlineStr">
        <is>
          <t>ÖSTERGÖTLANDS LÄN</t>
        </is>
      </c>
      <c r="G431" t="inlineStr">
        <is>
          <t>NORRKÖPING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51124-2023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45219</v>
      </c>
      <c r="E432" s="1" t="n">
        <v>46280</v>
      </c>
      <c r="F432" t="inlineStr">
        <is>
          <t>ÖSTERGÖTLANDS LÄN</t>
        </is>
      </c>
      <c r="G432" t="inlineStr">
        <is>
          <t>NORRKÖPING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14674-2026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46101</v>
      </c>
      <c r="E433" s="1" t="n">
        <v>46280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26294-2024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45468</v>
      </c>
      <c r="E434" s="1" t="n">
        <v>46280</v>
      </c>
      <c r="F434" t="inlineStr">
        <is>
          <t>ÖSTERGÖTLANDS LÄN</t>
        </is>
      </c>
      <c r="G434" t="inlineStr">
        <is>
          <t>NORRKÖPING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46280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46280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47090-2023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45201</v>
      </c>
      <c r="E437" s="1" t="n">
        <v>46280</v>
      </c>
      <c r="F437" t="inlineStr">
        <is>
          <t>ÖSTERGÖTLANDS LÄN</t>
        </is>
      </c>
      <c r="G437" t="inlineStr">
        <is>
          <t>NORRKÖPING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46280</v>
      </c>
      <c r="F438" t="inlineStr">
        <is>
          <t>ÖSTERGÖTLANDS LÄN</t>
        </is>
      </c>
      <c r="G438" t="inlineStr">
        <is>
          <t>NORRKÖPING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53702-2025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46280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46280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53694-2025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45960</v>
      </c>
      <c r="E441" s="1" t="n">
        <v>46280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46280</v>
      </c>
      <c r="F442" t="inlineStr">
        <is>
          <t>ÖSTERGÖTLANDS LÄN</t>
        </is>
      </c>
      <c r="G442" t="inlineStr">
        <is>
          <t>NORRKÖPING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46280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16682-2026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46280</v>
      </c>
      <c r="F444" t="inlineStr">
        <is>
          <t>ÖSTERGÖTLANDS LÄN</t>
        </is>
      </c>
      <c r="G444" t="inlineStr">
        <is>
          <t>NORRKÖPING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17453-2026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46280</v>
      </c>
      <c r="F445" t="inlineStr">
        <is>
          <t>ÖSTERGÖTLANDS LÄN</t>
        </is>
      </c>
      <c r="G445" t="inlineStr">
        <is>
          <t>NORRKÖPING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46280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46120</v>
      </c>
      <c r="E447" s="1" t="n">
        <v>46280</v>
      </c>
      <c r="F447" t="inlineStr">
        <is>
          <t>ÖSTERGÖTLANDS LÄN</t>
        </is>
      </c>
      <c r="G447" t="inlineStr">
        <is>
          <t>NORRKÖPING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18812-2026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46128</v>
      </c>
      <c r="E448" s="1" t="n">
        <v>46280</v>
      </c>
      <c r="F448" t="inlineStr">
        <is>
          <t>ÖSTERGÖTLANDS LÄN</t>
        </is>
      </c>
      <c r="G448" t="inlineStr">
        <is>
          <t>NORRKÖPING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45317</v>
      </c>
      <c r="E449" s="1" t="n">
        <v>46280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18819-2026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46128</v>
      </c>
      <c r="E450" s="1" t="n">
        <v>46280</v>
      </c>
      <c r="F450" t="inlineStr">
        <is>
          <t>ÖSTERGÖTLANDS LÄN</t>
        </is>
      </c>
      <c r="G450" t="inlineStr">
        <is>
          <t>NORRKÖPING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10393-2024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45365</v>
      </c>
      <c r="E451" s="1" t="n">
        <v>46280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Kommuner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45405</v>
      </c>
      <c r="E452" s="1" t="n">
        <v>46280</v>
      </c>
      <c r="F452" t="inlineStr">
        <is>
          <t>ÖSTERGÖTLANDS LÄN</t>
        </is>
      </c>
      <c r="G452" t="inlineStr">
        <is>
          <t>NORRKÖPING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45769</v>
      </c>
      <c r="E453" s="1" t="n">
        <v>46280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62376-2022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44923</v>
      </c>
      <c r="E454" s="1" t="n">
        <v>46280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44930</v>
      </c>
      <c r="E455" s="1" t="n">
        <v>46280</v>
      </c>
      <c r="F455" t="inlineStr">
        <is>
          <t>ÖSTERGÖTLANDS LÄN</t>
        </is>
      </c>
      <c r="G455" t="inlineStr">
        <is>
          <t>NORRKÖPING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20001-2026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46135</v>
      </c>
      <c r="E456" s="1" t="n">
        <v>46280</v>
      </c>
      <c r="F456" t="inlineStr">
        <is>
          <t>ÖSTERGÖTLANDS LÄN</t>
        </is>
      </c>
      <c r="G456" t="inlineStr">
        <is>
          <t>NORRKÖPING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46135</v>
      </c>
      <c r="E457" s="1" t="n">
        <v>46280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39863-2025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45891</v>
      </c>
      <c r="E458" s="1" t="n">
        <v>46280</v>
      </c>
      <c r="F458" t="inlineStr">
        <is>
          <t>ÖSTERGÖTLANDS LÄN</t>
        </is>
      </c>
      <c r="G458" t="inlineStr">
        <is>
          <t>NORRKÖPING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45975</v>
      </c>
      <c r="E459" s="1" t="n">
        <v>46280</v>
      </c>
      <c r="F459" t="inlineStr">
        <is>
          <t>ÖSTERGÖTLANDS LÄN</t>
        </is>
      </c>
      <c r="G459" t="inlineStr">
        <is>
          <t>NORRKÖPING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45657</v>
      </c>
      <c r="E460" s="1" t="n">
        <v>46280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45976</v>
      </c>
      <c r="E461" s="1" t="n">
        <v>46280</v>
      </c>
      <c r="F461" t="inlineStr">
        <is>
          <t>ÖSTERGÖTLANDS LÄN</t>
        </is>
      </c>
      <c r="G461" t="inlineStr">
        <is>
          <t>NORRKÖPING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20352-2026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46139</v>
      </c>
      <c r="E462" s="1" t="n">
        <v>46280</v>
      </c>
      <c r="F462" t="inlineStr">
        <is>
          <t>ÖSTERGÖTLANDS LÄN</t>
        </is>
      </c>
      <c r="G462" t="inlineStr">
        <is>
          <t>NORRKÖPING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45884</v>
      </c>
      <c r="E463" s="1" t="n">
        <v>46280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46205-2025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45924</v>
      </c>
      <c r="E464" s="1" t="n">
        <v>46280</v>
      </c>
      <c r="F464" t="inlineStr">
        <is>
          <t>ÖSTERGÖTLANDS LÄN</t>
        </is>
      </c>
      <c r="G464" t="inlineStr">
        <is>
          <t>NORRKÖPING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46280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46280</v>
      </c>
      <c r="F466" t="inlineStr">
        <is>
          <t>ÖSTERGÖTLANDS LÄN</t>
        </is>
      </c>
      <c r="G466" t="inlineStr">
        <is>
          <t>NORRKÖPING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18661-2023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45043</v>
      </c>
      <c r="E467" s="1" t="n">
        <v>46280</v>
      </c>
      <c r="F467" t="inlineStr">
        <is>
          <t>ÖSTERGÖTLANDS LÄN</t>
        </is>
      </c>
      <c r="G467" t="inlineStr">
        <is>
          <t>NORRKÖPING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45092</v>
      </c>
      <c r="E468" s="1" t="n">
        <v>46280</v>
      </c>
      <c r="F468" t="inlineStr">
        <is>
          <t>ÖSTERGÖTLANDS LÄN</t>
        </is>
      </c>
      <c r="G468" t="inlineStr">
        <is>
          <t>NORRKÖPING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46280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46280</v>
      </c>
      <c r="F470" t="inlineStr">
        <is>
          <t>ÖSTERGÖTLANDS LÄN</t>
        </is>
      </c>
      <c r="G470" t="inlineStr">
        <is>
          <t>NORRKÖPING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58814-2025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46280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Allmännings- och besparingsskogar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38719-2025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45886</v>
      </c>
      <c r="E472" s="1" t="n">
        <v>46280</v>
      </c>
      <c r="F472" t="inlineStr">
        <is>
          <t>ÖSTERGÖTLANDS LÄN</t>
        </is>
      </c>
      <c r="G472" t="inlineStr">
        <is>
          <t>NORRKÖPING</t>
        </is>
      </c>
      <c r="I472" t="n">
        <v>14.3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45966</v>
      </c>
      <c r="E473" s="1" t="n">
        <v>46280</v>
      </c>
      <c r="F473" t="inlineStr">
        <is>
          <t>ÖSTERGÖTLANDS LÄN</t>
        </is>
      </c>
      <c r="G473" t="inlineStr">
        <is>
          <t>NORRKÖPING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39224-2025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45889</v>
      </c>
      <c r="E474" s="1" t="n">
        <v>46280</v>
      </c>
      <c r="F474" t="inlineStr">
        <is>
          <t>ÖSTERGÖTLANDS LÄN</t>
        </is>
      </c>
      <c r="G474" t="inlineStr">
        <is>
          <t>NORRKÖPING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50157-2022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44865</v>
      </c>
      <c r="E475" s="1" t="n">
        <v>46280</v>
      </c>
      <c r="F475" t="inlineStr">
        <is>
          <t>ÖSTERGÖTLANDS LÄN</t>
        </is>
      </c>
      <c r="G475" t="inlineStr">
        <is>
          <t>NORRKÖPING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58575-2025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46280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23941-2025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45796</v>
      </c>
      <c r="E477" s="1" t="n">
        <v>46280</v>
      </c>
      <c r="F477" t="inlineStr">
        <is>
          <t>ÖSTERGÖTLANDS LÄN</t>
        </is>
      </c>
      <c r="G477" t="inlineStr">
        <is>
          <t>NORRKÖPING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44943</v>
      </c>
      <c r="E478" s="1" t="n">
        <v>46280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45211</v>
      </c>
      <c r="E479" s="1" t="n">
        <v>46280</v>
      </c>
      <c r="F479" t="inlineStr">
        <is>
          <t>ÖSTERGÖTLANDS LÄN</t>
        </is>
      </c>
      <c r="G479" t="inlineStr">
        <is>
          <t>NORRKÖPING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49465-2023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46280</v>
      </c>
      <c r="F480" t="inlineStr">
        <is>
          <t>ÖSTERGÖTLANDS LÄN</t>
        </is>
      </c>
      <c r="G480" t="inlineStr">
        <is>
          <t>NORRKÖPING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33703-2024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45520</v>
      </c>
      <c r="E481" s="1" t="n">
        <v>46280</v>
      </c>
      <c r="F481" t="inlineStr">
        <is>
          <t>ÖSTERGÖTLANDS LÄN</t>
        </is>
      </c>
      <c r="G481" t="inlineStr">
        <is>
          <t>NORRKÖPING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50117-2023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45215</v>
      </c>
      <c r="E482" s="1" t="n">
        <v>46280</v>
      </c>
      <c r="F482" t="inlineStr">
        <is>
          <t>ÖSTERGÖTLANDS LÄN</t>
        </is>
      </c>
      <c r="G482" t="inlineStr">
        <is>
          <t>NORRKÖPING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45436</v>
      </c>
      <c r="E483" s="1" t="n">
        <v>46280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39861-2025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45891</v>
      </c>
      <c r="E484" s="1" t="n">
        <v>46280</v>
      </c>
      <c r="F484" t="inlineStr">
        <is>
          <t>ÖSTERGÖTLANDS LÄN</t>
        </is>
      </c>
      <c r="G484" t="inlineStr">
        <is>
          <t>NORRKÖPING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47846-2023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46280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Naturvårdsverket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8806-2024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45356</v>
      </c>
      <c r="E486" s="1" t="n">
        <v>46280</v>
      </c>
      <c r="F486" t="inlineStr">
        <is>
          <t>ÖSTERGÖTLANDS LÄN</t>
        </is>
      </c>
      <c r="G486" t="inlineStr">
        <is>
          <t>NORRKÖPING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50112-2023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45215</v>
      </c>
      <c r="E487" s="1" t="n">
        <v>46280</v>
      </c>
      <c r="F487" t="inlineStr">
        <is>
          <t>ÖSTERGÖTLANDS LÄN</t>
        </is>
      </c>
      <c r="G487" t="inlineStr">
        <is>
          <t>NORRKÖPING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20194-2026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46139</v>
      </c>
      <c r="E488" s="1" t="n">
        <v>46280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45141</v>
      </c>
      <c r="E489" s="1" t="n">
        <v>46280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Allmännings- och besparingsskogar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44945</v>
      </c>
      <c r="E490" s="1" t="n">
        <v>46280</v>
      </c>
      <c r="F490" t="inlineStr">
        <is>
          <t>ÖSTERGÖTLANDS LÄN</t>
        </is>
      </c>
      <c r="G490" t="inlineStr">
        <is>
          <t>NORRKÖPING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36302-2025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45867</v>
      </c>
      <c r="E491" s="1" t="n">
        <v>46280</v>
      </c>
      <c r="F491" t="inlineStr">
        <is>
          <t>ÖSTERGÖTLANDS LÄN</t>
        </is>
      </c>
      <c r="G491" t="inlineStr">
        <is>
          <t>NORRKÖPING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32681-2025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45836</v>
      </c>
      <c r="E492" s="1" t="n">
        <v>46280</v>
      </c>
      <c r="F492" t="inlineStr">
        <is>
          <t>ÖSTERGÖTLANDS LÄN</t>
        </is>
      </c>
      <c r="G492" t="inlineStr">
        <is>
          <t>NORRKÖPING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42173-2023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45178</v>
      </c>
      <c r="E493" s="1" t="n">
        <v>46280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44936</v>
      </c>
      <c r="E494" s="1" t="n">
        <v>46280</v>
      </c>
      <c r="F494" t="inlineStr">
        <is>
          <t>ÖSTERGÖTLANDS LÄN</t>
        </is>
      </c>
      <c r="G494" t="inlineStr">
        <is>
          <t>NORRKÖPING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46139</v>
      </c>
      <c r="E495" s="1" t="n">
        <v>46280</v>
      </c>
      <c r="F495" t="inlineStr">
        <is>
          <t>ÖSTERGÖTLANDS LÄN</t>
        </is>
      </c>
      <c r="G495" t="inlineStr">
        <is>
          <t>NORRKÖPING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45006</v>
      </c>
      <c r="E496" s="1" t="n">
        <v>46280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46610-2024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45582</v>
      </c>
      <c r="E497" s="1" t="n">
        <v>46280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45386</v>
      </c>
      <c r="E498" s="1" t="n">
        <v>46280</v>
      </c>
      <c r="F498" t="inlineStr">
        <is>
          <t>ÖSTERGÖTLANDS LÄN</t>
        </is>
      </c>
      <c r="G498" t="inlineStr">
        <is>
          <t>NORRKÖPING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41083-2022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44825</v>
      </c>
      <c r="E499" s="1" t="n">
        <v>46280</v>
      </c>
      <c r="F499" t="inlineStr">
        <is>
          <t>ÖSTERGÖTLANDS LÄN</t>
        </is>
      </c>
      <c r="G499" t="inlineStr">
        <is>
          <t>NORRKÖPING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45030</v>
      </c>
      <c r="E500" s="1" t="n">
        <v>46280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2021-2023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44939</v>
      </c>
      <c r="E501" s="1" t="n">
        <v>46280</v>
      </c>
      <c r="F501" t="inlineStr">
        <is>
          <t>ÖSTERGÖTLANDS LÄN</t>
        </is>
      </c>
      <c r="G501" t="inlineStr">
        <is>
          <t>NORRKÖPING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45093</v>
      </c>
      <c r="E502" s="1" t="n">
        <v>46280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Allmännings- och besparingsskogar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14485-2023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45012</v>
      </c>
      <c r="E503" s="1" t="n">
        <v>46280</v>
      </c>
      <c r="F503" t="inlineStr">
        <is>
          <t>ÖSTERGÖTLANDS LÄN</t>
        </is>
      </c>
      <c r="G503" t="inlineStr">
        <is>
          <t>NORRKÖPING</t>
        </is>
      </c>
      <c r="I503" t="n">
        <v>9.9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36542-2023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45153</v>
      </c>
      <c r="E504" s="1" t="n">
        <v>46280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45709</v>
      </c>
      <c r="E505" s="1" t="n">
        <v>46280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21123-2026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46146</v>
      </c>
      <c r="E506" s="1" t="n">
        <v>46280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50960-2022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44867</v>
      </c>
      <c r="E507" s="1" t="n">
        <v>46280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Allmännings- och besparingsskogar</t>
        </is>
      </c>
      <c r="I507" t="n">
        <v>10.3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45373</v>
      </c>
      <c r="E508" s="1" t="n">
        <v>46280</v>
      </c>
      <c r="F508" t="inlineStr">
        <is>
          <t>ÖSTERGÖTLANDS LÄN</t>
        </is>
      </c>
      <c r="G508" t="inlineStr">
        <is>
          <t>NORRKÖPING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9201-2023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44980</v>
      </c>
      <c r="E509" s="1" t="n">
        <v>46280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15177-2023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45016</v>
      </c>
      <c r="E510" s="1" t="n">
        <v>46280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21147-2026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46280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45254</v>
      </c>
      <c r="E512" s="1" t="n">
        <v>46280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14587-2025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45742</v>
      </c>
      <c r="E513" s="1" t="n">
        <v>46280</v>
      </c>
      <c r="F513" t="inlineStr">
        <is>
          <t>ÖSTERGÖTLANDS LÄN</t>
        </is>
      </c>
      <c r="G513" t="inlineStr">
        <is>
          <t>NORRKÖPING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45497</v>
      </c>
      <c r="E514" s="1" t="n">
        <v>46280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49487-2022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44861</v>
      </c>
      <c r="E515" s="1" t="n">
        <v>46280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7709-2022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44607</v>
      </c>
      <c r="E516" s="1" t="n">
        <v>46280</v>
      </c>
      <c r="F516" t="inlineStr">
        <is>
          <t>ÖSTERGÖTLANDS LÄN</t>
        </is>
      </c>
      <c r="G516" t="inlineStr">
        <is>
          <t>NORRKÖPING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57405-2024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45629</v>
      </c>
      <c r="E517" s="1" t="n">
        <v>46280</v>
      </c>
      <c r="F517" t="inlineStr">
        <is>
          <t>ÖSTERGÖTLANDS LÄN</t>
        </is>
      </c>
      <c r="G517" t="inlineStr">
        <is>
          <t>NORRKÖPING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45716</v>
      </c>
      <c r="E518" s="1" t="n">
        <v>46280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31834-2023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45106</v>
      </c>
      <c r="E519" s="1" t="n">
        <v>46280</v>
      </c>
      <c r="F519" t="inlineStr">
        <is>
          <t>ÖSTERGÖTLANDS LÄN</t>
        </is>
      </c>
      <c r="G519" t="inlineStr">
        <is>
          <t>NORRKÖPING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7763-2025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45706</v>
      </c>
      <c r="E520" s="1" t="n">
        <v>46280</v>
      </c>
      <c r="F520" t="inlineStr">
        <is>
          <t>ÖSTERGÖTLANDS LÄN</t>
        </is>
      </c>
      <c r="G520" t="inlineStr">
        <is>
          <t>NORRKÖPING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45769</v>
      </c>
      <c r="E521" s="1" t="n">
        <v>46280</v>
      </c>
      <c r="F521" t="inlineStr">
        <is>
          <t>ÖSTERGÖTLANDS LÄN</t>
        </is>
      </c>
      <c r="G521" t="inlineStr">
        <is>
          <t>NORRKÖPING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62049-2023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45266</v>
      </c>
      <c r="E522" s="1" t="n">
        <v>46280</v>
      </c>
      <c r="F522" t="inlineStr">
        <is>
          <t>ÖSTERGÖTLANDS LÄN</t>
        </is>
      </c>
      <c r="G522" t="inlineStr">
        <is>
          <t>NORRKÖPING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45435</v>
      </c>
      <c r="E523" s="1" t="n">
        <v>46280</v>
      </c>
      <c r="F523" t="inlineStr">
        <is>
          <t>ÖSTERGÖTLANDS LÄN</t>
        </is>
      </c>
      <c r="G523" t="inlineStr">
        <is>
          <t>NORRKÖPING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8517-2023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44977</v>
      </c>
      <c r="E524" s="1" t="n">
        <v>46280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8432-2025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45709</v>
      </c>
      <c r="E525" s="1" t="n">
        <v>46280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31362-2023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45114</v>
      </c>
      <c r="E526" s="1" t="n">
        <v>46280</v>
      </c>
      <c r="F526" t="inlineStr">
        <is>
          <t>ÖSTERGÖTLANDS LÄN</t>
        </is>
      </c>
      <c r="G526" t="inlineStr">
        <is>
          <t>NORRKÖPING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11344-2022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44630</v>
      </c>
      <c r="E527" s="1" t="n">
        <v>46280</v>
      </c>
      <c r="F527" t="inlineStr">
        <is>
          <t>ÖSTERGÖTLANDS LÄN</t>
        </is>
      </c>
      <c r="G527" t="inlineStr">
        <is>
          <t>NORRKÖPING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14031-2023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45008</v>
      </c>
      <c r="E528" s="1" t="n">
        <v>46280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10791-2024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45369</v>
      </c>
      <c r="E529" s="1" t="n">
        <v>46280</v>
      </c>
      <c r="F529" t="inlineStr">
        <is>
          <t>ÖSTERGÖTLANDS LÄN</t>
        </is>
      </c>
      <c r="G529" t="inlineStr">
        <is>
          <t>NORRKÖPING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46280</v>
      </c>
      <c r="F530" t="inlineStr">
        <is>
          <t>ÖSTERGÖTLANDS LÄN</t>
        </is>
      </c>
      <c r="G530" t="inlineStr">
        <is>
          <t>NORRKÖPING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19739-2024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45432</v>
      </c>
      <c r="E531" s="1" t="n">
        <v>46280</v>
      </c>
      <c r="F531" t="inlineStr">
        <is>
          <t>ÖSTERGÖTLANDS LÄN</t>
        </is>
      </c>
      <c r="G531" t="inlineStr">
        <is>
          <t>NORRKÖPING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39223-2025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45889</v>
      </c>
      <c r="E532" s="1" t="n">
        <v>46280</v>
      </c>
      <c r="F532" t="inlineStr">
        <is>
          <t>ÖSTERGÖTLANDS LÄN</t>
        </is>
      </c>
      <c r="G532" t="inlineStr">
        <is>
          <t>NORRKÖPING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45629</v>
      </c>
      <c r="E533" s="1" t="n">
        <v>46280</v>
      </c>
      <c r="F533" t="inlineStr">
        <is>
          <t>ÖSTERGÖTLANDS LÄN</t>
        </is>
      </c>
      <c r="G533" t="inlineStr">
        <is>
          <t>NORRKÖPING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32574-2022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44783</v>
      </c>
      <c r="E534" s="1" t="n">
        <v>46280</v>
      </c>
      <c r="F534" t="inlineStr">
        <is>
          <t>ÖSTERGÖTLANDS LÄN</t>
        </is>
      </c>
      <c r="G534" t="inlineStr">
        <is>
          <t>NORRKÖPING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46061</v>
      </c>
      <c r="E535" s="1" t="n">
        <v>46280</v>
      </c>
      <c r="F535" t="inlineStr">
        <is>
          <t>ÖSTERGÖTLANDS LÄN</t>
        </is>
      </c>
      <c r="G535" t="inlineStr">
        <is>
          <t>NORRKÖPING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25176-2026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46280</v>
      </c>
      <c r="F536" t="inlineStr">
        <is>
          <t>ÖSTERGÖTLANDS LÄN</t>
        </is>
      </c>
      <c r="G536" t="inlineStr">
        <is>
          <t>NORRKÖPING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25693-2026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46178</v>
      </c>
      <c r="E537" s="1" t="n">
        <v>46280</v>
      </c>
      <c r="F537" t="inlineStr">
        <is>
          <t>ÖSTERGÖTLANDS LÄN</t>
        </is>
      </c>
      <c r="G537" t="inlineStr">
        <is>
          <t>NORRKÖPING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25690-2026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46280</v>
      </c>
      <c r="F538" t="inlineStr">
        <is>
          <t>ÖSTERGÖTLANDS LÄN</t>
        </is>
      </c>
      <c r="G538" t="inlineStr">
        <is>
          <t>NORRKÖPING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46280</v>
      </c>
      <c r="F539" t="inlineStr">
        <is>
          <t>ÖSTERGÖTLANDS LÄN</t>
        </is>
      </c>
      <c r="G539" t="inlineStr">
        <is>
          <t>NORRKÖPING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46280</v>
      </c>
      <c r="F540" t="inlineStr">
        <is>
          <t>ÖSTERGÖTLANDS LÄN</t>
        </is>
      </c>
      <c r="G540" t="inlineStr">
        <is>
          <t>NORRKÖPING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46280</v>
      </c>
      <c r="F541" t="inlineStr">
        <is>
          <t>ÖSTERGÖTLANDS LÄN</t>
        </is>
      </c>
      <c r="G541" t="inlineStr">
        <is>
          <t>NORRKÖPING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25719-2026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46280</v>
      </c>
      <c r="F542" t="inlineStr">
        <is>
          <t>ÖSTERGÖTLANDS LÄN</t>
        </is>
      </c>
      <c r="G542" t="inlineStr">
        <is>
          <t>NORRKÖPING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46280</v>
      </c>
      <c r="F543" t="inlineStr">
        <is>
          <t>ÖSTERGÖTLANDS LÄN</t>
        </is>
      </c>
      <c r="G543" t="inlineStr">
        <is>
          <t>NORRKÖPING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46182</v>
      </c>
      <c r="E544" s="1" t="n">
        <v>46280</v>
      </c>
      <c r="F544" t="inlineStr">
        <is>
          <t>ÖSTERGÖTLANDS LÄN</t>
        </is>
      </c>
      <c r="G544" t="inlineStr">
        <is>
          <t>NORRKÖPING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46280</v>
      </c>
      <c r="F545" t="inlineStr">
        <is>
          <t>ÖSTERGÖTLANDS LÄN</t>
        </is>
      </c>
      <c r="G545" t="inlineStr">
        <is>
          <t>NORRKÖPING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26360-2026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46280</v>
      </c>
      <c r="F546" t="inlineStr">
        <is>
          <t>ÖSTERGÖTLANDS LÄN</t>
        </is>
      </c>
      <c r="G546" t="inlineStr">
        <is>
          <t>NORRKÖPING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46182</v>
      </c>
      <c r="E547" s="1" t="n">
        <v>46280</v>
      </c>
      <c r="F547" t="inlineStr">
        <is>
          <t>ÖSTERGÖTLANDS LÄN</t>
        </is>
      </c>
      <c r="G547" t="inlineStr">
        <is>
          <t>NORRKÖPING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46280</v>
      </c>
      <c r="F548" t="inlineStr">
        <is>
          <t>ÖSTERGÖTLANDS LÄN</t>
        </is>
      </c>
      <c r="G548" t="inlineStr">
        <is>
          <t>NORRKÖPING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46188</v>
      </c>
      <c r="E549" s="1" t="n">
        <v>46280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26953-2026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46280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46280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26999-2026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46280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26085-2026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46181</v>
      </c>
      <c r="E553" s="1" t="n">
        <v>46280</v>
      </c>
      <c r="F553" t="inlineStr">
        <is>
          <t>ÖSTERGÖTLANDS LÄN</t>
        </is>
      </c>
      <c r="G553" t="inlineStr">
        <is>
          <t>NORRKÖPING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44977</v>
      </c>
      <c r="E554" s="1" t="n">
        <v>46280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28259-2026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46196</v>
      </c>
      <c r="E555" s="1" t="n">
        <v>46280</v>
      </c>
      <c r="F555" t="inlineStr">
        <is>
          <t>ÖSTERGÖTLANDS LÄN</t>
        </is>
      </c>
      <c r="G555" t="inlineStr">
        <is>
          <t>NORRKÖPING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24018-2025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45796</v>
      </c>
      <c r="E556" s="1" t="n">
        <v>46280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8.6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46196</v>
      </c>
      <c r="E557" s="1" t="n">
        <v>46280</v>
      </c>
      <c r="F557" t="inlineStr">
        <is>
          <t>ÖSTERGÖTLANDS LÄN</t>
        </is>
      </c>
      <c r="G557" t="inlineStr">
        <is>
          <t>NORRKÖPING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46280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46196</v>
      </c>
      <c r="E559" s="1" t="n">
        <v>46280</v>
      </c>
      <c r="F559" t="inlineStr">
        <is>
          <t>ÖSTERGÖTLANDS LÄN</t>
        </is>
      </c>
      <c r="G559" t="inlineStr">
        <is>
          <t>NORRKÖPING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28258-2026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46196</v>
      </c>
      <c r="E560" s="1" t="n">
        <v>46280</v>
      </c>
      <c r="F560" t="inlineStr">
        <is>
          <t>ÖSTERGÖTLANDS LÄN</t>
        </is>
      </c>
      <c r="G560" t="inlineStr">
        <is>
          <t>NORRKÖPING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46197</v>
      </c>
      <c r="E561" s="1" t="n">
        <v>46280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23051-2022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44719</v>
      </c>
      <c r="E562" s="1" t="n">
        <v>46280</v>
      </c>
      <c r="F562" t="inlineStr">
        <is>
          <t>ÖSTERGÖTLANDS LÄN</t>
        </is>
      </c>
      <c r="G562" t="inlineStr">
        <is>
          <t>NORRKÖPING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14503-2023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45012</v>
      </c>
      <c r="E563" s="1" t="n">
        <v>46280</v>
      </c>
      <c r="F563" t="inlineStr">
        <is>
          <t>ÖSTERGÖTLANDS LÄN</t>
        </is>
      </c>
      <c r="G563" t="inlineStr">
        <is>
          <t>NORRKÖPING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46198</v>
      </c>
      <c r="E564" s="1" t="n">
        <v>46280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46280</v>
      </c>
      <c r="F565" t="inlineStr">
        <is>
          <t>ÖSTERGÖTLANDS LÄN</t>
        </is>
      </c>
      <c r="G565" t="inlineStr">
        <is>
          <t>NORRKÖPING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28781-2026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46280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2320-2024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45310</v>
      </c>
      <c r="E567" s="1" t="n">
        <v>46280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45706</v>
      </c>
      <c r="E568" s="1" t="n">
        <v>46280</v>
      </c>
      <c r="F568" t="inlineStr">
        <is>
          <t>ÖSTERGÖTLANDS LÄN</t>
        </is>
      </c>
      <c r="G568" t="inlineStr">
        <is>
          <t>NORRKÖPING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18128-2025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45761</v>
      </c>
      <c r="E569" s="1" t="n">
        <v>46280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46280</v>
      </c>
      <c r="F570" t="inlineStr">
        <is>
          <t>ÖSTERGÖTLANDS LÄN</t>
        </is>
      </c>
      <c r="G570" t="inlineStr">
        <is>
          <t>NORRKÖPING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32926-2026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46280</v>
      </c>
      <c r="F571" t="inlineStr">
        <is>
          <t>ÖSTERGÖTLANDS LÄN</t>
        </is>
      </c>
      <c r="G571" t="inlineStr">
        <is>
          <t>NORRKÖPING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36571-2023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45153</v>
      </c>
      <c r="E572" s="1" t="n">
        <v>46280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46241</v>
      </c>
      <c r="E573" s="1" t="n">
        <v>46280</v>
      </c>
      <c r="F573" t="inlineStr">
        <is>
          <t>ÖSTERGÖTLANDS LÄN</t>
        </is>
      </c>
      <c r="G573" t="inlineStr">
        <is>
          <t>NORRKÖPING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32813-2026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46241</v>
      </c>
      <c r="E574" s="1" t="n">
        <v>46280</v>
      </c>
      <c r="F574" t="inlineStr">
        <is>
          <t>ÖSTERGÖTLANDS LÄN</t>
        </is>
      </c>
      <c r="G574" t="inlineStr">
        <is>
          <t>NORRKÖPING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46202</v>
      </c>
      <c r="E575" s="1" t="n">
        <v>46280</v>
      </c>
      <c r="F575" t="inlineStr">
        <is>
          <t>ÖSTERGÖTLANDS LÄN</t>
        </is>
      </c>
      <c r="G575" t="inlineStr">
        <is>
          <t>NORRKÖPING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46280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46280</v>
      </c>
      <c r="F577" t="inlineStr">
        <is>
          <t>ÖSTERGÖTLANDS LÄN</t>
        </is>
      </c>
      <c r="G577" t="inlineStr">
        <is>
          <t>NORRKÖPING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46280</v>
      </c>
      <c r="F578" t="inlineStr">
        <is>
          <t>ÖSTERGÖTLANDS LÄN</t>
        </is>
      </c>
      <c r="G578" t="inlineStr">
        <is>
          <t>NORRKÖPING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46280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30315-2024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45490</v>
      </c>
      <c r="E580" s="1" t="n">
        <v>46280</v>
      </c>
      <c r="F580" t="inlineStr">
        <is>
          <t>ÖSTERGÖTLANDS LÄN</t>
        </is>
      </c>
      <c r="G580" t="inlineStr">
        <is>
          <t>NORRKÖPING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32880-2026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46280</v>
      </c>
      <c r="F581" t="inlineStr">
        <is>
          <t>ÖSTERGÖTLANDS LÄN</t>
        </is>
      </c>
      <c r="G581" t="inlineStr">
        <is>
          <t>NORRKÖPING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46244</v>
      </c>
      <c r="E582" s="1" t="n">
        <v>46280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Allmännings- och besparingsskogar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46199</v>
      </c>
      <c r="E583" s="1" t="n">
        <v>46280</v>
      </c>
      <c r="F583" t="inlineStr">
        <is>
          <t>ÖSTERGÖTLANDS LÄN</t>
        </is>
      </c>
      <c r="G583" t="inlineStr">
        <is>
          <t>NORRKÖPING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33124-2026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46245</v>
      </c>
      <c r="E584" s="1" t="n">
        <v>46280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33075-2026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46245</v>
      </c>
      <c r="E585" s="1" t="n">
        <v>46280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28902-2026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46280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46280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Allmännings- och besparingsskogar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12727-2022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44641</v>
      </c>
      <c r="E588" s="1" t="n">
        <v>46280</v>
      </c>
      <c r="F588" t="inlineStr">
        <is>
          <t>ÖSTERGÖTLANDS LÄN</t>
        </is>
      </c>
      <c r="G588" t="inlineStr">
        <is>
          <t>NORRKÖPING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46280</v>
      </c>
      <c r="F589" t="inlineStr">
        <is>
          <t>ÖSTERGÖTLANDS LÄN</t>
        </is>
      </c>
      <c r="G589" t="inlineStr">
        <is>
          <t>NORRKÖPING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46280</v>
      </c>
      <c r="F590" t="inlineStr">
        <is>
          <t>ÖSTERGÖTLANDS LÄN</t>
        </is>
      </c>
      <c r="G590" t="inlineStr">
        <is>
          <t>NORRKÖPING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30217-2026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46280</v>
      </c>
      <c r="F591" t="inlineStr">
        <is>
          <t>ÖSTERGÖTLANDS LÄN</t>
        </is>
      </c>
      <c r="G591" t="inlineStr">
        <is>
          <t>NORRKÖPING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10989-2024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45370</v>
      </c>
      <c r="E592" s="1" t="n">
        <v>46280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36887-2022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44805</v>
      </c>
      <c r="E593" s="1" t="n">
        <v>46280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59580-2022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44907</v>
      </c>
      <c r="E594" s="1" t="n">
        <v>46280</v>
      </c>
      <c r="F594" t="inlineStr">
        <is>
          <t>ÖSTERGÖTLANDS LÄN</t>
        </is>
      </c>
      <c r="G594" t="inlineStr">
        <is>
          <t>NORRKÖPING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31668-2023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45117</v>
      </c>
      <c r="E595" s="1" t="n">
        <v>46280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45121</v>
      </c>
      <c r="E596" s="1" t="n">
        <v>46280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12674-2025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45733</v>
      </c>
      <c r="E597" s="1" t="n">
        <v>46280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46280</v>
      </c>
      <c r="F598" t="inlineStr">
        <is>
          <t>ÖSTERGÖTLANDS LÄN</t>
        </is>
      </c>
      <c r="G598" t="inlineStr">
        <is>
          <t>NORRKÖPING</t>
        </is>
      </c>
      <c r="I598" t="n">
        <v>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46213</v>
      </c>
      <c r="E599" s="1" t="n">
        <v>46280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31078-2026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46280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46258</v>
      </c>
      <c r="E601" s="1" t="n">
        <v>46280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46258</v>
      </c>
      <c r="E602" s="1" t="n">
        <v>46280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34787-2026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46258</v>
      </c>
      <c r="E603" s="1" t="n">
        <v>46280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24634-2025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45798</v>
      </c>
      <c r="E604" s="1" t="n">
        <v>46280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46213</v>
      </c>
      <c r="E605" s="1" t="n">
        <v>46280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14.9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34800-2026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46258</v>
      </c>
      <c r="E606" s="1" t="n">
        <v>46280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34809-2026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46258</v>
      </c>
      <c r="E607" s="1" t="n">
        <v>46280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30901-2026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46213</v>
      </c>
      <c r="E608" s="1" t="n">
        <v>46280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30834-2022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44767</v>
      </c>
      <c r="E609" s="1" t="n">
        <v>46280</v>
      </c>
      <c r="F609" t="inlineStr">
        <is>
          <t>ÖSTERGÖTLANDS LÄN</t>
        </is>
      </c>
      <c r="G609" t="inlineStr">
        <is>
          <t>NORRKÖPING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46280</v>
      </c>
      <c r="F610" t="inlineStr">
        <is>
          <t>ÖSTERGÖTLANDS LÄN</t>
        </is>
      </c>
      <c r="G610" t="inlineStr">
        <is>
          <t>NORRKÖPING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19191-2025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45769</v>
      </c>
      <c r="E611" s="1" t="n">
        <v>46280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35200-2026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46260</v>
      </c>
      <c r="E612" s="1" t="n">
        <v>46280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31266-2026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46218</v>
      </c>
      <c r="E613" s="1" t="n">
        <v>46280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22956-2023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45072</v>
      </c>
      <c r="E614" s="1" t="n">
        <v>46280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31225-2026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46217</v>
      </c>
      <c r="E615" s="1" t="n">
        <v>46280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31268-2026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46218</v>
      </c>
      <c r="E616" s="1" t="n">
        <v>46280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46280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35202-2026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46280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31838-2023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45106</v>
      </c>
      <c r="E619" s="1" t="n">
        <v>46280</v>
      </c>
      <c r="F619" t="inlineStr">
        <is>
          <t>ÖSTERGÖTLANDS LÄN</t>
        </is>
      </c>
      <c r="G619" t="inlineStr">
        <is>
          <t>NORRKÖPING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35669-2026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46265</v>
      </c>
      <c r="E620" s="1" t="n">
        <v>46280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35795-2026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46265</v>
      </c>
      <c r="E621" s="1" t="n">
        <v>46280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47477-2022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44853</v>
      </c>
      <c r="E622" s="1" t="n">
        <v>46280</v>
      </c>
      <c r="F622" t="inlineStr">
        <is>
          <t>ÖSTERGÖTLANDS LÄN</t>
        </is>
      </c>
      <c r="G622" t="inlineStr">
        <is>
          <t>NORRKÖPING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57376-2024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45629</v>
      </c>
      <c r="E623" s="1" t="n">
        <v>46280</v>
      </c>
      <c r="F623" t="inlineStr">
        <is>
          <t>ÖSTERGÖTLANDS LÄN</t>
        </is>
      </c>
      <c r="G623" t="inlineStr">
        <is>
          <t>NORRKÖPING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45478</v>
      </c>
      <c r="E624" s="1" t="n">
        <v>46280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11767-2025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45727</v>
      </c>
      <c r="E625" s="1" t="n">
        <v>46280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Allmännings- och besparingsskogar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46280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17813-2025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45758</v>
      </c>
      <c r="E627" s="1" t="n">
        <v>46280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44936</v>
      </c>
      <c r="E628" s="1" t="n">
        <v>46280</v>
      </c>
      <c r="F628" t="inlineStr">
        <is>
          <t>ÖSTERGÖTLANDS LÄN</t>
        </is>
      </c>
      <c r="G628" t="inlineStr">
        <is>
          <t>NORRKÖPING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51877-2021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44462</v>
      </c>
      <c r="E629" s="1" t="n">
        <v>46280</v>
      </c>
      <c r="F629" t="inlineStr">
        <is>
          <t>ÖSTERGÖTLANDS LÄN</t>
        </is>
      </c>
      <c r="G629" t="inlineStr">
        <is>
          <t>NORRKÖPING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46280</v>
      </c>
      <c r="F630" t="inlineStr">
        <is>
          <t>ÖSTERGÖTLANDS LÄN</t>
        </is>
      </c>
      <c r="G630" t="inlineStr">
        <is>
          <t>NORRKÖPING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48122-2023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45205</v>
      </c>
      <c r="E631" s="1" t="n">
        <v>46280</v>
      </c>
      <c r="F631" t="inlineStr">
        <is>
          <t>ÖSTERGÖTLANDS LÄN</t>
        </is>
      </c>
      <c r="G631" t="inlineStr">
        <is>
          <t>NORRKÖPING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45446</v>
      </c>
      <c r="E632" s="1" t="n">
        <v>46280</v>
      </c>
      <c r="F632" t="inlineStr">
        <is>
          <t>ÖSTERGÖTLANDS LÄN</t>
        </is>
      </c>
      <c r="G632" t="inlineStr">
        <is>
          <t>NORRKÖPING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22322-2024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45446</v>
      </c>
      <c r="E633" s="1" t="n">
        <v>46280</v>
      </c>
      <c r="F633" t="inlineStr">
        <is>
          <t>ÖSTERGÖTLANDS LÄN</t>
        </is>
      </c>
      <c r="G633" t="inlineStr">
        <is>
          <t>NORRKÖPING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36567-2026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46269</v>
      </c>
      <c r="E634" s="1" t="n">
        <v>46280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23630-2023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45077</v>
      </c>
      <c r="E635" s="1" t="n">
        <v>46280</v>
      </c>
      <c r="F635" t="inlineStr">
        <is>
          <t>ÖSTERGÖTLANDS LÄN</t>
        </is>
      </c>
      <c r="G635" t="inlineStr">
        <is>
          <t>NORRKÖPING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26388-2023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45092</v>
      </c>
      <c r="E636" s="1" t="n">
        <v>46280</v>
      </c>
      <c r="F636" t="inlineStr">
        <is>
          <t>ÖSTERGÖTLANDS LÄN</t>
        </is>
      </c>
      <c r="G636" t="inlineStr">
        <is>
          <t>NORRKÖPING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63961-2023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45278</v>
      </c>
      <c r="E637" s="1" t="n">
        <v>46280</v>
      </c>
      <c r="F637" t="inlineStr">
        <is>
          <t>ÖSTERGÖTLANDS LÄN</t>
        </is>
      </c>
      <c r="G637" t="inlineStr">
        <is>
          <t>NORRKÖPING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16700-2023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45030</v>
      </c>
      <c r="E638" s="1" t="n">
        <v>46280</v>
      </c>
      <c r="F638" t="inlineStr">
        <is>
          <t>ÖSTERGÖTLANDS LÄN</t>
        </is>
      </c>
      <c r="G638" t="inlineStr">
        <is>
          <t>NORRKÖPING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15082-2024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45399</v>
      </c>
      <c r="E639" s="1" t="n">
        <v>46280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46268</v>
      </c>
      <c r="E640" s="1" t="n">
        <v>46280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BillerudKorsnäs AB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36581-2026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46269</v>
      </c>
      <c r="E641" s="1" t="n">
        <v>46280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45547</v>
      </c>
      <c r="E642" s="1" t="n">
        <v>46280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37700-2023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45159</v>
      </c>
      <c r="E643" s="1" t="n">
        <v>46280</v>
      </c>
      <c r="F643" t="inlineStr">
        <is>
          <t>ÖSTERGÖTLANDS LÄN</t>
        </is>
      </c>
      <c r="G643" t="inlineStr">
        <is>
          <t>NORRKÖPING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46225</v>
      </c>
      <c r="E644" s="1" t="n">
        <v>46280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Allmännings- och besparingsskogar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32511-2023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45121</v>
      </c>
      <c r="E645" s="1" t="n">
        <v>46280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6566-2025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45699</v>
      </c>
      <c r="E646" s="1" t="n">
        <v>46280</v>
      </c>
      <c r="F646" t="inlineStr">
        <is>
          <t>ÖSTERGÖTLANDS LÄN</t>
        </is>
      </c>
      <c r="G646" t="inlineStr">
        <is>
          <t>NORRKÖPING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6568-2025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45699</v>
      </c>
      <c r="E647" s="1" t="n">
        <v>46280</v>
      </c>
      <c r="F647" t="inlineStr">
        <is>
          <t>ÖSTERGÖTLANDS LÄN</t>
        </is>
      </c>
      <c r="G647" t="inlineStr">
        <is>
          <t>NORRKÖPING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60233-2022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44910</v>
      </c>
      <c r="E648" s="1" t="n">
        <v>46280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44928</v>
      </c>
      <c r="E649" s="1" t="n">
        <v>46280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59221-2024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45637</v>
      </c>
      <c r="E650" s="1" t="n">
        <v>46280</v>
      </c>
      <c r="F650" t="inlineStr">
        <is>
          <t>ÖSTERGÖTLANDS LÄN</t>
        </is>
      </c>
      <c r="G650" t="inlineStr">
        <is>
          <t>NORRKÖPING</t>
        </is>
      </c>
      <c r="I650" t="n">
        <v>24.7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31653-2023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45117</v>
      </c>
      <c r="E651" s="1" t="n">
        <v>46280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3020-2025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45678</v>
      </c>
      <c r="E652" s="1" t="n">
        <v>46280</v>
      </c>
      <c r="F652" t="inlineStr">
        <is>
          <t>ÖSTERGÖTLANDS LÄN</t>
        </is>
      </c>
      <c r="G652" t="inlineStr">
        <is>
          <t>NORRKÖPING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32623-2026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46240</v>
      </c>
      <c r="E653" s="1" t="n">
        <v>46280</v>
      </c>
      <c r="F653" t="inlineStr">
        <is>
          <t>ÖSTERGÖTLANDS LÄN</t>
        </is>
      </c>
      <c r="G653" t="inlineStr">
        <is>
          <t>NORRKÖPING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14901-2023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45014</v>
      </c>
      <c r="E654" s="1" t="n">
        <v>46280</v>
      </c>
      <c r="F654" t="inlineStr">
        <is>
          <t>ÖSTERGÖTLANDS LÄN</t>
        </is>
      </c>
      <c r="G654" t="inlineStr">
        <is>
          <t>NORRKÖPING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62028-2023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45266</v>
      </c>
      <c r="E655" s="1" t="n">
        <v>46280</v>
      </c>
      <c r="F655" t="inlineStr">
        <is>
          <t>ÖSTERGÖTLANDS LÄN</t>
        </is>
      </c>
      <c r="G655" t="inlineStr">
        <is>
          <t>NORRKÖPING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19259-2023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45049</v>
      </c>
      <c r="E656" s="1" t="n">
        <v>46280</v>
      </c>
      <c r="F656" t="inlineStr">
        <is>
          <t>ÖSTERGÖTLANDS LÄN</t>
        </is>
      </c>
      <c r="G656" t="inlineStr">
        <is>
          <t>NORRKÖPING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19260-2023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45049</v>
      </c>
      <c r="E657" s="1" t="n">
        <v>46280</v>
      </c>
      <c r="F657" t="inlineStr">
        <is>
          <t>ÖSTERGÖTLANDS LÄN</t>
        </is>
      </c>
      <c r="G657" t="inlineStr">
        <is>
          <t>NORRKÖPING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62033-2023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45266</v>
      </c>
      <c r="E658" s="1" t="n">
        <v>46280</v>
      </c>
      <c r="F658" t="inlineStr">
        <is>
          <t>ÖSTERGÖTLANDS LÄN</t>
        </is>
      </c>
      <c r="G658" t="inlineStr">
        <is>
          <t>NORRKÖPING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31880-2026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46231</v>
      </c>
      <c r="E659" s="1" t="n">
        <v>46280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55063-2023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45237</v>
      </c>
      <c r="E660" s="1" t="n">
        <v>46280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Kyrkan</t>
        </is>
      </c>
      <c r="I660" t="n">
        <v>9.699999999999999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46233</v>
      </c>
      <c r="E661" s="1" t="n">
        <v>46280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46280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8220-2023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44974</v>
      </c>
      <c r="E663" s="1" t="n">
        <v>46280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6261-2023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44965</v>
      </c>
      <c r="E664" s="1" t="n">
        <v>46280</v>
      </c>
      <c r="F664" t="inlineStr">
        <is>
          <t>ÖSTERGÖTLANDS LÄN</t>
        </is>
      </c>
      <c r="G664" t="inlineStr">
        <is>
          <t>NORRKÖPING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32068-2026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46233</v>
      </c>
      <c r="E665" s="1" t="n">
        <v>46280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46233</v>
      </c>
      <c r="E666" s="1" t="n">
        <v>46280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37811-2026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46279</v>
      </c>
      <c r="E667" s="1" t="n">
        <v>46280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43322-2022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44834</v>
      </c>
      <c r="E668" s="1" t="n">
        <v>46280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46233</v>
      </c>
      <c r="E669" s="1" t="n">
        <v>46280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46280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32073-2026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46233</v>
      </c>
      <c r="E671" s="1" t="n">
        <v>46280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32020-2026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46233</v>
      </c>
      <c r="E672" s="1" t="n">
        <v>46280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46233</v>
      </c>
      <c r="E673" s="1" t="n">
        <v>46280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6040-2026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46050</v>
      </c>
      <c r="E674" s="1" t="n">
        <v>46280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5868-2022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44596</v>
      </c>
      <c r="E675" s="1" t="n">
        <v>46280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46280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45771</v>
      </c>
      <c r="E677" s="1" t="n">
        <v>46280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38441-2024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45546</v>
      </c>
      <c r="E678" s="1" t="n">
        <v>46280</v>
      </c>
      <c r="F678" t="inlineStr">
        <is>
          <t>ÖSTERGÖTLANDS LÄN</t>
        </is>
      </c>
      <c r="G678" t="inlineStr">
        <is>
          <t>NORRKÖPING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53278-2023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45229</v>
      </c>
      <c r="E679" s="1" t="n">
        <v>46280</v>
      </c>
      <c r="F679" t="inlineStr">
        <is>
          <t>ÖSTERGÖTLANDS LÄN</t>
        </is>
      </c>
      <c r="G679" t="inlineStr">
        <is>
          <t>NORRKÖPING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16703-2023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45030</v>
      </c>
      <c r="E680" s="1" t="n">
        <v>46280</v>
      </c>
      <c r="F680" t="inlineStr">
        <is>
          <t>ÖSTERGÖTLANDS LÄN</t>
        </is>
      </c>
      <c r="G680" t="inlineStr">
        <is>
          <t>NORRKÖPING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16708-2023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45030</v>
      </c>
      <c r="E681" s="1" t="n">
        <v>46280</v>
      </c>
      <c r="F681" t="inlineStr">
        <is>
          <t>ÖSTERGÖTLANDS LÄN</t>
        </is>
      </c>
      <c r="G681" t="inlineStr">
        <is>
          <t>NORRKÖPING</t>
        </is>
      </c>
      <c r="I681" t="n">
        <v>6.4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44197-2023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45188</v>
      </c>
      <c r="E682" s="1" t="n">
        <v>46280</v>
      </c>
      <c r="F682" t="inlineStr">
        <is>
          <t>ÖSTERGÖTLANDS LÄN</t>
        </is>
      </c>
      <c r="G682" t="inlineStr">
        <is>
          <t>NORRKÖPING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62475-2023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45268</v>
      </c>
      <c r="E683" s="1" t="n">
        <v>46280</v>
      </c>
      <c r="F683" t="inlineStr">
        <is>
          <t>ÖSTERGÖTLANDS LÄN</t>
        </is>
      </c>
      <c r="G683" t="inlineStr">
        <is>
          <t>NORRKÖPING</t>
        </is>
      </c>
      <c r="I683" t="n">
        <v>12.5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39232-2024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45550</v>
      </c>
      <c r="E684" s="1" t="n">
        <v>46280</v>
      </c>
      <c r="F684" t="inlineStr">
        <is>
          <t>ÖSTERGÖTLANDS LÄN</t>
        </is>
      </c>
      <c r="G684" t="inlineStr">
        <is>
          <t>NORRKÖPING</t>
        </is>
      </c>
      <c r="I684" t="n">
        <v>6.2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19853-2023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45053</v>
      </c>
      <c r="E685" s="1" t="n">
        <v>46280</v>
      </c>
      <c r="F685" t="inlineStr">
        <is>
          <t>ÖSTERGÖTLANDS LÄN</t>
        </is>
      </c>
      <c r="G685" t="inlineStr">
        <is>
          <t>NORRKÖPING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49060-2022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44860</v>
      </c>
      <c r="E686" s="1" t="n">
        <v>46280</v>
      </c>
      <c r="F686" t="inlineStr">
        <is>
          <t>ÖSTERGÖTLANDS LÄN</t>
        </is>
      </c>
      <c r="G686" t="inlineStr">
        <is>
          <t>NORRKÖPING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5976-2022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44597</v>
      </c>
      <c r="E687" s="1" t="n">
        <v>46280</v>
      </c>
      <c r="F687" t="inlineStr">
        <is>
          <t>ÖSTERGÖTLANDS LÄN</t>
        </is>
      </c>
      <c r="G687" t="inlineStr">
        <is>
          <t>NORRKÖPING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14899-2023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45014</v>
      </c>
      <c r="E688" s="1" t="n">
        <v>46280</v>
      </c>
      <c r="F688" t="inlineStr">
        <is>
          <t>ÖSTERGÖTLANDS LÄN</t>
        </is>
      </c>
      <c r="G688" t="inlineStr">
        <is>
          <t>NORRKÖPING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44936</v>
      </c>
      <c r="E689" s="1" t="n">
        <v>46280</v>
      </c>
      <c r="F689" t="inlineStr">
        <is>
          <t>ÖSTERGÖTLANDS LÄN</t>
        </is>
      </c>
      <c r="G689" t="inlineStr">
        <is>
          <t>NORRKÖPING</t>
        </is>
      </c>
      <c r="I689" t="n">
        <v>5.8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11136-2025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45723</v>
      </c>
      <c r="E690" s="1" t="n">
        <v>46280</v>
      </c>
      <c r="F690" t="inlineStr">
        <is>
          <t>ÖSTERGÖTLANDS LÄN</t>
        </is>
      </c>
      <c r="G690" t="inlineStr">
        <is>
          <t>NORRKÖPING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49882-2021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44455</v>
      </c>
      <c r="E691" s="1" t="n">
        <v>46280</v>
      </c>
      <c r="F691" t="inlineStr">
        <is>
          <t>ÖSTERGÖTLANDS LÄN</t>
        </is>
      </c>
      <c r="G691" t="inlineStr">
        <is>
          <t>NORRKÖPING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44588</v>
      </c>
      <c r="E692" s="1" t="n">
        <v>46280</v>
      </c>
      <c r="F692" t="inlineStr">
        <is>
          <t>ÖSTERGÖTLANDS LÄN</t>
        </is>
      </c>
      <c r="G692" t="inlineStr">
        <is>
          <t>NORRKÖPING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59768-2021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44494</v>
      </c>
      <c r="E693" s="1" t="n">
        <v>46280</v>
      </c>
      <c r="F693" t="inlineStr">
        <is>
          <t>ÖSTERGÖTLANDS LÄN</t>
        </is>
      </c>
      <c r="G693" t="inlineStr">
        <is>
          <t>NORRKÖPING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63349-2023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45274</v>
      </c>
      <c r="E694" s="1" t="n">
        <v>46280</v>
      </c>
      <c r="F694" t="inlineStr">
        <is>
          <t>ÖSTERGÖTLANDS LÄN</t>
        </is>
      </c>
      <c r="G694" t="inlineStr">
        <is>
          <t>NORRKÖPING</t>
        </is>
      </c>
      <c r="I694" t="n">
        <v>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40816-2024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45558</v>
      </c>
      <c r="E695" s="1" t="n">
        <v>46280</v>
      </c>
      <c r="F695" t="inlineStr">
        <is>
          <t>ÖSTERGÖTLANDS LÄN</t>
        </is>
      </c>
      <c r="G695" t="inlineStr">
        <is>
          <t>NORRKÖPING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48786-2022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44859</v>
      </c>
      <c r="E696" s="1" t="n">
        <v>46280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5938-2024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45336</v>
      </c>
      <c r="E697" s="1" t="n">
        <v>46280</v>
      </c>
      <c r="F697" t="inlineStr">
        <is>
          <t>ÖSTERGÖTLANDS LÄN</t>
        </is>
      </c>
      <c r="G697" t="inlineStr">
        <is>
          <t>NORRKÖPING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44582</v>
      </c>
      <c r="E698" s="1" t="n">
        <v>46280</v>
      </c>
      <c r="F698" t="inlineStr">
        <is>
          <t>ÖSTERGÖTLANDS LÄN</t>
        </is>
      </c>
      <c r="G698" t="inlineStr">
        <is>
          <t>NORRKÖPING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21767-2024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45442</v>
      </c>
      <c r="E699" s="1" t="n">
        <v>46280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43344-2023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45183</v>
      </c>
      <c r="E700" s="1" t="n">
        <v>46280</v>
      </c>
      <c r="F700" t="inlineStr">
        <is>
          <t>ÖSTERGÖTLANDS LÄN</t>
        </is>
      </c>
      <c r="G700" t="inlineStr">
        <is>
          <t>NORRKÖPING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43346-2023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45183</v>
      </c>
      <c r="E701" s="1" t="n">
        <v>46280</v>
      </c>
      <c r="F701" t="inlineStr">
        <is>
          <t>ÖSTERGÖTLANDS LÄN</t>
        </is>
      </c>
      <c r="G701" t="inlineStr">
        <is>
          <t>NORRKÖPING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18658-2023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45043</v>
      </c>
      <c r="E702" s="1" t="n">
        <v>46280</v>
      </c>
      <c r="F702" t="inlineStr">
        <is>
          <t>ÖSTERGÖTLANDS LÄN</t>
        </is>
      </c>
      <c r="G702" t="inlineStr">
        <is>
          <t>NORRKÖPING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31801-2024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45509</v>
      </c>
      <c r="E703" s="1" t="n">
        <v>46280</v>
      </c>
      <c r="F703" t="inlineStr">
        <is>
          <t>ÖSTERGÖTLANDS LÄN</t>
        </is>
      </c>
      <c r="G703" t="inlineStr">
        <is>
          <t>NORRKÖPING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35148-2023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45145</v>
      </c>
      <c r="E704" s="1" t="n">
        <v>46280</v>
      </c>
      <c r="F704" t="inlineStr">
        <is>
          <t>ÖSTERGÖTLANDS LÄN</t>
        </is>
      </c>
      <c r="G704" t="inlineStr">
        <is>
          <t>NORRKÖPING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50119-2023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45215</v>
      </c>
      <c r="E705" s="1" t="n">
        <v>46280</v>
      </c>
      <c r="F705" t="inlineStr">
        <is>
          <t>ÖSTERGÖTLANDS LÄN</t>
        </is>
      </c>
      <c r="G705" t="inlineStr">
        <is>
          <t>NORRKÖPING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1835-2023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44936</v>
      </c>
      <c r="E706" s="1" t="n">
        <v>46280</v>
      </c>
      <c r="F706" t="inlineStr">
        <is>
          <t>ÖSTERGÖTLANDS LÄN</t>
        </is>
      </c>
      <c r="G706" t="inlineStr">
        <is>
          <t>NORRKÖPING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56331-2022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44890</v>
      </c>
      <c r="E707" s="1" t="n">
        <v>46280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19287-2025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45769</v>
      </c>
      <c r="E708" s="1" t="n">
        <v>46280</v>
      </c>
      <c r="F708" t="inlineStr">
        <is>
          <t>ÖSTERGÖTLANDS LÄN</t>
        </is>
      </c>
      <c r="G708" t="inlineStr">
        <is>
          <t>NORRKÖPING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14611-2023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45013</v>
      </c>
      <c r="E709" s="1" t="n">
        <v>46280</v>
      </c>
      <c r="F709" t="inlineStr">
        <is>
          <t>ÖSTERGÖTLANDS LÄN</t>
        </is>
      </c>
      <c r="G709" t="inlineStr">
        <is>
          <t>NORRKÖPING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4494-2023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44956</v>
      </c>
      <c r="E710" s="1" t="n">
        <v>46280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23783-2022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44721</v>
      </c>
      <c r="E711" s="1" t="n">
        <v>46280</v>
      </c>
      <c r="F711" t="inlineStr">
        <is>
          <t>ÖSTERGÖTLANDS LÄN</t>
        </is>
      </c>
      <c r="G711" t="inlineStr">
        <is>
          <t>NORRKÖPING</t>
        </is>
      </c>
      <c r="I711" t="n">
        <v>11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18537-2025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45763</v>
      </c>
      <c r="E712" s="1" t="n">
        <v>46280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9.300000000000001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50678-2023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45217</v>
      </c>
      <c r="E713" s="1" t="n">
        <v>46280</v>
      </c>
      <c r="F713" t="inlineStr">
        <is>
          <t>ÖSTERGÖTLANDS LÄN</t>
        </is>
      </c>
      <c r="G713" t="inlineStr">
        <is>
          <t>NORRKÖPING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45075-2023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45191</v>
      </c>
      <c r="E714" s="1" t="n">
        <v>46280</v>
      </c>
      <c r="F714" t="inlineStr">
        <is>
          <t>ÖSTERGÖTLANDS LÄN</t>
        </is>
      </c>
      <c r="G714" t="inlineStr">
        <is>
          <t>NORRKÖPING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12814-2025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45733</v>
      </c>
      <c r="E715" s="1" t="n">
        <v>46280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44803</v>
      </c>
      <c r="E716" s="1" t="n">
        <v>46280</v>
      </c>
      <c r="F716" t="inlineStr">
        <is>
          <t>ÖSTERGÖTLANDS LÄN</t>
        </is>
      </c>
      <c r="G716" t="inlineStr">
        <is>
          <t>NORRKÖPING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49062-2022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44860</v>
      </c>
      <c r="E717" s="1" t="n">
        <v>46280</v>
      </c>
      <c r="F717" t="inlineStr">
        <is>
          <t>ÖSTERGÖTLANDS LÄN</t>
        </is>
      </c>
      <c r="G717" t="inlineStr">
        <is>
          <t>NORRKÖPING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1914-2023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44939</v>
      </c>
      <c r="E718" s="1" t="n">
        <v>46280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Naturvårdsverket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4546-2023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44956</v>
      </c>
      <c r="E719" s="1" t="n">
        <v>46280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12538-2024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45379</v>
      </c>
      <c r="E720" s="1" t="n">
        <v>46280</v>
      </c>
      <c r="F720" t="inlineStr">
        <is>
          <t>ÖSTERGÖTLANDS LÄN</t>
        </is>
      </c>
      <c r="G720" t="inlineStr">
        <is>
          <t>NORRKÖPING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17138-2022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44677</v>
      </c>
      <c r="E721" s="1" t="n">
        <v>46280</v>
      </c>
      <c r="F721" t="inlineStr">
        <is>
          <t>ÖSTERGÖTLANDS LÄN</t>
        </is>
      </c>
      <c r="G721" t="inlineStr">
        <is>
          <t>NORRKÖPING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33170-2023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45126</v>
      </c>
      <c r="E722" s="1" t="n">
        <v>46280</v>
      </c>
      <c r="F722" t="inlineStr">
        <is>
          <t>ÖSTERGÖTLANDS LÄN</t>
        </is>
      </c>
      <c r="G722" t="inlineStr">
        <is>
          <t>NORRKÖPING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33171-2023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45126</v>
      </c>
      <c r="E723" s="1" t="n">
        <v>46280</v>
      </c>
      <c r="F723" t="inlineStr">
        <is>
          <t>ÖSTERGÖTLANDS LÄN</t>
        </is>
      </c>
      <c r="G723" t="inlineStr">
        <is>
          <t>NORRKÖPING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62529-2023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45268</v>
      </c>
      <c r="E724" s="1" t="n">
        <v>46280</v>
      </c>
      <c r="F724" t="inlineStr">
        <is>
          <t>ÖSTERGÖTLANDS LÄN</t>
        </is>
      </c>
      <c r="G724" t="inlineStr">
        <is>
          <t>NORRKÖPING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59586-2022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44907</v>
      </c>
      <c r="E725" s="1" t="n">
        <v>46280</v>
      </c>
      <c r="F725" t="inlineStr">
        <is>
          <t>ÖSTERGÖTLANDS LÄN</t>
        </is>
      </c>
      <c r="G725" t="inlineStr">
        <is>
          <t>NORRKÖPING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31359-2023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45114</v>
      </c>
      <c r="E726" s="1" t="n">
        <v>46280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31361-2023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45114</v>
      </c>
      <c r="E727" s="1" t="n">
        <v>46280</v>
      </c>
      <c r="F727" t="inlineStr">
        <is>
          <t>ÖSTERGÖTLANDS LÄN</t>
        </is>
      </c>
      <c r="G727" t="inlineStr">
        <is>
          <t>NORRKÖPING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53899-2021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44469</v>
      </c>
      <c r="E728" s="1" t="n">
        <v>46280</v>
      </c>
      <c r="F728" t="inlineStr">
        <is>
          <t>ÖSTERGÖTLANDS LÄN</t>
        </is>
      </c>
      <c r="G728" t="inlineStr">
        <is>
          <t>NORRKÖPING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11140-2025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45723</v>
      </c>
      <c r="E729" s="1" t="n">
        <v>46280</v>
      </c>
      <c r="F729" t="inlineStr">
        <is>
          <t>ÖSTERGÖTLANDS LÄN</t>
        </is>
      </c>
      <c r="G729" t="inlineStr">
        <is>
          <t>NORRKÖPING</t>
        </is>
      </c>
      <c r="I729" t="n">
        <v>13.9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17503-2022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44679</v>
      </c>
      <c r="E730" s="1" t="n">
        <v>46280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6.3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9528-2024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45359</v>
      </c>
      <c r="E731" s="1" t="n">
        <v>46280</v>
      </c>
      <c r="F731" t="inlineStr">
        <is>
          <t>ÖSTERGÖTLANDS LÄN</t>
        </is>
      </c>
      <c r="G731" t="inlineStr">
        <is>
          <t>NORRKÖPING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53747-2022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44880</v>
      </c>
      <c r="E732" s="1" t="n">
        <v>46280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1277-2023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44936</v>
      </c>
      <c r="E733" s="1" t="n">
        <v>46280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1281-2023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44936</v>
      </c>
      <c r="E734" s="1" t="n">
        <v>46280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15402-2025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45747</v>
      </c>
      <c r="E735" s="1" t="n">
        <v>46280</v>
      </c>
      <c r="F735" t="inlineStr">
        <is>
          <t>ÖSTERGÖTLANDS LÄN</t>
        </is>
      </c>
      <c r="G735" t="inlineStr">
        <is>
          <t>NORRKÖPING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19324-2025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45769</v>
      </c>
      <c r="E736" s="1" t="n">
        <v>46280</v>
      </c>
      <c r="F736" t="inlineStr">
        <is>
          <t>ÖSTERGÖTLANDS LÄN</t>
        </is>
      </c>
      <c r="G736" t="inlineStr">
        <is>
          <t>NORRKÖPING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58525-2021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44488</v>
      </c>
      <c r="E737" s="1" t="n">
        <v>46280</v>
      </c>
      <c r="F737" t="inlineStr">
        <is>
          <t>ÖSTERGÖTLANDS LÄN</t>
        </is>
      </c>
      <c r="G737" t="inlineStr">
        <is>
          <t>NORRKÖPING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11612-2023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44994</v>
      </c>
      <c r="E738" s="1" t="n">
        <v>46280</v>
      </c>
      <c r="F738" t="inlineStr">
        <is>
          <t>ÖSTERGÖTLANDS LÄN</t>
        </is>
      </c>
      <c r="G738" t="inlineStr">
        <is>
          <t>NORRKÖPING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16253-2023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45028</v>
      </c>
      <c r="E739" s="1" t="n">
        <v>46280</v>
      </c>
      <c r="F739" t="inlineStr">
        <is>
          <t>ÖSTERGÖTLANDS LÄN</t>
        </is>
      </c>
      <c r="G739" t="inlineStr">
        <is>
          <t>NORRKÖPING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21664-2024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45442</v>
      </c>
      <c r="E740" s="1" t="n">
        <v>46280</v>
      </c>
      <c r="F740" t="inlineStr">
        <is>
          <t>ÖSTERGÖTLANDS LÄN</t>
        </is>
      </c>
      <c r="G740" t="inlineStr">
        <is>
          <t>NORRKÖPING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16590-2024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45408</v>
      </c>
      <c r="E741" s="1" t="n">
        <v>46280</v>
      </c>
      <c r="F741" t="inlineStr">
        <is>
          <t>ÖSTERGÖTLANDS LÄN</t>
        </is>
      </c>
      <c r="G741" t="inlineStr">
        <is>
          <t>NORRKÖPING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31844-2023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45106</v>
      </c>
      <c r="E742" s="1" t="n">
        <v>46280</v>
      </c>
      <c r="F742" t="inlineStr">
        <is>
          <t>ÖSTERGÖTLANDS LÄN</t>
        </is>
      </c>
      <c r="G742" t="inlineStr">
        <is>
          <t>NORRKÖPING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49799-2022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44862</v>
      </c>
      <c r="E743" s="1" t="n">
        <v>46280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36954-2022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44805</v>
      </c>
      <c r="E744" s="1" t="n">
        <v>46280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Allmännings- och besparingsskogar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47051-2023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45201</v>
      </c>
      <c r="E745" s="1" t="n">
        <v>46280</v>
      </c>
      <c r="F745" t="inlineStr">
        <is>
          <t>ÖSTERGÖTLANDS LÄN</t>
        </is>
      </c>
      <c r="G745" t="inlineStr">
        <is>
          <t>NORRKÖPING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34393-2023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45132</v>
      </c>
      <c r="E746" s="1" t="n">
        <v>46280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Allmännings- och besparingsskogar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11641-2024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45373</v>
      </c>
      <c r="E747" s="1" t="n">
        <v>46280</v>
      </c>
      <c r="F747" t="inlineStr">
        <is>
          <t>ÖSTERGÖTLANDS LÄN</t>
        </is>
      </c>
      <c r="G747" t="inlineStr">
        <is>
          <t>NORRKÖPING</t>
        </is>
      </c>
      <c r="I747" t="n">
        <v>8.6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11261-2023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44992</v>
      </c>
      <c r="E748" s="1" t="n">
        <v>46280</v>
      </c>
      <c r="F748" t="inlineStr">
        <is>
          <t>ÖSTERGÖTLANDS LÄN</t>
        </is>
      </c>
      <c r="G748" t="inlineStr">
        <is>
          <t>NORRKÖPING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58936-2023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45252</v>
      </c>
      <c r="E749" s="1" t="n">
        <v>46280</v>
      </c>
      <c r="F749" t="inlineStr">
        <is>
          <t>ÖSTERGÖTLANDS LÄN</t>
        </is>
      </c>
      <c r="G749" t="inlineStr">
        <is>
          <t>NORRKÖPING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10796-2024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45369</v>
      </c>
      <c r="E750" s="1" t="n">
        <v>46280</v>
      </c>
      <c r="F750" t="inlineStr">
        <is>
          <t>ÖSTERGÖTLANDS LÄN</t>
        </is>
      </c>
      <c r="G750" t="inlineStr">
        <is>
          <t>NORRKÖPING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2287-2025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45673</v>
      </c>
      <c r="E751" s="1" t="n">
        <v>46280</v>
      </c>
      <c r="F751" t="inlineStr">
        <is>
          <t>ÖSTERGÖTLANDS LÄN</t>
        </is>
      </c>
      <c r="G751" t="inlineStr">
        <is>
          <t>NORRKÖPING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33341-2023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45128</v>
      </c>
      <c r="E752" s="1" t="n">
        <v>46280</v>
      </c>
      <c r="F752" t="inlineStr">
        <is>
          <t>ÖSTERGÖTLANDS LÄN</t>
        </is>
      </c>
      <c r="G752" t="inlineStr">
        <is>
          <t>NORRKÖPING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14441-2025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45741</v>
      </c>
      <c r="E753" s="1" t="n">
        <v>46280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Allmännings- och besparingsskogar</t>
        </is>
      </c>
      <c r="I753" t="n">
        <v>6.9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29010-2023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45096</v>
      </c>
      <c r="E754" s="1" t="n">
        <v>46280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Allmännings- och besparingsskogar</t>
        </is>
      </c>
      <c r="I754" t="n">
        <v>12.3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57492-2023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45246</v>
      </c>
      <c r="E755" s="1" t="n">
        <v>46280</v>
      </c>
      <c r="F755" t="inlineStr">
        <is>
          <t>ÖSTERGÖTLANDS LÄN</t>
        </is>
      </c>
      <c r="G755" t="inlineStr">
        <is>
          <t>NORRKÖPING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57496-2023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45246</v>
      </c>
      <c r="E756" s="1" t="n">
        <v>46280</v>
      </c>
      <c r="F756" t="inlineStr">
        <is>
          <t>ÖSTERGÖTLANDS LÄN</t>
        </is>
      </c>
      <c r="G756" t="inlineStr">
        <is>
          <t>NORRKÖPING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41381-2023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45174</v>
      </c>
      <c r="E757" s="1" t="n">
        <v>46280</v>
      </c>
      <c r="F757" t="inlineStr">
        <is>
          <t>ÖSTERGÖTLANDS LÄN</t>
        </is>
      </c>
      <c r="G757" t="inlineStr">
        <is>
          <t>NORRKÖPING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41382-2023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45174</v>
      </c>
      <c r="E758" s="1" t="n">
        <v>46280</v>
      </c>
      <c r="F758" t="inlineStr">
        <is>
          <t>ÖSTERGÖTLANDS LÄN</t>
        </is>
      </c>
      <c r="G758" t="inlineStr">
        <is>
          <t>NORRKÖPING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24354-2024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45457</v>
      </c>
      <c r="E759" s="1" t="n">
        <v>46280</v>
      </c>
      <c r="F759" t="inlineStr">
        <is>
          <t>ÖSTERGÖTLANDS LÄN</t>
        </is>
      </c>
      <c r="G759" t="inlineStr">
        <is>
          <t>NORRKÖPING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26407-2023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46280</v>
      </c>
      <c r="F760" t="inlineStr">
        <is>
          <t>ÖSTERGÖTLANDS LÄN</t>
        </is>
      </c>
      <c r="G760" t="inlineStr">
        <is>
          <t>NORRKÖPING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59964-2023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45254</v>
      </c>
      <c r="E761" s="1" t="n">
        <v>46280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16594-2023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45027</v>
      </c>
      <c r="E762" s="1" t="n">
        <v>46280</v>
      </c>
      <c r="F762" t="inlineStr">
        <is>
          <t>ÖSTERGÖTLANDS LÄN</t>
        </is>
      </c>
      <c r="G762" t="inlineStr">
        <is>
          <t>NORRKÖPING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18592-2024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45425</v>
      </c>
      <c r="E763" s="1" t="n">
        <v>46280</v>
      </c>
      <c r="F763" t="inlineStr">
        <is>
          <t>ÖSTERGÖTLANDS LÄN</t>
        </is>
      </c>
      <c r="G763" t="inlineStr">
        <is>
          <t>NORRKÖPING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46270-2024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45581</v>
      </c>
      <c r="E764" s="1" t="n">
        <v>46280</v>
      </c>
      <c r="F764" t="inlineStr">
        <is>
          <t>ÖSTERGÖTLANDS LÄN</t>
        </is>
      </c>
      <c r="G764" t="inlineStr">
        <is>
          <t>NORRKÖPING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26977-2023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45091</v>
      </c>
      <c r="E765" s="1" t="n">
        <v>46280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Allmännings- och besparingsskogar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10798-2024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45369</v>
      </c>
      <c r="E766" s="1" t="n">
        <v>46280</v>
      </c>
      <c r="F766" t="inlineStr">
        <is>
          <t>ÖSTERGÖTLANDS LÄN</t>
        </is>
      </c>
      <c r="G766" t="inlineStr">
        <is>
          <t>NORRKÖPING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18667-2023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45043</v>
      </c>
      <c r="E767" s="1" t="n">
        <v>46280</v>
      </c>
      <c r="F767" t="inlineStr">
        <is>
          <t>ÖSTERGÖTLANDS LÄN</t>
        </is>
      </c>
      <c r="G767" t="inlineStr">
        <is>
          <t>NORRKÖPING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21772-2024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45442</v>
      </c>
      <c r="E768" s="1" t="n">
        <v>46280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13918-2023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45008</v>
      </c>
      <c r="E769" s="1" t="n">
        <v>46280</v>
      </c>
      <c r="F769" t="inlineStr">
        <is>
          <t>ÖSTERGÖTLANDS LÄN</t>
        </is>
      </c>
      <c r="G769" t="inlineStr">
        <is>
          <t>NORRKÖPING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6490-2024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45339</v>
      </c>
      <c r="E770" s="1" t="n">
        <v>46280</v>
      </c>
      <c r="F770" t="inlineStr">
        <is>
          <t>ÖSTERGÖTLANDS LÄN</t>
        </is>
      </c>
      <c r="G770" t="inlineStr">
        <is>
          <t>NORRKÖPING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17852-2025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45758</v>
      </c>
      <c r="E771" s="1" t="n">
        <v>46280</v>
      </c>
      <c r="F771" t="inlineStr">
        <is>
          <t>ÖSTERGÖTLANDS LÄN</t>
        </is>
      </c>
      <c r="G771" t="inlineStr">
        <is>
          <t>NORRKÖPING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26834-2023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45093</v>
      </c>
      <c r="E772" s="1" t="n">
        <v>46280</v>
      </c>
      <c r="F772" t="inlineStr">
        <is>
          <t>ÖSTERGÖTLANDS LÄN</t>
        </is>
      </c>
      <c r="G772" t="inlineStr">
        <is>
          <t>NORRKÖPING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11587-2023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44992</v>
      </c>
      <c r="E773" s="1" t="n">
        <v>46280</v>
      </c>
      <c r="F773" t="inlineStr">
        <is>
          <t>ÖSTERGÖTLANDS LÄN</t>
        </is>
      </c>
      <c r="G773" t="inlineStr">
        <is>
          <t>NORRKÖPING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9233-2023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44980</v>
      </c>
      <c r="E774" s="1" t="n">
        <v>46280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23349-2024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45453</v>
      </c>
      <c r="E775" s="1" t="n">
        <v>46280</v>
      </c>
      <c r="F775" t="inlineStr">
        <is>
          <t>ÖSTERGÖTLANDS LÄN</t>
        </is>
      </c>
      <c r="G775" t="inlineStr">
        <is>
          <t>NORRKÖPING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59077-2023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45252</v>
      </c>
      <c r="E776" s="1" t="n">
        <v>46280</v>
      </c>
      <c r="F776" t="inlineStr">
        <is>
          <t>ÖSTERGÖTLANDS LÄN</t>
        </is>
      </c>
      <c r="G776" t="inlineStr">
        <is>
          <t>NORRKÖPING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58884-2024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45636</v>
      </c>
      <c r="E777" s="1" t="n">
        <v>46280</v>
      </c>
      <c r="F777" t="inlineStr">
        <is>
          <t>ÖSTERGÖTLANDS LÄN</t>
        </is>
      </c>
      <c r="G777" t="inlineStr">
        <is>
          <t>NORRKÖPING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58901-2024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45636</v>
      </c>
      <c r="E778" s="1" t="n">
        <v>46280</v>
      </c>
      <c r="F778" t="inlineStr">
        <is>
          <t>ÖSTERGÖTLANDS LÄN</t>
        </is>
      </c>
      <c r="G778" t="inlineStr">
        <is>
          <t>NORRKÖPING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1506-2022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44573</v>
      </c>
      <c r="E779" s="1" t="n">
        <v>46280</v>
      </c>
      <c r="F779" t="inlineStr">
        <is>
          <t>ÖSTERGÖTLANDS LÄN</t>
        </is>
      </c>
      <c r="G779" t="inlineStr">
        <is>
          <t>NORRKÖPING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5116-2024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45330</v>
      </c>
      <c r="E780" s="1" t="n">
        <v>46280</v>
      </c>
      <c r="F780" t="inlineStr">
        <is>
          <t>ÖSTERGÖTLANDS LÄN</t>
        </is>
      </c>
      <c r="G780" t="inlineStr">
        <is>
          <t>NORRKÖPING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49617-2022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44862</v>
      </c>
      <c r="E781" s="1" t="n">
        <v>46280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1383-2022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44573</v>
      </c>
      <c r="E782" s="1" t="n">
        <v>46280</v>
      </c>
      <c r="F782" t="inlineStr">
        <is>
          <t>ÖSTERGÖTLANDS LÄN</t>
        </is>
      </c>
      <c r="G782" t="inlineStr">
        <is>
          <t>NORRKÖPING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30062-2023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45110</v>
      </c>
      <c r="E783" s="1" t="n">
        <v>46280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22470-2022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44713</v>
      </c>
      <c r="E784" s="1" t="n">
        <v>46280</v>
      </c>
      <c r="F784" t="inlineStr">
        <is>
          <t>ÖSTERGÖTLANDS LÄN</t>
        </is>
      </c>
      <c r="G784" t="inlineStr">
        <is>
          <t>NORRKÖPING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30784-2023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45112</v>
      </c>
      <c r="E785" s="1" t="n">
        <v>46280</v>
      </c>
      <c r="F785" t="inlineStr">
        <is>
          <t>ÖSTERGÖTLANDS LÄN</t>
        </is>
      </c>
      <c r="G785" t="inlineStr">
        <is>
          <t>NORRKÖPING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18686-2023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45043</v>
      </c>
      <c r="E786" s="1" t="n">
        <v>46280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26583-2022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44739</v>
      </c>
      <c r="E787" s="1" t="n">
        <v>46280</v>
      </c>
      <c r="F787" t="inlineStr">
        <is>
          <t>ÖSTERGÖTLANDS LÄN</t>
        </is>
      </c>
      <c r="G787" t="inlineStr">
        <is>
          <t>NORRKÖPING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45317</v>
      </c>
      <c r="E788" s="1" t="n">
        <v>46280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19702-2024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45432</v>
      </c>
      <c r="E789" s="1" t="n">
        <v>46280</v>
      </c>
      <c r="F789" t="inlineStr">
        <is>
          <t>ÖSTERGÖTLANDS LÄN</t>
        </is>
      </c>
      <c r="G789" t="inlineStr">
        <is>
          <t>NORRKÖPING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9542-2025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45715</v>
      </c>
      <c r="E790" s="1" t="n">
        <v>46280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11519-2025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45726</v>
      </c>
      <c r="E791" s="1" t="n">
        <v>46280</v>
      </c>
      <c r="F791" t="inlineStr">
        <is>
          <t>ÖSTERGÖTLANDS LÄN</t>
        </is>
      </c>
      <c r="G791" t="inlineStr">
        <is>
          <t>NORRKÖPING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11144-2025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45723</v>
      </c>
      <c r="E792" s="1" t="n">
        <v>46280</v>
      </c>
      <c r="F792" t="inlineStr">
        <is>
          <t>ÖSTERGÖTLANDS LÄN</t>
        </is>
      </c>
      <c r="G792" t="inlineStr">
        <is>
          <t>NORRKÖPING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16696-2023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45030</v>
      </c>
      <c r="E793" s="1" t="n">
        <v>46280</v>
      </c>
      <c r="F793" t="inlineStr">
        <is>
          <t>ÖSTERGÖTLANDS LÄN</t>
        </is>
      </c>
      <c r="G793" t="inlineStr">
        <is>
          <t>NORRKÖPING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45030</v>
      </c>
      <c r="E794" s="1" t="n">
        <v>46280</v>
      </c>
      <c r="F794" t="inlineStr">
        <is>
          <t>ÖSTERGÖTLANDS LÄN</t>
        </is>
      </c>
      <c r="G794" t="inlineStr">
        <is>
          <t>NORRKÖPING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59520-2023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45254</v>
      </c>
      <c r="E795" s="1" t="n">
        <v>46280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BillerudKorsnäs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48091-2023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45205</v>
      </c>
      <c r="E796" s="1" t="n">
        <v>46280</v>
      </c>
      <c r="F796" t="inlineStr">
        <is>
          <t>ÖSTERGÖTLANDS LÄN</t>
        </is>
      </c>
      <c r="G796" t="inlineStr">
        <is>
          <t>NORRKÖPING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46738-2022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44851</v>
      </c>
      <c r="E797" s="1" t="n">
        <v>46280</v>
      </c>
      <c r="F797" t="inlineStr">
        <is>
          <t>ÖSTERGÖTLANDS LÄN</t>
        </is>
      </c>
      <c r="G797" t="inlineStr">
        <is>
          <t>NORRKÖPING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33446-2023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45129</v>
      </c>
      <c r="E798" s="1" t="n">
        <v>46280</v>
      </c>
      <c r="F798" t="inlineStr">
        <is>
          <t>ÖSTERGÖTLANDS LÄN</t>
        </is>
      </c>
      <c r="G798" t="inlineStr">
        <is>
          <t>NORRKÖPING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28663-2024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45478</v>
      </c>
      <c r="E799" s="1" t="n">
        <v>46280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4770-2023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44957</v>
      </c>
      <c r="E800" s="1" t="n">
        <v>46280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15640-2024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45403</v>
      </c>
      <c r="E801" s="1" t="n">
        <v>46280</v>
      </c>
      <c r="F801" t="inlineStr">
        <is>
          <t>ÖSTERGÖTLANDS LÄN</t>
        </is>
      </c>
      <c r="G801" t="inlineStr">
        <is>
          <t>NORRKÖPING</t>
        </is>
      </c>
      <c r="I801" t="n">
        <v>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16949-2023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45033</v>
      </c>
      <c r="E802" s="1" t="n">
        <v>46280</v>
      </c>
      <c r="F802" t="inlineStr">
        <is>
          <t>ÖSTERGÖTLANDS LÄN</t>
        </is>
      </c>
      <c r="G802" t="inlineStr">
        <is>
          <t>NORRKÖPING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48758-2024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45593</v>
      </c>
      <c r="E803" s="1" t="n">
        <v>46280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17714-2023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45037</v>
      </c>
      <c r="E804" s="1" t="n">
        <v>46280</v>
      </c>
      <c r="F804" t="inlineStr">
        <is>
          <t>ÖSTERGÖTLANDS LÄN</t>
        </is>
      </c>
      <c r="G804" t="inlineStr">
        <is>
          <t>NORRKÖPING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16689-2023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45030</v>
      </c>
      <c r="E805" s="1" t="n">
        <v>46280</v>
      </c>
      <c r="F805" t="inlineStr">
        <is>
          <t>ÖSTERGÖTLANDS LÄN</t>
        </is>
      </c>
      <c r="G805" t="inlineStr">
        <is>
          <t>NORRKÖPING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19114-2023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45048</v>
      </c>
      <c r="E806" s="1" t="n">
        <v>46280</v>
      </c>
      <c r="F806" t="inlineStr">
        <is>
          <t>ÖSTERGÖTLANDS LÄN</t>
        </is>
      </c>
      <c r="G806" t="inlineStr">
        <is>
          <t>NORRKÖPING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21093-2025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45777</v>
      </c>
      <c r="E807" s="1" t="n">
        <v>46280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21770-2025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45783</v>
      </c>
      <c r="E808" s="1" t="n">
        <v>46280</v>
      </c>
      <c r="F808" t="inlineStr">
        <is>
          <t>ÖSTERGÖTLANDS LÄN</t>
        </is>
      </c>
      <c r="G808" t="inlineStr">
        <is>
          <t>NORRKÖPING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21542-2025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45782</v>
      </c>
      <c r="E809" s="1" t="n">
        <v>46280</v>
      </c>
      <c r="F809" t="inlineStr">
        <is>
          <t>ÖSTERGÖTLANDS LÄN</t>
        </is>
      </c>
      <c r="G809" t="inlineStr">
        <is>
          <t>NORRKÖPING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1884-2025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45671</v>
      </c>
      <c r="E810" s="1" t="n">
        <v>46280</v>
      </c>
      <c r="F810" t="inlineStr">
        <is>
          <t>ÖSTERGÖTLANDS LÄN</t>
        </is>
      </c>
      <c r="G810" t="inlineStr">
        <is>
          <t>NORRKÖPING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21909-2025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45784</v>
      </c>
      <c r="E811" s="1" t="n">
        <v>46280</v>
      </c>
      <c r="F811" t="inlineStr">
        <is>
          <t>ÖSTERGÖTLANDS LÄN</t>
        </is>
      </c>
      <c r="G811" t="inlineStr">
        <is>
          <t>NORRKÖPING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21967-2025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45784</v>
      </c>
      <c r="E812" s="1" t="n">
        <v>46280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22439-2025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45786</v>
      </c>
      <c r="E813" s="1" t="n">
        <v>46280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Naturvårdsverket</t>
        </is>
      </c>
      <c r="I813" t="n">
        <v>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22307-2025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45786</v>
      </c>
      <c r="E814" s="1" t="n">
        <v>46280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421-2022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44565</v>
      </c>
      <c r="E815" s="1" t="n">
        <v>46280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Allmännings- och besparingsskogar</t>
        </is>
      </c>
      <c r="I815" t="n">
        <v>9.300000000000001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26398-2023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45092</v>
      </c>
      <c r="E816" s="1" t="n">
        <v>46280</v>
      </c>
      <c r="F816" t="inlineStr">
        <is>
          <t>ÖSTERGÖTLANDS LÄN</t>
        </is>
      </c>
      <c r="G816" t="inlineStr">
        <is>
          <t>NORRKÖPING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23366-2024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45453</v>
      </c>
      <c r="E817" s="1" t="n">
        <v>46280</v>
      </c>
      <c r="F817" t="inlineStr">
        <is>
          <t>ÖSTERGÖTLANDS LÄN</t>
        </is>
      </c>
      <c r="G817" t="inlineStr">
        <is>
          <t>NORRKÖPING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23368-2024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45453</v>
      </c>
      <c r="E818" s="1" t="n">
        <v>46280</v>
      </c>
      <c r="F818" t="inlineStr">
        <is>
          <t>ÖSTERGÖTLANDS LÄN</t>
        </is>
      </c>
      <c r="G818" t="inlineStr">
        <is>
          <t>NORRKÖPING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2288-2024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45310</v>
      </c>
      <c r="E819" s="1" t="n">
        <v>46280</v>
      </c>
      <c r="F819" t="inlineStr">
        <is>
          <t>ÖSTERGÖTLANDS LÄN</t>
        </is>
      </c>
      <c r="G819" t="inlineStr">
        <is>
          <t>NORRKÖPING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22881-2025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45790</v>
      </c>
      <c r="E820" s="1" t="n">
        <v>46280</v>
      </c>
      <c r="F820" t="inlineStr">
        <is>
          <t>ÖSTERGÖTLANDS LÄN</t>
        </is>
      </c>
      <c r="G820" t="inlineStr">
        <is>
          <t>NORRKÖPING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2289-2020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44130</v>
      </c>
      <c r="E821" s="1" t="n">
        <v>46280</v>
      </c>
      <c r="F821" t="inlineStr">
        <is>
          <t>ÖSTERGÖTLANDS LÄN</t>
        </is>
      </c>
      <c r="G821" t="inlineStr">
        <is>
          <t>NORRKÖPING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1519-2021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44313</v>
      </c>
      <c r="E822" s="1" t="n">
        <v>46280</v>
      </c>
      <c r="F822" t="inlineStr">
        <is>
          <t>ÖSTERGÖTLANDS LÄN</t>
        </is>
      </c>
      <c r="G822" t="inlineStr">
        <is>
          <t>NORRKÖPING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161-2021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44230</v>
      </c>
      <c r="E823" s="1" t="n">
        <v>46280</v>
      </c>
      <c r="F823" t="inlineStr">
        <is>
          <t>ÖSTERGÖTLANDS LÄN</t>
        </is>
      </c>
      <c r="G823" t="inlineStr">
        <is>
          <t>NORRKÖPING</t>
        </is>
      </c>
      <c r="I823" t="n">
        <v>0.3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211-2024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45316</v>
      </c>
      <c r="E824" s="1" t="n">
        <v>46280</v>
      </c>
      <c r="F824" t="inlineStr">
        <is>
          <t>ÖSTERGÖTLANDS LÄN</t>
        </is>
      </c>
      <c r="G824" t="inlineStr">
        <is>
          <t>NORRKÖPING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1484-2022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44638</v>
      </c>
      <c r="E825" s="1" t="n">
        <v>46280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1678-2022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44649</v>
      </c>
      <c r="E826" s="1" t="n">
        <v>46280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11.1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10364-2021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44551</v>
      </c>
      <c r="E827" s="1" t="n">
        <v>46280</v>
      </c>
      <c r="F827" t="inlineStr">
        <is>
          <t>ÖSTERGÖTLANDS LÄN</t>
        </is>
      </c>
      <c r="G827" t="inlineStr">
        <is>
          <t>NORRKÖPING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4973-2024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45629</v>
      </c>
      <c r="E828" s="1" t="n">
        <v>46280</v>
      </c>
      <c r="F828" t="inlineStr">
        <is>
          <t>ÖSTERGÖTLANDS LÄN</t>
        </is>
      </c>
      <c r="G828" t="inlineStr">
        <is>
          <t>NORRKÖPING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45571</v>
      </c>
      <c r="E829" s="1" t="n">
        <v>46280</v>
      </c>
      <c r="F829" t="inlineStr">
        <is>
          <t>ÖSTERGÖTLANDS LÄN</t>
        </is>
      </c>
      <c r="G829" t="inlineStr">
        <is>
          <t>NORRKÖPING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1663-2024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45432</v>
      </c>
      <c r="E830" s="1" t="n">
        <v>46280</v>
      </c>
      <c r="F830" t="inlineStr">
        <is>
          <t>ÖSTERGÖTLANDS LÄN</t>
        </is>
      </c>
      <c r="G830" t="inlineStr">
        <is>
          <t>NORRKÖPING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2481-2022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44692</v>
      </c>
      <c r="E831" s="1" t="n">
        <v>46280</v>
      </c>
      <c r="F831" t="inlineStr">
        <is>
          <t>ÖSTERGÖTLANDS LÄN</t>
        </is>
      </c>
      <c r="G831" t="inlineStr">
        <is>
          <t>NORRKÖPING</t>
        </is>
      </c>
      <c r="I831" t="n">
        <v>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4012-2024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45571</v>
      </c>
      <c r="E832" s="1" t="n">
        <v>46280</v>
      </c>
      <c r="F832" t="inlineStr">
        <is>
          <t>ÖSTERGÖTLANDS LÄN</t>
        </is>
      </c>
      <c r="G832" t="inlineStr">
        <is>
          <t>NORRKÖPING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1486-2025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45789</v>
      </c>
      <c r="E833" s="1" t="n">
        <v>46280</v>
      </c>
      <c r="F833" t="inlineStr">
        <is>
          <t>ÖSTERGÖTLANDS LÄN</t>
        </is>
      </c>
      <c r="G833" t="inlineStr">
        <is>
          <t>NORRKÖPING</t>
        </is>
      </c>
      <c r="I833" t="n">
        <v>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1433-2025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45784</v>
      </c>
      <c r="E834" s="1" t="n">
        <v>46280</v>
      </c>
      <c r="F834" t="inlineStr">
        <is>
          <t>ÖSTERGÖTLANDS LÄN</t>
        </is>
      </c>
      <c r="G834" t="inlineStr">
        <is>
          <t>NORRKÖPING</t>
        </is>
      </c>
      <c r="I834" t="n">
        <v>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2026-09-15T08:14:50Z</dcterms:created>
  <dcterms:modified xmlns:dcterms="http://purl.org/dc/terms/" xmlns:xsi="http://www.w3.org/2001/XMLSchema-instance" xsi:type="dcterms:W3CDTF">2026-09-15T08:14:51Z</dcterms:modified>
</cp:coreProperties>
</file>