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46316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38056-2026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46316</v>
      </c>
      <c r="F9" t="inlineStr">
        <is>
          <t>ÖSTERGÖTLANDS LÄN</t>
        </is>
      </c>
      <c r="G9" t="inlineStr">
        <is>
          <t>NORRKÖPING</t>
        </is>
      </c>
      <c r="I9" t="n">
        <v>20.8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28</v>
      </c>
      <c r="U9" t="n">
        <v>28</v>
      </c>
      <c r="V9" s="2" t="inlineStr">
        <is>
          <t>Knärot
Grönhjon
Motaggsvamp
Tallticka
Ullticka
Vedskivlav
Blåmossa
Bronshjon
Grovticka
Grönpyrola
Mindre märgborre
Spillkråka
Tofsmes</t>
        </is>
      </c>
      <c r="W9">
        <f>HYPERLINK("https://klasma.github.io/Logging_0581/artfynd/A 38056-2026 artfynd.xlsx", "A 38056-2026")</f>
        <v/>
      </c>
      <c r="X9">
        <f>HYPERLINK("https://klasma.github.io/Logging_0581/kartor/A 38056-2026 karta.png", "A 38056-2026")</f>
        <v/>
      </c>
      <c r="Y9">
        <f>HYPERLINK("https://klasma.github.io/Logging_0581/kartor_geotiff/A 38056-2026 georefererad karta.tif", "A 38056-2026")</f>
        <v/>
      </c>
      <c r="Z9">
        <f>HYPERLINK("https://klasma.github.io/Logging_0581/knärot/A 38056-2026 karta knärot.png", "A 38056-2026")</f>
        <v/>
      </c>
      <c r="AA9">
        <f>HYPERLINK("https://klasma.github.io/Logging_0581/klagomål/A 38056-2026 FSC-klagomål.docx", "A 38056-2026")</f>
        <v/>
      </c>
      <c r="AB9">
        <f>HYPERLINK("https://klasma.github.io/Logging_0581/klagomålsmail/A 38056-2026 FSC-klagomål mail.docx", "A 38056-2026")</f>
        <v/>
      </c>
      <c r="AC9">
        <f>HYPERLINK("https://klasma.github.io/Logging_0581/tillsyn/A 38056-2026 tillsynsbegäran.docx", "A 38056-2026")</f>
        <v/>
      </c>
      <c r="AD9">
        <f>HYPERLINK("https://klasma.github.io/Logging_0581/tillsynsmail/A 38056-2026 tillsynsbegäran mail.docx", "A 38056-2026")</f>
        <v/>
      </c>
      <c r="AE9">
        <f>HYPERLINK("https://klasma.github.io/Logging_0581/fåglar/A 38056-2026 prioriterade fågelarter.docx", "A 38056-2026")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46316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46316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46316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46316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46316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46316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46316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46316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46316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21520-2024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45441</v>
      </c>
      <c r="E23" s="1" t="n">
        <v>46316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7.2</v>
      </c>
      <c r="J23" t="n">
        <v>1</v>
      </c>
      <c r="K23" t="n">
        <v>3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8</v>
      </c>
      <c r="T23" t="n">
        <v>9</v>
      </c>
      <c r="U23" t="n">
        <v>9</v>
      </c>
      <c r="V23" s="2" t="inlineStr">
        <is>
          <t>Dvärgbägarlav
Gransotdyna
Ullticka
Vedskivlav
Blodticka
Blåmossa
Grönpyrola
Kopparödla</t>
        </is>
      </c>
      <c r="W23">
        <f>HYPERLINK("https://klasma.github.io/Logging_0581/artfynd/A 21520-2024 artfynd.xlsx", "A 21520-2024")</f>
        <v/>
      </c>
      <c r="X23">
        <f>HYPERLINK("https://klasma.github.io/Logging_0581/kartor/A 21520-2024 karta.png", "A 21520-2024")</f>
        <v/>
      </c>
      <c r="Y23">
        <f>HYPERLINK("https://klasma.github.io/Logging_0581/kartor_geotiff/A 21520-2024 georefererad karta.tif", "A 21520-2024")</f>
        <v/>
      </c>
      <c r="AA23">
        <f>HYPERLINK("https://klasma.github.io/Logging_0581/klagomål/A 21520-2024 FSC-klagomål.docx", "A 21520-2024")</f>
        <v/>
      </c>
      <c r="AB23">
        <f>HYPERLINK("https://klasma.github.io/Logging_0581/klagomålsmail/A 21520-2024 FSC-klagomål mail.docx", "A 21520-2024")</f>
        <v/>
      </c>
      <c r="AC23">
        <f>HYPERLINK("https://klasma.github.io/Logging_0581/tillsyn/A 21520-2024 tillsynsbegäran.docx", "A 21520-2024")</f>
        <v/>
      </c>
      <c r="AD23">
        <f>HYPERLINK("https://klasma.github.io/Logging_0581/tillsynsmail/A 21520-2024 tillsynsbegäran mail.docx", "A 21520-2024")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46316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46316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46316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3815-2026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46316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Kommuner</t>
        </is>
      </c>
      <c r="I32" t="n">
        <v>1.1</v>
      </c>
      <c r="J32" t="n">
        <v>5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3</v>
      </c>
      <c r="V32" s="2" t="inlineStr">
        <is>
          <t>Grönfink
Entita
Stjärtmes
Tofsmes
Kungsfågel</t>
        </is>
      </c>
      <c r="W32">
        <f>HYPERLINK("https://klasma.github.io/Logging_0581/artfynd/A 3815-2026 artfynd.xlsx", "A 3815-2026")</f>
        <v/>
      </c>
      <c r="X32">
        <f>HYPERLINK("https://klasma.github.io/Logging_0581/kartor/A 3815-2026 karta.png", "A 3815-2026")</f>
        <v/>
      </c>
      <c r="Y32">
        <f>HYPERLINK("https://klasma.github.io/Logging_0581/kartor_geotiff/A 3815-2026 georefererad karta.tif", "A 3815-2026")</f>
        <v/>
      </c>
      <c r="AA32">
        <f>HYPERLINK("https://klasma.github.io/Logging_0581/klagomål/A 3815-2026 FSC-klagomål.docx", "A 3815-2026")</f>
        <v/>
      </c>
      <c r="AB32">
        <f>HYPERLINK("https://klasma.github.io/Logging_0581/klagomålsmail/A 3815-2026 FSC-klagomål mail.docx", "A 3815-2026")</f>
        <v/>
      </c>
      <c r="AC32">
        <f>HYPERLINK("https://klasma.github.io/Logging_0581/tillsyn/A 3815-2026 tillsynsbegäran.docx", "A 3815-2026")</f>
        <v/>
      </c>
      <c r="AD32">
        <f>HYPERLINK("https://klasma.github.io/Logging_0581/tillsynsmail/A 3815-2026 tillsynsbegäran mail.docx", "A 3815-2026")</f>
        <v/>
      </c>
      <c r="AE32">
        <f>HYPERLINK("https://klasma.github.io/Logging_0581/fåglar/A 3815-2026 prioriterade fågelarter.docx", "A 3815-2026")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46316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44620-2025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46316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0.6</v>
      </c>
      <c r="J34" t="n">
        <v>1</v>
      </c>
      <c r="K34" t="n">
        <v>3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7</v>
      </c>
      <c r="U34" t="n">
        <v>7</v>
      </c>
      <c r="V34" s="2" t="inlineStr">
        <is>
          <t>Knärot
Tallticka
Bronshjon
Flagellkvastmossa
Stubbspretmossa</t>
        </is>
      </c>
      <c r="W34">
        <f>HYPERLINK("https://klasma.github.io/Logging_0581/artfynd/A 44620-2025 artfynd.xlsx", "A 44620-2025")</f>
        <v/>
      </c>
      <c r="X34">
        <f>HYPERLINK("https://klasma.github.io/Logging_0581/kartor/A 44620-2025 karta.png", "A 44620-2025")</f>
        <v/>
      </c>
      <c r="Y34">
        <f>HYPERLINK("https://klasma.github.io/Logging_0581/kartor_geotiff/A 44620-2025 georefererad karta.tif", "A 44620-2025")</f>
        <v/>
      </c>
      <c r="Z34">
        <f>HYPERLINK("https://klasma.github.io/Logging_0581/knärot/A 44620-2025 karta knärot.png", "A 44620-2025")</f>
        <v/>
      </c>
      <c r="AA34">
        <f>HYPERLINK("https://klasma.github.io/Logging_0581/klagomål/A 44620-2025 FSC-klagomål.docx", "A 44620-2025")</f>
        <v/>
      </c>
      <c r="AB34">
        <f>HYPERLINK("https://klasma.github.io/Logging_0581/klagomålsmail/A 44620-2025 FSC-klagomål mail.docx", "A 44620-2025")</f>
        <v/>
      </c>
      <c r="AC34">
        <f>HYPERLINK("https://klasma.github.io/Logging_0581/tillsyn/A 44620-2025 tillsynsbegäran.docx", "A 44620-2025")</f>
        <v/>
      </c>
      <c r="AD34">
        <f>HYPERLINK("https://klasma.github.io/Logging_0581/tillsynsmail/A 44620-2025 tillsynsbegäran mail.docx", "A 44620-2025")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46316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46316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30829-2026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46212</v>
      </c>
      <c r="E37" s="1" t="n">
        <v>46316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11</v>
      </c>
      <c r="U37" t="n">
        <v>9</v>
      </c>
      <c r="V37" s="2" t="inlineStr">
        <is>
          <t>Björksplintborre
Kornknutmossa
Stor aspticka
Spillkråka
Fläcknycklar</t>
        </is>
      </c>
      <c r="W37">
        <f>HYPERLINK("https://klasma.github.io/Logging_0581/artfynd/A 30829-2026 artfynd.xlsx", "A 30829-2026")</f>
        <v/>
      </c>
      <c r="X37">
        <f>HYPERLINK("https://klasma.github.io/Logging_0581/kartor/A 30829-2026 karta.png", "A 30829-2026")</f>
        <v/>
      </c>
      <c r="Y37">
        <f>HYPERLINK("https://klasma.github.io/Logging_0581/kartor_geotiff/A 30829-2026 georefererad karta.tif", "A 30829-2026")</f>
        <v/>
      </c>
      <c r="AA37">
        <f>HYPERLINK("https://klasma.github.io/Logging_0581/klagomål/A 30829-2026 FSC-klagomål.docx", "A 30829-2026")</f>
        <v/>
      </c>
      <c r="AB37">
        <f>HYPERLINK("https://klasma.github.io/Logging_0581/klagomålsmail/A 30829-2026 FSC-klagomål mail.docx", "A 30829-2026")</f>
        <v/>
      </c>
      <c r="AC37">
        <f>HYPERLINK("https://klasma.github.io/Logging_0581/tillsyn/A 30829-2026 tillsynsbegäran.docx", "A 30829-2026")</f>
        <v/>
      </c>
      <c r="AD37">
        <f>HYPERLINK("https://klasma.github.io/Logging_0581/tillsynsmail/A 30829-2026 tillsynsbegäran mail.docx", "A 30829-2026")</f>
        <v/>
      </c>
      <c r="AE37">
        <f>HYPERLINK("https://klasma.github.io/Logging_0581/fåglar/A 30829-2026 prioriterade fågelarter.docx", "A 30829-2026")</f>
        <v/>
      </c>
    </row>
    <row r="38" ht="15" customHeight="1">
      <c r="A38" t="inlineStr">
        <is>
          <t>A 19113-2023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46316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2.6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6</v>
      </c>
      <c r="U38" t="n">
        <v>3</v>
      </c>
      <c r="V38" s="2" t="inlineStr">
        <is>
          <t>Tofsmes
Fläcknycklar
Grönvit nattviol
Revlummer
Äkta lopplummer</t>
        </is>
      </c>
      <c r="W38">
        <f>HYPERLINK("https://klasma.github.io/Logging_0581/artfynd/A 19113-2023 artfynd.xlsx", "A 19113-2023")</f>
        <v/>
      </c>
      <c r="X38">
        <f>HYPERLINK("https://klasma.github.io/Logging_0581/kartor/A 19113-2023 karta.png", "A 19113-2023")</f>
        <v/>
      </c>
      <c r="Y38">
        <f>HYPERLINK("https://klasma.github.io/Logging_0581/kartor_geotiff/A 19113-2023 georefererad karta.tif", "A 19113-2023")</f>
        <v/>
      </c>
      <c r="AA38">
        <f>HYPERLINK("https://klasma.github.io/Logging_0581/klagomål/A 19113-2023 FSC-klagomål.docx", "A 19113-2023")</f>
        <v/>
      </c>
      <c r="AB38">
        <f>HYPERLINK("https://klasma.github.io/Logging_0581/klagomålsmail/A 19113-2023 FSC-klagomål mail.docx", "A 19113-2023")</f>
        <v/>
      </c>
      <c r="AC38">
        <f>HYPERLINK("https://klasma.github.io/Logging_0581/tillsyn/A 19113-2023 tillsynsbegäran.docx", "A 19113-2023")</f>
        <v/>
      </c>
      <c r="AD38">
        <f>HYPERLINK("https://klasma.github.io/Logging_0581/tillsynsmail/A 19113-2023 tillsynsbegäran mail.docx", "A 19113-2023")</f>
        <v/>
      </c>
    </row>
    <row r="39" ht="15" customHeight="1">
      <c r="A39" t="inlineStr">
        <is>
          <t>A 5941-2024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45336</v>
      </c>
      <c r="E39" s="1" t="n">
        <v>46316</v>
      </c>
      <c r="F39" t="inlineStr">
        <is>
          <t>ÖSTERGÖTLANDS LÄN</t>
        </is>
      </c>
      <c r="G39" t="inlineStr">
        <is>
          <t>NORRKÖPING</t>
        </is>
      </c>
      <c r="I39" t="n">
        <v>5.1</v>
      </c>
      <c r="J39" t="n">
        <v>4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Nordfladdermus
Slåtterfibbla
Dvärgpipistrell
Större brunfladdermus</t>
        </is>
      </c>
      <c r="W39">
        <f>HYPERLINK("https://klasma.github.io/Logging_0581/artfynd/A 5941-2024 artfynd.xlsx", "A 5941-2024")</f>
        <v/>
      </c>
      <c r="X39">
        <f>HYPERLINK("https://klasma.github.io/Logging_0581/kartor/A 5941-2024 karta.png", "A 5941-2024")</f>
        <v/>
      </c>
      <c r="Y39">
        <f>HYPERLINK("https://klasma.github.io/Logging_0581/kartor_geotiff/A 5941-2024 georefererad karta.tif", "A 5941-2024")</f>
        <v/>
      </c>
      <c r="AA39">
        <f>HYPERLINK("https://klasma.github.io/Logging_0581/klagomål/A 5941-2024 FSC-klagomål.docx", "A 5941-2024")</f>
        <v/>
      </c>
      <c r="AB39">
        <f>HYPERLINK("https://klasma.github.io/Logging_0581/klagomålsmail/A 5941-2024 FSC-klagomål mail.docx", "A 5941-2024")</f>
        <v/>
      </c>
      <c r="AC39">
        <f>HYPERLINK("https://klasma.github.io/Logging_0581/tillsyn/A 5941-2024 tillsynsbegäran.docx", "A 5941-2024")</f>
        <v/>
      </c>
      <c r="AD39">
        <f>HYPERLINK("https://klasma.github.io/Logging_0581/tillsynsmail/A 5941-2024 tillsynsbegäran mail.docx", "A 5941-2024")</f>
        <v/>
      </c>
      <c r="AE39">
        <f>HYPERLINK("https://klasma.github.io/Logging_0581/fåglar/A 5941-2024 prioriterade fågelarter.docx", "A 5941-2024")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46316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46316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46316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46316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46316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46316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11741-2024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46316</v>
      </c>
      <c r="F46" t="inlineStr">
        <is>
          <t>ÖSTERGÖTLANDS LÄN</t>
        </is>
      </c>
      <c r="G46" t="inlineStr">
        <is>
          <t>NORRKÖPING</t>
        </is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4</v>
      </c>
      <c r="U46" t="n">
        <v>2</v>
      </c>
      <c r="V46" s="2" t="inlineStr">
        <is>
          <t>Aspfjädermossa
Ullticka
Vedtrappmossa
Grön sköldmossa</t>
        </is>
      </c>
      <c r="W46">
        <f>HYPERLINK("https://klasma.github.io/Logging_0581/artfynd/A 11741-2024 artfynd.xlsx", "A 11741-2024")</f>
        <v/>
      </c>
      <c r="X46">
        <f>HYPERLINK("https://klasma.github.io/Logging_0581/kartor/A 11741-2024 karta.png", "A 11741-2024")</f>
        <v/>
      </c>
      <c r="Y46">
        <f>HYPERLINK("https://klasma.github.io/Logging_0581/kartor_geotiff/A 11741-2024 georefererad karta.tif", "A 11741-2024")</f>
        <v/>
      </c>
      <c r="AA46">
        <f>HYPERLINK("https://klasma.github.io/Logging_0581/klagomål/A 11741-2024 FSC-klagomål.docx", "A 11741-2024")</f>
        <v/>
      </c>
      <c r="AB46">
        <f>HYPERLINK("https://klasma.github.io/Logging_0581/klagomålsmail/A 11741-2024 FSC-klagomål mail.docx", "A 11741-2024")</f>
        <v/>
      </c>
      <c r="AC46">
        <f>HYPERLINK("https://klasma.github.io/Logging_0581/tillsyn/A 11741-2024 tillsynsbegäran.docx", "A 11741-2024")</f>
        <v/>
      </c>
      <c r="AD46">
        <f>HYPERLINK("https://klasma.github.io/Logging_0581/tillsynsmail/A 11741-2024 tillsynsbegäran mail.docx", "A 11741-2024")</f>
        <v/>
      </c>
    </row>
    <row r="47" ht="15" customHeight="1">
      <c r="A47" t="inlineStr">
        <is>
          <t>A 18491-2023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45042</v>
      </c>
      <c r="E47" s="1" t="n">
        <v>46316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7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4</v>
      </c>
      <c r="V47" s="2" t="inlineStr">
        <is>
          <t>Citronporing
Kandelabersvamp
Vit vedfingersvamp
Tibast</t>
        </is>
      </c>
      <c r="W47">
        <f>HYPERLINK("https://klasma.github.io/Logging_0581/artfynd/A 18491-2023 artfynd.xlsx", "A 18491-2023")</f>
        <v/>
      </c>
      <c r="X47">
        <f>HYPERLINK("https://klasma.github.io/Logging_0581/kartor/A 18491-2023 karta.png", "A 18491-2023")</f>
        <v/>
      </c>
      <c r="Y47">
        <f>HYPERLINK("https://klasma.github.io/Logging_0581/kartor_geotiff/A 18491-2023 georefererad karta.tif", "A 18491-2023")</f>
        <v/>
      </c>
      <c r="AA47">
        <f>HYPERLINK("https://klasma.github.io/Logging_0581/klagomål/A 18491-2023 FSC-klagomål.docx", "A 18491-2023")</f>
        <v/>
      </c>
      <c r="AB47">
        <f>HYPERLINK("https://klasma.github.io/Logging_0581/klagomålsmail/A 18491-2023 FSC-klagomål mail.docx", "A 18491-2023")</f>
        <v/>
      </c>
      <c r="AC47">
        <f>HYPERLINK("https://klasma.github.io/Logging_0581/tillsyn/A 18491-2023 tillsynsbegäran.docx", "A 18491-2023")</f>
        <v/>
      </c>
      <c r="AD47">
        <f>HYPERLINK("https://klasma.github.io/Logging_0581/tillsynsmail/A 18491-2023 tillsynsbegäran mail.docx", "A 18491-2023")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46316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46316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36581-2026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46269</v>
      </c>
      <c r="E51" s="1" t="n">
        <v>46316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Mindre hackspett
Barkticka
Fällmossa
Blåsippa</t>
        </is>
      </c>
      <c r="W51">
        <f>HYPERLINK("https://klasma.github.io/Logging_0581/artfynd/A 36581-2026 artfynd.xlsx", "A 36581-2026")</f>
        <v/>
      </c>
      <c r="X51">
        <f>HYPERLINK("https://klasma.github.io/Logging_0581/kartor/A 36581-2026 karta.png", "A 36581-2026")</f>
        <v/>
      </c>
      <c r="Y51">
        <f>HYPERLINK("https://klasma.github.io/Logging_0581/kartor_geotiff/A 36581-2026 georefererad karta.tif", "A 36581-2026")</f>
        <v/>
      </c>
      <c r="AA51">
        <f>HYPERLINK("https://klasma.github.io/Logging_0581/klagomål/A 36581-2026 FSC-klagomål.docx", "A 36581-2026")</f>
        <v/>
      </c>
      <c r="AB51">
        <f>HYPERLINK("https://klasma.github.io/Logging_0581/klagomålsmail/A 36581-2026 FSC-klagomål mail.docx", "A 36581-2026")</f>
        <v/>
      </c>
      <c r="AC51">
        <f>HYPERLINK("https://klasma.github.io/Logging_0581/tillsyn/A 36581-2026 tillsynsbegäran.docx", "A 36581-2026")</f>
        <v/>
      </c>
      <c r="AD51">
        <f>HYPERLINK("https://klasma.github.io/Logging_0581/tillsynsmail/A 36581-2026 tillsynsbegäran mail.docx", "A 36581-2026")</f>
        <v/>
      </c>
      <c r="AE51">
        <f>HYPERLINK("https://klasma.github.io/Logging_0581/fåglar/A 36581-2026 prioriterade fågelarter.docx", "A 36581-2026")</f>
        <v/>
      </c>
    </row>
    <row r="52" ht="15" customHeight="1">
      <c r="A52" t="inlineStr">
        <is>
          <t>A 51538-2024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46316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1.6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9</v>
      </c>
      <c r="U52" t="n">
        <v>9</v>
      </c>
      <c r="V52" s="2" t="inlineStr">
        <is>
          <t>Bårdlav
Fällmossa
Hasselticka
Blåsippa</t>
        </is>
      </c>
      <c r="W52">
        <f>HYPERLINK("https://klasma.github.io/Logging_0581/artfynd/A 51538-2024 artfynd.xlsx", "A 51538-2024")</f>
        <v/>
      </c>
      <c r="X52">
        <f>HYPERLINK("https://klasma.github.io/Logging_0581/kartor/A 51538-2024 karta.png", "A 51538-2024")</f>
        <v/>
      </c>
      <c r="Y52">
        <f>HYPERLINK("https://klasma.github.io/Logging_0581/kartor_geotiff/A 51538-2024 georefererad karta.tif", "A 51538-2024")</f>
        <v/>
      </c>
      <c r="AA52">
        <f>HYPERLINK("https://klasma.github.io/Logging_0581/klagomål/A 51538-2024 FSC-klagomål.docx", "A 51538-2024")</f>
        <v/>
      </c>
      <c r="AB52">
        <f>HYPERLINK("https://klasma.github.io/Logging_0581/klagomålsmail/A 51538-2024 FSC-klagomål mail.docx", "A 51538-2024")</f>
        <v/>
      </c>
      <c r="AC52">
        <f>HYPERLINK("https://klasma.github.io/Logging_0581/tillsyn/A 51538-2024 tillsynsbegäran.docx", "A 51538-2024")</f>
        <v/>
      </c>
      <c r="AD52">
        <f>HYPERLINK("https://klasma.github.io/Logging_0581/tillsynsmail/A 51538-2024 tillsynsbegäran mail.docx", "A 51538-2024")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46316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12692-2025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46316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6.1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2</v>
      </c>
      <c r="V54" s="2" t="inlineStr">
        <is>
          <t>Dvärgbägarlav
Vedskivlav
Mattlummer</t>
        </is>
      </c>
      <c r="W54">
        <f>HYPERLINK("https://klasma.github.io/Logging_0581/artfynd/A 12692-2025 artfynd.xlsx", "A 12692-2025")</f>
        <v/>
      </c>
      <c r="X54">
        <f>HYPERLINK("https://klasma.github.io/Logging_0581/kartor/A 12692-2025 karta.png", "A 12692-2025")</f>
        <v/>
      </c>
      <c r="Y54">
        <f>HYPERLINK("https://klasma.github.io/Logging_0581/kartor_geotiff/A 12692-2025 georefererad karta.tif", "A 12692-2025")</f>
        <v/>
      </c>
      <c r="AA54">
        <f>HYPERLINK("https://klasma.github.io/Logging_0581/klagomål/A 12692-2025 FSC-klagomål.docx", "A 12692-2025")</f>
        <v/>
      </c>
      <c r="AB54">
        <f>HYPERLINK("https://klasma.github.io/Logging_0581/klagomålsmail/A 12692-2025 FSC-klagomål mail.docx", "A 12692-2025")</f>
        <v/>
      </c>
      <c r="AC54">
        <f>HYPERLINK("https://klasma.github.io/Logging_0581/tillsyn/A 12692-2025 tillsynsbegäran.docx", "A 12692-2025")</f>
        <v/>
      </c>
      <c r="AD54">
        <f>HYPERLINK("https://klasma.github.io/Logging_0581/tillsynsmail/A 12692-2025 tillsynsbegäran mail.docx", "A 12692-2025")</f>
        <v/>
      </c>
    </row>
    <row r="55" ht="15" customHeight="1">
      <c r="A55" t="inlineStr">
        <is>
          <t>A 23969-2025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46316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Crepis tectorum subsp. tectorum
Grönsångare
Tallticka</t>
        </is>
      </c>
      <c r="W55">
        <f>HYPERLINK("https://klasma.github.io/Logging_0581/artfynd/A 23969-2025 artfynd.xlsx", "A 23969-2025")</f>
        <v/>
      </c>
      <c r="X55">
        <f>HYPERLINK("https://klasma.github.io/Logging_0581/kartor/A 23969-2025 karta.png", "A 23969-2025")</f>
        <v/>
      </c>
      <c r="Y55">
        <f>HYPERLINK("https://klasma.github.io/Logging_0581/kartor_geotiff/A 23969-2025 georefererad karta.tif", "A 23969-2025")</f>
        <v/>
      </c>
      <c r="AA55">
        <f>HYPERLINK("https://klasma.github.io/Logging_0581/klagomål/A 23969-2025 FSC-klagomål.docx", "A 23969-2025")</f>
        <v/>
      </c>
      <c r="AB55">
        <f>HYPERLINK("https://klasma.github.io/Logging_0581/klagomålsmail/A 23969-2025 FSC-klagomål mail.docx", "A 23969-2025")</f>
        <v/>
      </c>
      <c r="AC55">
        <f>HYPERLINK("https://klasma.github.io/Logging_0581/tillsyn/A 23969-2025 tillsynsbegäran.docx", "A 23969-2025")</f>
        <v/>
      </c>
      <c r="AD55">
        <f>HYPERLINK("https://klasma.github.io/Logging_0581/tillsynsmail/A 23969-2025 tillsynsbegäran mail.docx", "A 23969-2025")</f>
        <v/>
      </c>
      <c r="AE55">
        <f>HYPERLINK("https://klasma.github.io/Logging_0581/fåglar/A 23969-2025 prioriterade fågelarter.docx", "A 23969-2025")</f>
        <v/>
      </c>
    </row>
    <row r="56" ht="15" customHeight="1">
      <c r="A56" t="inlineStr">
        <is>
          <t>A 34439-2023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46316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3.5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Grönpyrola
Plattlummer
Äkta lopplummer</t>
        </is>
      </c>
      <c r="W56">
        <f>HYPERLINK("https://klasma.github.io/Logging_0581/artfynd/A 34439-2023 artfynd.xlsx", "A 34439-2023")</f>
        <v/>
      </c>
      <c r="X56">
        <f>HYPERLINK("https://klasma.github.io/Logging_0581/kartor/A 34439-2023 karta.png", "A 34439-2023")</f>
        <v/>
      </c>
      <c r="Y56">
        <f>HYPERLINK("https://klasma.github.io/Logging_0581/kartor_geotiff/A 34439-2023 georefererad karta.tif", "A 34439-2023")</f>
        <v/>
      </c>
      <c r="Z56">
        <f>HYPERLINK("https://klasma.github.io/Logging_0581/knärot/A 34439-2023 karta knärot.png", "A 34439-2023")</f>
        <v/>
      </c>
      <c r="AA56">
        <f>HYPERLINK("https://klasma.github.io/Logging_0581/klagomål/A 34439-2023 FSC-klagomål.docx", "A 34439-2023")</f>
        <v/>
      </c>
      <c r="AB56">
        <f>HYPERLINK("https://klasma.github.io/Logging_0581/klagomålsmail/A 34439-2023 FSC-klagomål mail.docx", "A 34439-2023")</f>
        <v/>
      </c>
      <c r="AC56">
        <f>HYPERLINK("https://klasma.github.io/Logging_0581/tillsyn/A 34439-2023 tillsynsbegäran.docx", "A 34439-2023")</f>
        <v/>
      </c>
      <c r="AD56">
        <f>HYPERLINK("https://klasma.github.io/Logging_0581/tillsynsmail/A 34439-2023 tillsynsbegäran mail.docx", "A 34439-2023")</f>
        <v/>
      </c>
    </row>
    <row r="57" ht="15" customHeight="1">
      <c r="A57" t="inlineStr">
        <is>
          <t>A 2484-2026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46316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0.6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Dropptaggsvamp
Dvärgbägarlav
Bronshjon</t>
        </is>
      </c>
      <c r="W57">
        <f>HYPERLINK("https://klasma.github.io/Logging_0581/artfynd/A 2484-2026 artfynd.xlsx", "A 2484-2026")</f>
        <v/>
      </c>
      <c r="X57">
        <f>HYPERLINK("https://klasma.github.io/Logging_0581/kartor/A 2484-2026 karta.png", "A 2484-2026")</f>
        <v/>
      </c>
      <c r="Y57">
        <f>HYPERLINK("https://klasma.github.io/Logging_0581/kartor_geotiff/A 2484-2026 georefererad karta.tif", "A 2484-2026")</f>
        <v/>
      </c>
      <c r="AA57">
        <f>HYPERLINK("https://klasma.github.io/Logging_0581/klagomål/A 2484-2026 FSC-klagomål.docx", "A 2484-2026")</f>
        <v/>
      </c>
      <c r="AB57">
        <f>HYPERLINK("https://klasma.github.io/Logging_0581/klagomålsmail/A 2484-2026 FSC-klagomål mail.docx", "A 2484-2026")</f>
        <v/>
      </c>
      <c r="AC57">
        <f>HYPERLINK("https://klasma.github.io/Logging_0581/tillsyn/A 2484-2026 tillsynsbegäran.docx", "A 2484-2026")</f>
        <v/>
      </c>
      <c r="AD57">
        <f>HYPERLINK("https://klasma.github.io/Logging_0581/tillsynsmail/A 2484-2026 tillsynsbegäran mail.docx", "A 2484-2026")</f>
        <v/>
      </c>
    </row>
    <row r="58" ht="15" customHeight="1">
      <c r="A58" t="inlineStr">
        <is>
          <t>A 44677-2025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46316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Motaggsvamp
Vedskivlav
Fällmossa</t>
        </is>
      </c>
      <c r="W58">
        <f>HYPERLINK("https://klasma.github.io/Logging_0581/artfynd/A 44677-2025 artfynd.xlsx", "A 44677-2025")</f>
        <v/>
      </c>
      <c r="X58">
        <f>HYPERLINK("https://klasma.github.io/Logging_0581/kartor/A 44677-2025 karta.png", "A 44677-2025")</f>
        <v/>
      </c>
      <c r="Y58">
        <f>HYPERLINK("https://klasma.github.io/Logging_0581/kartor_geotiff/A 44677-2025 georefererad karta.tif", "A 44677-2025")</f>
        <v/>
      </c>
      <c r="AA58">
        <f>HYPERLINK("https://klasma.github.io/Logging_0581/klagomål/A 44677-2025 FSC-klagomål.docx", "A 44677-2025")</f>
        <v/>
      </c>
      <c r="AB58">
        <f>HYPERLINK("https://klasma.github.io/Logging_0581/klagomålsmail/A 44677-2025 FSC-klagomål mail.docx", "A 44677-2025")</f>
        <v/>
      </c>
      <c r="AC58">
        <f>HYPERLINK("https://klasma.github.io/Logging_0581/tillsyn/A 44677-2025 tillsynsbegäran.docx", "A 44677-2025")</f>
        <v/>
      </c>
      <c r="AD58">
        <f>HYPERLINK("https://klasma.github.io/Logging_0581/tillsynsmail/A 44677-2025 tillsynsbegäran mail.docx", "A 44677-2025")</f>
        <v/>
      </c>
    </row>
    <row r="59" ht="15" customHeight="1">
      <c r="A59" t="inlineStr">
        <is>
          <t>A 19806-2026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46135</v>
      </c>
      <c r="E59" s="1" t="n">
        <v>46316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7.7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Blåmossa
Kungsfågel</t>
        </is>
      </c>
      <c r="W59">
        <f>HYPERLINK("https://klasma.github.io/Logging_0581/artfynd/A 19806-2026 artfynd.xlsx", "A 19806-2026")</f>
        <v/>
      </c>
      <c r="X59">
        <f>HYPERLINK("https://klasma.github.io/Logging_0581/kartor/A 19806-2026 karta.png", "A 19806-2026")</f>
        <v/>
      </c>
      <c r="Y59">
        <f>HYPERLINK("https://klasma.github.io/Logging_0581/kartor_geotiff/A 19806-2026 georefererad karta.tif", "A 19806-2026")</f>
        <v/>
      </c>
      <c r="AA59">
        <f>HYPERLINK("https://klasma.github.io/Logging_0581/klagomål/A 19806-2026 FSC-klagomål.docx", "A 19806-2026")</f>
        <v/>
      </c>
      <c r="AB59">
        <f>HYPERLINK("https://klasma.github.io/Logging_0581/klagomålsmail/A 19806-2026 FSC-klagomål mail.docx", "A 19806-2026")</f>
        <v/>
      </c>
      <c r="AC59">
        <f>HYPERLINK("https://klasma.github.io/Logging_0581/tillsyn/A 19806-2026 tillsynsbegäran.docx", "A 19806-2026")</f>
        <v/>
      </c>
      <c r="AD59">
        <f>HYPERLINK("https://klasma.github.io/Logging_0581/tillsynsmail/A 19806-2026 tillsynsbegäran mail.docx", "A 19806-2026")</f>
        <v/>
      </c>
    </row>
    <row r="60" ht="15" customHeight="1">
      <c r="A60" t="inlineStr">
        <is>
          <t>A 35736-2025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46316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11.5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Vedskivlav
Tjäder</t>
        </is>
      </c>
      <c r="W60">
        <f>HYPERLINK("https://klasma.github.io/Logging_0581/artfynd/A 35736-2025 artfynd.xlsx", "A 35736-2025")</f>
        <v/>
      </c>
      <c r="X60">
        <f>HYPERLINK("https://klasma.github.io/Logging_0581/kartor/A 35736-2025 karta.png", "A 35736-2025")</f>
        <v/>
      </c>
      <c r="Y60">
        <f>HYPERLINK("https://klasma.github.io/Logging_0581/kartor_geotiff/A 35736-2025 georefererad karta.tif", "A 35736-2025")</f>
        <v/>
      </c>
      <c r="AA60">
        <f>HYPERLINK("https://klasma.github.io/Logging_0581/klagomål/A 35736-2025 FSC-klagomål.docx", "A 35736-2025")</f>
        <v/>
      </c>
      <c r="AB60">
        <f>HYPERLINK("https://klasma.github.io/Logging_0581/klagomålsmail/A 35736-2025 FSC-klagomål mail.docx", "A 35736-2025")</f>
        <v/>
      </c>
      <c r="AC60">
        <f>HYPERLINK("https://klasma.github.io/Logging_0581/tillsyn/A 35736-2025 tillsynsbegäran.docx", "A 35736-2025")</f>
        <v/>
      </c>
      <c r="AD60">
        <f>HYPERLINK("https://klasma.github.io/Logging_0581/tillsynsmail/A 35736-2025 tillsynsbegäran mail.docx", "A 35736-2025")</f>
        <v/>
      </c>
      <c r="AE60">
        <f>HYPERLINK("https://klasma.github.io/Logging_0581/fåglar/A 35736-2025 prioriterade fågelarter.docx", "A 35736-2025")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46316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861-2023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44931</v>
      </c>
      <c r="E62" s="1" t="n">
        <v>46316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Kommuner</t>
        </is>
      </c>
      <c r="I62" t="n">
        <v>4.4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Nordfladdermus
Dvärgpipistrell
Vattenfladdermus</t>
        </is>
      </c>
      <c r="W62">
        <f>HYPERLINK("https://klasma.github.io/Logging_0581/artfynd/A 861-2023 artfynd.xlsx", "A 861-2023")</f>
        <v/>
      </c>
      <c r="X62">
        <f>HYPERLINK("https://klasma.github.io/Logging_0581/kartor/A 861-2023 karta.png", "A 861-2023")</f>
        <v/>
      </c>
      <c r="Y62">
        <f>HYPERLINK("https://klasma.github.io/Logging_0581/kartor_geotiff/A 861-2023 georefererad karta.tif", "A 861-2023")</f>
        <v/>
      </c>
      <c r="AA62">
        <f>HYPERLINK("https://klasma.github.io/Logging_0581/klagomål/A 861-2023 FSC-klagomål.docx", "A 861-2023")</f>
        <v/>
      </c>
      <c r="AB62">
        <f>HYPERLINK("https://klasma.github.io/Logging_0581/klagomålsmail/A 861-2023 FSC-klagomål mail.docx", "A 861-2023")</f>
        <v/>
      </c>
      <c r="AC62">
        <f>HYPERLINK("https://klasma.github.io/Logging_0581/tillsyn/A 861-2023 tillsynsbegäran.docx", "A 861-2023")</f>
        <v/>
      </c>
      <c r="AD62">
        <f>HYPERLINK("https://klasma.github.io/Logging_0581/tillsynsmail/A 861-2023 tillsynsbegäran mail.docx", "A 861-2023")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46316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7316-2025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46316</v>
      </c>
      <c r="F64" t="inlineStr">
        <is>
          <t>ÖSTERGÖTLANDS LÄN</t>
        </is>
      </c>
      <c r="G64" t="inlineStr">
        <is>
          <t>NORRKÖPING</t>
        </is>
      </c>
      <c r="I64" t="n">
        <v>1.6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Silltrut
Vinterhämpling
Sångsvan</t>
        </is>
      </c>
      <c r="W64">
        <f>HYPERLINK("https://klasma.github.io/Logging_0581/artfynd/A 7316-2025 artfynd.xlsx", "A 7316-2025")</f>
        <v/>
      </c>
      <c r="X64">
        <f>HYPERLINK("https://klasma.github.io/Logging_0581/kartor/A 7316-2025 karta.png", "A 7316-2025")</f>
        <v/>
      </c>
      <c r="Y64">
        <f>HYPERLINK("https://klasma.github.io/Logging_0581/kartor_geotiff/A 7316-2025 georefererad karta.tif", "A 7316-2025")</f>
        <v/>
      </c>
      <c r="AA64">
        <f>HYPERLINK("https://klasma.github.io/Logging_0581/klagomål/A 7316-2025 FSC-klagomål.docx", "A 7316-2025")</f>
        <v/>
      </c>
      <c r="AB64">
        <f>HYPERLINK("https://klasma.github.io/Logging_0581/klagomålsmail/A 7316-2025 FSC-klagomål mail.docx", "A 7316-2025")</f>
        <v/>
      </c>
      <c r="AC64">
        <f>HYPERLINK("https://klasma.github.io/Logging_0581/tillsyn/A 7316-2025 tillsynsbegäran.docx", "A 7316-2025")</f>
        <v/>
      </c>
      <c r="AD64">
        <f>HYPERLINK("https://klasma.github.io/Logging_0581/tillsynsmail/A 7316-2025 tillsynsbegäran mail.docx", "A 7316-2025")</f>
        <v/>
      </c>
      <c r="AE64">
        <f>HYPERLINK("https://klasma.github.io/Logging_0581/fåglar/A 7316-2025 prioriterade fågelarter.docx", "A 7316-2025")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46316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46316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46316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8468-2023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46316</v>
      </c>
      <c r="F68" t="inlineStr">
        <is>
          <t>ÖSTERGÖTLANDS LÄN</t>
        </is>
      </c>
      <c r="G68" t="inlineStr">
        <is>
          <t>NORRKÖPING</t>
        </is>
      </c>
      <c r="I68" t="n">
        <v>6.7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Tallticka
Bronshjon
Blåsippa</t>
        </is>
      </c>
      <c r="W68">
        <f>HYPERLINK("https://klasma.github.io/Logging_0581/artfynd/A 8468-2023 artfynd.xlsx", "A 8468-2023")</f>
        <v/>
      </c>
      <c r="X68">
        <f>HYPERLINK("https://klasma.github.io/Logging_0581/kartor/A 8468-2023 karta.png", "A 8468-2023")</f>
        <v/>
      </c>
      <c r="Y68">
        <f>HYPERLINK("https://klasma.github.io/Logging_0581/kartor_geotiff/A 8468-2023 georefererad karta.tif", "A 8468-2023")</f>
        <v/>
      </c>
      <c r="AA68">
        <f>HYPERLINK("https://klasma.github.io/Logging_0581/klagomål/A 8468-2023 FSC-klagomål.docx", "A 8468-2023")</f>
        <v/>
      </c>
      <c r="AB68">
        <f>HYPERLINK("https://klasma.github.io/Logging_0581/klagomålsmail/A 8468-2023 FSC-klagomål mail.docx", "A 8468-2023")</f>
        <v/>
      </c>
      <c r="AC68">
        <f>HYPERLINK("https://klasma.github.io/Logging_0581/tillsyn/A 8468-2023 tillsynsbegäran.docx", "A 8468-2023")</f>
        <v/>
      </c>
      <c r="AD68">
        <f>HYPERLINK("https://klasma.github.io/Logging_0581/tillsynsmail/A 8468-2023 tillsynsbegäran mail.docx", "A 8468-2023")</f>
        <v/>
      </c>
    </row>
    <row r="69" ht="15" customHeight="1">
      <c r="A69" t="inlineStr">
        <is>
          <t>A 60171-2023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45258</v>
      </c>
      <c r="E69" s="1" t="n">
        <v>46316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1.7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Tallticka
Blomkålssvamp
Kransmossa</t>
        </is>
      </c>
      <c r="W69">
        <f>HYPERLINK("https://klasma.github.io/Logging_0581/artfynd/A 60171-2023 artfynd.xlsx", "A 60171-2023")</f>
        <v/>
      </c>
      <c r="X69">
        <f>HYPERLINK("https://klasma.github.io/Logging_0581/kartor/A 60171-2023 karta.png", "A 60171-2023")</f>
        <v/>
      </c>
      <c r="Y69">
        <f>HYPERLINK("https://klasma.github.io/Logging_0581/kartor_geotiff/A 60171-2023 georefererad karta.tif", "A 60171-2023")</f>
        <v/>
      </c>
      <c r="AA69">
        <f>HYPERLINK("https://klasma.github.io/Logging_0581/klagomål/A 60171-2023 FSC-klagomål.docx", "A 60171-2023")</f>
        <v/>
      </c>
      <c r="AB69">
        <f>HYPERLINK("https://klasma.github.io/Logging_0581/klagomålsmail/A 60171-2023 FSC-klagomål mail.docx", "A 60171-2023")</f>
        <v/>
      </c>
      <c r="AC69">
        <f>HYPERLINK("https://klasma.github.io/Logging_0581/tillsyn/A 60171-2023 tillsynsbegäran.docx", "A 60171-2023")</f>
        <v/>
      </c>
      <c r="AD69">
        <f>HYPERLINK("https://klasma.github.io/Logging_0581/tillsynsmail/A 60171-2023 tillsynsbegäran mail.docx", "A 60171-2023")</f>
        <v/>
      </c>
    </row>
    <row r="70" ht="15" customHeight="1">
      <c r="A70" t="inlineStr">
        <is>
          <t>A 11757-2025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46316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10.2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5</v>
      </c>
      <c r="U70" t="n">
        <v>5</v>
      </c>
      <c r="V70" s="2" t="inlineStr">
        <is>
          <t>Dropptaggsvamp
Blomkålssvamp
Kornknutmossa</t>
        </is>
      </c>
      <c r="W70">
        <f>HYPERLINK("https://klasma.github.io/Logging_0581/artfynd/A 11757-2025 artfynd.xlsx", "A 11757-2025")</f>
        <v/>
      </c>
      <c r="X70">
        <f>HYPERLINK("https://klasma.github.io/Logging_0581/kartor/A 11757-2025 karta.png", "A 11757-2025")</f>
        <v/>
      </c>
      <c r="Y70">
        <f>HYPERLINK("https://klasma.github.io/Logging_0581/kartor_geotiff/A 11757-2025 georefererad karta.tif", "A 11757-2025")</f>
        <v/>
      </c>
      <c r="AA70">
        <f>HYPERLINK("https://klasma.github.io/Logging_0581/klagomål/A 11757-2025 FSC-klagomål.docx", "A 11757-2025")</f>
        <v/>
      </c>
      <c r="AB70">
        <f>HYPERLINK("https://klasma.github.io/Logging_0581/klagomålsmail/A 11757-2025 FSC-klagomål mail.docx", "A 11757-2025")</f>
        <v/>
      </c>
      <c r="AC70">
        <f>HYPERLINK("https://klasma.github.io/Logging_0581/tillsyn/A 11757-2025 tillsynsbegäran.docx", "A 11757-2025")</f>
        <v/>
      </c>
      <c r="AD70">
        <f>HYPERLINK("https://klasma.github.io/Logging_0581/tillsynsmail/A 11757-2025 tillsynsbegäran mail.docx", "A 11757-2025")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46316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46316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15183-2023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46316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2.4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Vedskivlav
Blomkålssvamp</t>
        </is>
      </c>
      <c r="W73">
        <f>HYPERLINK("https://klasma.github.io/Logging_0581/artfynd/A 15183-2023 artfynd.xlsx", "A 15183-2023")</f>
        <v/>
      </c>
      <c r="X73">
        <f>HYPERLINK("https://klasma.github.io/Logging_0581/kartor/A 15183-2023 karta.png", "A 15183-2023")</f>
        <v/>
      </c>
      <c r="Y73">
        <f>HYPERLINK("https://klasma.github.io/Logging_0581/kartor_geotiff/A 15183-2023 georefererad karta.tif", "A 15183-2023")</f>
        <v/>
      </c>
      <c r="AA73">
        <f>HYPERLINK("https://klasma.github.io/Logging_0581/klagomål/A 15183-2023 FSC-klagomål.docx", "A 15183-2023")</f>
        <v/>
      </c>
      <c r="AB73">
        <f>HYPERLINK("https://klasma.github.io/Logging_0581/klagomålsmail/A 15183-2023 FSC-klagomål mail.docx", "A 15183-2023")</f>
        <v/>
      </c>
      <c r="AC73">
        <f>HYPERLINK("https://klasma.github.io/Logging_0581/tillsyn/A 15183-2023 tillsynsbegäran.docx", "A 15183-2023")</f>
        <v/>
      </c>
      <c r="AD73">
        <f>HYPERLINK("https://klasma.github.io/Logging_0581/tillsynsmail/A 15183-2023 tillsynsbegäran mail.docx", "A 15183-2023")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46316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46316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46316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46316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14636-2025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45742</v>
      </c>
      <c r="E78" s="1" t="n">
        <v>46316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17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14636-2025 artfynd.xlsx", "A 14636-2025")</f>
        <v/>
      </c>
      <c r="X78">
        <f>HYPERLINK("https://klasma.github.io/Logging_0581/kartor/A 14636-2025 karta.png", "A 14636-2025")</f>
        <v/>
      </c>
      <c r="Y78">
        <f>HYPERLINK("https://klasma.github.io/Logging_0581/kartor_geotiff/A 14636-2025 georefererad karta.tif", "A 14636-2025")</f>
        <v/>
      </c>
      <c r="AA78">
        <f>HYPERLINK("https://klasma.github.io/Logging_0581/klagomål/A 14636-2025 FSC-klagomål.docx", "A 14636-2025")</f>
        <v/>
      </c>
      <c r="AB78">
        <f>HYPERLINK("https://klasma.github.io/Logging_0581/klagomålsmail/A 14636-2025 FSC-klagomål mail.docx", "A 14636-2025")</f>
        <v/>
      </c>
      <c r="AC78">
        <f>HYPERLINK("https://klasma.github.io/Logging_0581/tillsyn/A 14636-2025 tillsynsbegäran.docx", "A 14636-2025")</f>
        <v/>
      </c>
      <c r="AD78">
        <f>HYPERLINK("https://klasma.github.io/Logging_0581/tillsynsmail/A 14636-2025 tillsynsbegäran mail.docx", "A 14636-2025")</f>
        <v/>
      </c>
      <c r="AE78">
        <f>HYPERLINK("https://klasma.github.io/Logging_0581/fåglar/A 14636-2025 prioriterade fågelarter.docx", "A 14636-2025")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46316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42365-2025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46316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Tibast</t>
        </is>
      </c>
      <c r="W80">
        <f>HYPERLINK("https://klasma.github.io/Logging_0581/artfynd/A 42365-2025 artfynd.xlsx", "A 42365-2025")</f>
        <v/>
      </c>
      <c r="X80">
        <f>HYPERLINK("https://klasma.github.io/Logging_0581/kartor/A 42365-2025 karta.png", "A 42365-2025")</f>
        <v/>
      </c>
      <c r="Y80">
        <f>HYPERLINK("https://klasma.github.io/Logging_0581/kartor_geotiff/A 42365-2025 georefererad karta.tif", "A 42365-2025")</f>
        <v/>
      </c>
      <c r="AA80">
        <f>HYPERLINK("https://klasma.github.io/Logging_0581/klagomål/A 42365-2025 FSC-klagomål.docx", "A 42365-2025")</f>
        <v/>
      </c>
      <c r="AB80">
        <f>HYPERLINK("https://klasma.github.io/Logging_0581/klagomålsmail/A 42365-2025 FSC-klagomål mail.docx", "A 42365-2025")</f>
        <v/>
      </c>
      <c r="AC80">
        <f>HYPERLINK("https://klasma.github.io/Logging_0581/tillsyn/A 42365-2025 tillsynsbegäran.docx", "A 42365-2025")</f>
        <v/>
      </c>
      <c r="AD80">
        <f>HYPERLINK("https://klasma.github.io/Logging_0581/tillsynsmail/A 42365-2025 tillsynsbegäran mail.docx", "A 42365-2025")</f>
        <v/>
      </c>
    </row>
    <row r="81" ht="15" customHeight="1">
      <c r="A81" t="inlineStr">
        <is>
          <t>A 12188-2026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46316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Korallrot</t>
        </is>
      </c>
      <c r="W81">
        <f>HYPERLINK("https://klasma.github.io/Logging_0581/artfynd/A 12188-2026 artfynd.xlsx", "A 12188-2026")</f>
        <v/>
      </c>
      <c r="X81">
        <f>HYPERLINK("https://klasma.github.io/Logging_0581/kartor/A 12188-2026 karta.png", "A 12188-2026")</f>
        <v/>
      </c>
      <c r="Y81">
        <f>HYPERLINK("https://klasma.github.io/Logging_0581/kartor_geotiff/A 12188-2026 georefererad karta.tif", "A 12188-2026")</f>
        <v/>
      </c>
      <c r="AA81">
        <f>HYPERLINK("https://klasma.github.io/Logging_0581/klagomål/A 12188-2026 FSC-klagomål.docx", "A 12188-2026")</f>
        <v/>
      </c>
      <c r="AB81">
        <f>HYPERLINK("https://klasma.github.io/Logging_0581/klagomålsmail/A 12188-2026 FSC-klagomål mail.docx", "A 12188-2026")</f>
        <v/>
      </c>
      <c r="AC81">
        <f>HYPERLINK("https://klasma.github.io/Logging_0581/tillsyn/A 12188-2026 tillsynsbegäran.docx", "A 12188-2026")</f>
        <v/>
      </c>
      <c r="AD81">
        <f>HYPERLINK("https://klasma.github.io/Logging_0581/tillsynsmail/A 12188-2026 tillsynsbegäran mail.docx", "A 12188-2026")</f>
        <v/>
      </c>
    </row>
    <row r="82" ht="15" customHeight="1">
      <c r="A82" t="inlineStr">
        <is>
          <t>A 46692-2024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46316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1.4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Dvärgbägarlav
Flagellkvastmossa</t>
        </is>
      </c>
      <c r="W82">
        <f>HYPERLINK("https://klasma.github.io/Logging_0581/artfynd/A 46692-2024 artfynd.xlsx", "A 46692-2024")</f>
        <v/>
      </c>
      <c r="X82">
        <f>HYPERLINK("https://klasma.github.io/Logging_0581/kartor/A 46692-2024 karta.png", "A 46692-2024")</f>
        <v/>
      </c>
      <c r="Y82">
        <f>HYPERLINK("https://klasma.github.io/Logging_0581/kartor_geotiff/A 46692-2024 georefererad karta.tif", "A 46692-2024")</f>
        <v/>
      </c>
      <c r="AA82">
        <f>HYPERLINK("https://klasma.github.io/Logging_0581/klagomål/A 46692-2024 FSC-klagomål.docx", "A 46692-2024")</f>
        <v/>
      </c>
      <c r="AB82">
        <f>HYPERLINK("https://klasma.github.io/Logging_0581/klagomålsmail/A 46692-2024 FSC-klagomål mail.docx", "A 46692-2024")</f>
        <v/>
      </c>
      <c r="AC82">
        <f>HYPERLINK("https://klasma.github.io/Logging_0581/tillsyn/A 46692-2024 tillsynsbegäran.docx", "A 46692-2024")</f>
        <v/>
      </c>
      <c r="AD82">
        <f>HYPERLINK("https://klasma.github.io/Logging_0581/tillsynsmail/A 46692-2024 tillsynsbegäran mail.docx", "A 46692-2024")</f>
        <v/>
      </c>
    </row>
    <row r="83" ht="15" customHeight="1">
      <c r="A83" t="inlineStr">
        <is>
          <t>A 11490-2023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46316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Mattlummer
Trädlärka</t>
        </is>
      </c>
      <c r="W83">
        <f>HYPERLINK("https://klasma.github.io/Logging_0581/artfynd/A 11490-2023 artfynd.xlsx", "A 11490-2023")</f>
        <v/>
      </c>
      <c r="X83">
        <f>HYPERLINK("https://klasma.github.io/Logging_0581/kartor/A 11490-2023 karta.png", "A 11490-2023")</f>
        <v/>
      </c>
      <c r="Y83">
        <f>HYPERLINK("https://klasma.github.io/Logging_0581/kartor_geotiff/A 11490-2023 georefererad karta.tif", "A 11490-2023")</f>
        <v/>
      </c>
      <c r="AA83">
        <f>HYPERLINK("https://klasma.github.io/Logging_0581/klagomål/A 11490-2023 FSC-klagomål.docx", "A 11490-2023")</f>
        <v/>
      </c>
      <c r="AB83">
        <f>HYPERLINK("https://klasma.github.io/Logging_0581/klagomålsmail/A 11490-2023 FSC-klagomål mail.docx", "A 11490-2023")</f>
        <v/>
      </c>
      <c r="AC83">
        <f>HYPERLINK("https://klasma.github.io/Logging_0581/tillsyn/A 11490-2023 tillsynsbegäran.docx", "A 11490-2023")</f>
        <v/>
      </c>
      <c r="AD83">
        <f>HYPERLINK("https://klasma.github.io/Logging_0581/tillsynsmail/A 11490-2023 tillsynsbegäran mail.docx", "A 11490-2023")</f>
        <v/>
      </c>
      <c r="AE83">
        <f>HYPERLINK("https://klasma.github.io/Logging_0581/fåglar/A 11490-2023 prioriterade fågelarter.docx", "A 11490-2023")</f>
        <v/>
      </c>
    </row>
    <row r="84" ht="15" customHeight="1">
      <c r="A84" t="inlineStr">
        <is>
          <t>A 56971-2025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46316</v>
      </c>
      <c r="F84" t="inlineStr">
        <is>
          <t>ÖSTERGÖTLANDS LÄN</t>
        </is>
      </c>
      <c r="G84" t="inlineStr">
        <is>
          <t>NORRKÖPING</t>
        </is>
      </c>
      <c r="I84" t="n">
        <v>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Tallticka</t>
        </is>
      </c>
      <c r="W84">
        <f>HYPERLINK("https://klasma.github.io/Logging_0581/artfynd/A 56971-2025 artfynd.xlsx", "A 56971-2025")</f>
        <v/>
      </c>
      <c r="X84">
        <f>HYPERLINK("https://klasma.github.io/Logging_0581/kartor/A 56971-2025 karta.png", "A 56971-2025")</f>
        <v/>
      </c>
      <c r="Y84">
        <f>HYPERLINK("https://klasma.github.io/Logging_0581/kartor_geotiff/A 56971-2025 georefererad karta.tif", "A 56971-2025")</f>
        <v/>
      </c>
      <c r="Z84">
        <f>HYPERLINK("https://klasma.github.io/Logging_0581/knärot/A 56971-2025 karta knärot.png", "A 56971-2025")</f>
        <v/>
      </c>
      <c r="AA84">
        <f>HYPERLINK("https://klasma.github.io/Logging_0581/klagomål/A 56971-2025 FSC-klagomål.docx", "A 56971-2025")</f>
        <v/>
      </c>
      <c r="AB84">
        <f>HYPERLINK("https://klasma.github.io/Logging_0581/klagomålsmail/A 56971-2025 FSC-klagomål mail.docx", "A 56971-2025")</f>
        <v/>
      </c>
      <c r="AC84">
        <f>HYPERLINK("https://klasma.github.io/Logging_0581/tillsyn/A 56971-2025 tillsynsbegäran.docx", "A 56971-2025")</f>
        <v/>
      </c>
      <c r="AD84">
        <f>HYPERLINK("https://klasma.github.io/Logging_0581/tillsynsmail/A 56971-2025 tillsynsbegäran mail.docx", "A 56971-2025")</f>
        <v/>
      </c>
    </row>
    <row r="85" ht="15" customHeight="1">
      <c r="A85" t="inlineStr">
        <is>
          <t>A 58380-2025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45985</v>
      </c>
      <c r="E85" s="1" t="n">
        <v>46316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10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Knärot
Tallticka</t>
        </is>
      </c>
      <c r="W85">
        <f>HYPERLINK("https://klasma.github.io/Logging_0581/artfynd/A 58380-2025 artfynd.xlsx", "A 58380-2025")</f>
        <v/>
      </c>
      <c r="X85">
        <f>HYPERLINK("https://klasma.github.io/Logging_0581/kartor/A 58380-2025 karta.png", "A 58380-2025")</f>
        <v/>
      </c>
      <c r="Y85">
        <f>HYPERLINK("https://klasma.github.io/Logging_0581/kartor_geotiff/A 58380-2025 georefererad karta.tif", "A 58380-2025")</f>
        <v/>
      </c>
      <c r="Z85">
        <f>HYPERLINK("https://klasma.github.io/Logging_0581/knärot/A 58380-2025 karta knärot.png", "A 58380-2025")</f>
        <v/>
      </c>
      <c r="AA85">
        <f>HYPERLINK("https://klasma.github.io/Logging_0581/klagomål/A 58380-2025 FSC-klagomål.docx", "A 58380-2025")</f>
        <v/>
      </c>
      <c r="AB85">
        <f>HYPERLINK("https://klasma.github.io/Logging_0581/klagomålsmail/A 58380-2025 FSC-klagomål mail.docx", "A 58380-2025")</f>
        <v/>
      </c>
      <c r="AC85">
        <f>HYPERLINK("https://klasma.github.io/Logging_0581/tillsyn/A 58380-2025 tillsynsbegäran.docx", "A 58380-2025")</f>
        <v/>
      </c>
      <c r="AD85">
        <f>HYPERLINK("https://klasma.github.io/Logging_0581/tillsynsmail/A 58380-2025 tillsynsbegäran mail.docx", "A 58380-2025")</f>
        <v/>
      </c>
    </row>
    <row r="86" ht="15" customHeight="1">
      <c r="A86" t="inlineStr">
        <is>
          <t>A 8987-2023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46316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0.5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Vedskivlav
Grovticka</t>
        </is>
      </c>
      <c r="W86">
        <f>HYPERLINK("https://klasma.github.io/Logging_0581/artfynd/A 8987-2023 artfynd.xlsx", "A 8987-2023")</f>
        <v/>
      </c>
      <c r="X86">
        <f>HYPERLINK("https://klasma.github.io/Logging_0581/kartor/A 8987-2023 karta.png", "A 8987-2023")</f>
        <v/>
      </c>
      <c r="Y86">
        <f>HYPERLINK("https://klasma.github.io/Logging_0581/kartor_geotiff/A 8987-2023 georefererad karta.tif", "A 8987-2023")</f>
        <v/>
      </c>
      <c r="AA86">
        <f>HYPERLINK("https://klasma.github.io/Logging_0581/klagomål/A 8987-2023 FSC-klagomål.docx", "A 8987-2023")</f>
        <v/>
      </c>
      <c r="AB86">
        <f>HYPERLINK("https://klasma.github.io/Logging_0581/klagomålsmail/A 8987-2023 FSC-klagomål mail.docx", "A 8987-2023")</f>
        <v/>
      </c>
      <c r="AC86">
        <f>HYPERLINK("https://klasma.github.io/Logging_0581/tillsyn/A 8987-2023 tillsynsbegäran.docx", "A 8987-2023")</f>
        <v/>
      </c>
      <c r="AD86">
        <f>HYPERLINK("https://klasma.github.io/Logging_0581/tillsynsmail/A 8987-2023 tillsynsbegäran mail.docx", "A 8987-2023")</f>
        <v/>
      </c>
    </row>
    <row r="87" ht="15" customHeight="1">
      <c r="A87" t="inlineStr">
        <is>
          <t>A 33659-2022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46316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3.4</v>
      </c>
      <c r="J87" t="n">
        <v>0</v>
      </c>
      <c r="K87" t="n">
        <v>1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1</v>
      </c>
      <c r="V87" s="2" t="inlineStr">
        <is>
          <t>Ask
Sotlav</t>
        </is>
      </c>
      <c r="W87">
        <f>HYPERLINK("https://klasma.github.io/Logging_0581/artfynd/A 33659-2022 artfynd.xlsx", "A 33659-2022")</f>
        <v/>
      </c>
      <c r="X87">
        <f>HYPERLINK("https://klasma.github.io/Logging_0581/kartor/A 33659-2022 karta.png", "A 33659-2022")</f>
        <v/>
      </c>
      <c r="Y87">
        <f>HYPERLINK("https://klasma.github.io/Logging_0581/kartor_geotiff/A 33659-2022 georefererad karta.tif", "A 33659-2022")</f>
        <v/>
      </c>
      <c r="AA87">
        <f>HYPERLINK("https://klasma.github.io/Logging_0581/klagomål/A 33659-2022 FSC-klagomål.docx", "A 33659-2022")</f>
        <v/>
      </c>
      <c r="AB87">
        <f>HYPERLINK("https://klasma.github.io/Logging_0581/klagomålsmail/A 33659-2022 FSC-klagomål mail.docx", "A 33659-2022")</f>
        <v/>
      </c>
      <c r="AC87">
        <f>HYPERLINK("https://klasma.github.io/Logging_0581/tillsyn/A 33659-2022 tillsynsbegäran.docx", "A 33659-2022")</f>
        <v/>
      </c>
      <c r="AD87">
        <f>HYPERLINK("https://klasma.github.io/Logging_0581/tillsynsmail/A 33659-2022 tillsynsbegäran mail.docx", "A 33659-2022")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46316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25291-2023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45086</v>
      </c>
      <c r="E89" s="1" t="n">
        <v>46316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Allmännings- och besparingsskogar</t>
        </is>
      </c>
      <c r="I89" t="n">
        <v>2.1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Slåtterfibbla
Svartvit flugsnappare</t>
        </is>
      </c>
      <c r="W89">
        <f>HYPERLINK("https://klasma.github.io/Logging_0581/artfynd/A 25291-2023 artfynd.xlsx", "A 25291-2023")</f>
        <v/>
      </c>
      <c r="X89">
        <f>HYPERLINK("https://klasma.github.io/Logging_0581/kartor/A 25291-2023 karta.png", "A 25291-2023")</f>
        <v/>
      </c>
      <c r="Y89">
        <f>HYPERLINK("https://klasma.github.io/Logging_0581/kartor_geotiff/A 25291-2023 georefererad karta.tif", "A 25291-2023")</f>
        <v/>
      </c>
      <c r="AA89">
        <f>HYPERLINK("https://klasma.github.io/Logging_0581/klagomål/A 25291-2023 FSC-klagomål.docx", "A 25291-2023")</f>
        <v/>
      </c>
      <c r="AB89">
        <f>HYPERLINK("https://klasma.github.io/Logging_0581/klagomålsmail/A 25291-2023 FSC-klagomål mail.docx", "A 25291-2023")</f>
        <v/>
      </c>
      <c r="AC89">
        <f>HYPERLINK("https://klasma.github.io/Logging_0581/tillsyn/A 25291-2023 tillsynsbegäran.docx", "A 25291-2023")</f>
        <v/>
      </c>
      <c r="AD89">
        <f>HYPERLINK("https://klasma.github.io/Logging_0581/tillsynsmail/A 25291-2023 tillsynsbegäran mail.docx", "A 25291-2023")</f>
        <v/>
      </c>
    </row>
    <row r="90" ht="15" customHeight="1">
      <c r="A90" t="inlineStr">
        <is>
          <t>A 5572-2024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46316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Kommuner</t>
        </is>
      </c>
      <c r="I90" t="n">
        <v>0.6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Grov baronmossa
Platt fjädermossa</t>
        </is>
      </c>
      <c r="W90">
        <f>HYPERLINK("https://klasma.github.io/Logging_0581/artfynd/A 5572-2024 artfynd.xlsx", "A 5572-2024")</f>
        <v/>
      </c>
      <c r="X90">
        <f>HYPERLINK("https://klasma.github.io/Logging_0581/kartor/A 5572-2024 karta.png", "A 5572-2024")</f>
        <v/>
      </c>
      <c r="Y90">
        <f>HYPERLINK("https://klasma.github.io/Logging_0581/kartor_geotiff/A 5572-2024 georefererad karta.tif", "A 5572-2024")</f>
        <v/>
      </c>
      <c r="AA90">
        <f>HYPERLINK("https://klasma.github.io/Logging_0581/klagomål/A 5572-2024 FSC-klagomål.docx", "A 5572-2024")</f>
        <v/>
      </c>
      <c r="AB90">
        <f>HYPERLINK("https://klasma.github.io/Logging_0581/klagomålsmail/A 5572-2024 FSC-klagomål mail.docx", "A 5572-2024")</f>
        <v/>
      </c>
      <c r="AC90">
        <f>HYPERLINK("https://klasma.github.io/Logging_0581/tillsyn/A 5572-2024 tillsynsbegäran.docx", "A 5572-2024")</f>
        <v/>
      </c>
      <c r="AD90">
        <f>HYPERLINK("https://klasma.github.io/Logging_0581/tillsynsmail/A 5572-2024 tillsynsbegäran mail.docx", "A 5572-2024")</f>
        <v/>
      </c>
    </row>
    <row r="91" ht="15" customHeight="1">
      <c r="A91" t="inlineStr">
        <is>
          <t>A 10553-2025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46316</v>
      </c>
      <c r="F91" t="inlineStr">
        <is>
          <t>ÖSTERGÖTLANDS LÄN</t>
        </is>
      </c>
      <c r="G91" t="inlineStr">
        <is>
          <t>NORRKÖPING</t>
        </is>
      </c>
      <c r="I91" t="n">
        <v>2.2</v>
      </c>
      <c r="J91" t="n">
        <v>2</v>
      </c>
      <c r="K91" t="n">
        <v>0</v>
      </c>
      <c r="L91" t="n">
        <v>1</v>
      </c>
      <c r="M91" t="n">
        <v>0</v>
      </c>
      <c r="N91" t="n">
        <v>1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Ejder
Rosenfink</t>
        </is>
      </c>
      <c r="W91">
        <f>HYPERLINK("https://klasma.github.io/Logging_0581/artfynd/A 10553-2025 artfynd.xlsx", "A 10553-2025")</f>
        <v/>
      </c>
      <c r="X91">
        <f>HYPERLINK("https://klasma.github.io/Logging_0581/kartor/A 10553-2025 karta.png", "A 10553-2025")</f>
        <v/>
      </c>
      <c r="Y91">
        <f>HYPERLINK("https://klasma.github.io/Logging_0581/kartor_geotiff/A 10553-2025 georefererad karta.tif", "A 10553-2025")</f>
        <v/>
      </c>
      <c r="AA91">
        <f>HYPERLINK("https://klasma.github.io/Logging_0581/klagomål/A 10553-2025 FSC-klagomål.docx", "A 10553-2025")</f>
        <v/>
      </c>
      <c r="AB91">
        <f>HYPERLINK("https://klasma.github.io/Logging_0581/klagomålsmail/A 10553-2025 FSC-klagomål mail.docx", "A 10553-2025")</f>
        <v/>
      </c>
      <c r="AC91">
        <f>HYPERLINK("https://klasma.github.io/Logging_0581/tillsyn/A 10553-2025 tillsynsbegäran.docx", "A 10553-2025")</f>
        <v/>
      </c>
      <c r="AD91">
        <f>HYPERLINK("https://klasma.github.io/Logging_0581/tillsynsmail/A 10553-2025 tillsynsbegäran mail.docx", "A 10553-2025")</f>
        <v/>
      </c>
      <c r="AE91">
        <f>HYPERLINK("https://klasma.github.io/Logging_0581/fåglar/A 10553-2025 prioriterade fågelarter.docx", "A 10553-2025")</f>
        <v/>
      </c>
    </row>
    <row r="92" ht="15" customHeight="1">
      <c r="A92" t="inlineStr">
        <is>
          <t>A 19182-2025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Knärot
Ullticka</t>
        </is>
      </c>
      <c r="W92">
        <f>HYPERLINK("https://klasma.github.io/Logging_0581/artfynd/A 19182-2025 artfynd.xlsx", "A 19182-2025")</f>
        <v/>
      </c>
      <c r="X92">
        <f>HYPERLINK("https://klasma.github.io/Logging_0581/kartor/A 19182-2025 karta.png", "A 19182-2025")</f>
        <v/>
      </c>
      <c r="Y92">
        <f>HYPERLINK("https://klasma.github.io/Logging_0581/kartor_geotiff/A 19182-2025 georefererad karta.tif", "A 19182-2025")</f>
        <v/>
      </c>
      <c r="Z92">
        <f>HYPERLINK("https://klasma.github.io/Logging_0581/knärot/A 19182-2025 karta knärot.png", "A 19182-2025")</f>
        <v/>
      </c>
      <c r="AA92">
        <f>HYPERLINK("https://klasma.github.io/Logging_0581/klagomål/A 19182-2025 FSC-klagomål.docx", "A 19182-2025")</f>
        <v/>
      </c>
      <c r="AB92">
        <f>HYPERLINK("https://klasma.github.io/Logging_0581/klagomålsmail/A 19182-2025 FSC-klagomål mail.docx", "A 19182-2025")</f>
        <v/>
      </c>
      <c r="AC92">
        <f>HYPERLINK("https://klasma.github.io/Logging_0581/tillsyn/A 19182-2025 tillsynsbegäran.docx", "A 19182-2025")</f>
        <v/>
      </c>
      <c r="AD92">
        <f>HYPERLINK("https://klasma.github.io/Logging_0581/tillsynsmail/A 19182-2025 tillsynsbegäran mail.docx", "A 19182-2025")</f>
        <v/>
      </c>
    </row>
    <row r="93" ht="15" customHeight="1">
      <c r="A93" t="inlineStr">
        <is>
          <t>A 9746-2025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46316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1.6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Ask
Blåsippa</t>
        </is>
      </c>
      <c r="W93">
        <f>HYPERLINK("https://klasma.github.io/Logging_0581/artfynd/A 9746-2025 artfynd.xlsx", "A 9746-2025")</f>
        <v/>
      </c>
      <c r="X93">
        <f>HYPERLINK("https://klasma.github.io/Logging_0581/kartor/A 9746-2025 karta.png", "A 9746-2025")</f>
        <v/>
      </c>
      <c r="Y93">
        <f>HYPERLINK("https://klasma.github.io/Logging_0581/kartor_geotiff/A 9746-2025 georefererad karta.tif", "A 9746-2025")</f>
        <v/>
      </c>
      <c r="AA93">
        <f>HYPERLINK("https://klasma.github.io/Logging_0581/klagomål/A 9746-2025 FSC-klagomål.docx", "A 9746-2025")</f>
        <v/>
      </c>
      <c r="AB93">
        <f>HYPERLINK("https://klasma.github.io/Logging_0581/klagomålsmail/A 9746-2025 FSC-klagomål mail.docx", "A 9746-2025")</f>
        <v/>
      </c>
      <c r="AC93">
        <f>HYPERLINK("https://klasma.github.io/Logging_0581/tillsyn/A 9746-2025 tillsynsbegäran.docx", "A 9746-2025")</f>
        <v/>
      </c>
      <c r="AD93">
        <f>HYPERLINK("https://klasma.github.io/Logging_0581/tillsynsmail/A 9746-2025 tillsynsbegäran mail.docx", "A 9746-2025")</f>
        <v/>
      </c>
    </row>
    <row r="94" ht="15" customHeight="1">
      <c r="A94" t="inlineStr">
        <is>
          <t>A 4826-2023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46316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5.1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Bårdlav
Havsörn</t>
        </is>
      </c>
      <c r="W94">
        <f>HYPERLINK("https://klasma.github.io/Logging_0581/artfynd/A 4826-2023 artfynd.xlsx", "A 4826-2023")</f>
        <v/>
      </c>
      <c r="X94">
        <f>HYPERLINK("https://klasma.github.io/Logging_0581/kartor/A 4826-2023 karta.png", "A 4826-2023")</f>
        <v/>
      </c>
      <c r="Y94">
        <f>HYPERLINK("https://klasma.github.io/Logging_0581/kartor_geotiff/A 4826-2023 georefererad karta.tif", "A 4826-2023")</f>
        <v/>
      </c>
      <c r="AA94">
        <f>HYPERLINK("https://klasma.github.io/Logging_0581/klagomål/A 4826-2023 FSC-klagomål.docx", "A 4826-2023")</f>
        <v/>
      </c>
      <c r="AB94">
        <f>HYPERLINK("https://klasma.github.io/Logging_0581/klagomålsmail/A 4826-2023 FSC-klagomål mail.docx", "A 4826-2023")</f>
        <v/>
      </c>
      <c r="AC94">
        <f>HYPERLINK("https://klasma.github.io/Logging_0581/tillsyn/A 4826-2023 tillsynsbegäran.docx", "A 4826-2023")</f>
        <v/>
      </c>
      <c r="AD94">
        <f>HYPERLINK("https://klasma.github.io/Logging_0581/tillsynsmail/A 4826-2023 tillsynsbegäran mail.docx", "A 4826-2023")</f>
        <v/>
      </c>
      <c r="AE94">
        <f>HYPERLINK("https://klasma.github.io/Logging_0581/fåglar/A 4826-2023 prioriterade fågelarter.docx", "A 4826-2023")</f>
        <v/>
      </c>
    </row>
    <row r="95" ht="15" customHeight="1">
      <c r="A95" t="inlineStr">
        <is>
          <t>A 14459-2024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46316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Garnlav
Talltita</t>
        </is>
      </c>
      <c r="W95">
        <f>HYPERLINK("https://klasma.github.io/Logging_0581/artfynd/A 14459-2024 artfynd.xlsx", "A 14459-2024")</f>
        <v/>
      </c>
      <c r="X95">
        <f>HYPERLINK("https://klasma.github.io/Logging_0581/kartor/A 14459-2024 karta.png", "A 14459-2024")</f>
        <v/>
      </c>
      <c r="Y95">
        <f>HYPERLINK("https://klasma.github.io/Logging_0581/kartor_geotiff/A 14459-2024 georefererad karta.tif", "A 14459-2024")</f>
        <v/>
      </c>
      <c r="AA95">
        <f>HYPERLINK("https://klasma.github.io/Logging_0581/klagomål/A 14459-2024 FSC-klagomål.docx", "A 14459-2024")</f>
        <v/>
      </c>
      <c r="AB95">
        <f>HYPERLINK("https://klasma.github.io/Logging_0581/klagomålsmail/A 14459-2024 FSC-klagomål mail.docx", "A 14459-2024")</f>
        <v/>
      </c>
      <c r="AC95">
        <f>HYPERLINK("https://klasma.github.io/Logging_0581/tillsyn/A 14459-2024 tillsynsbegäran.docx", "A 14459-2024")</f>
        <v/>
      </c>
      <c r="AD95">
        <f>HYPERLINK("https://klasma.github.io/Logging_0581/tillsynsmail/A 14459-2024 tillsynsbegäran mail.docx", "A 14459-2024")</f>
        <v/>
      </c>
      <c r="AE95">
        <f>HYPERLINK("https://klasma.github.io/Logging_0581/fåglar/A 14459-2024 prioriterade fågelarter.docx", "A 14459-2024")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46316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28796-2026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46198</v>
      </c>
      <c r="E97" s="1" t="n">
        <v>46316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28796-2026 artfynd.xlsx", "A 28796-2026")</f>
        <v/>
      </c>
      <c r="X97">
        <f>HYPERLINK("https://klasma.github.io/Logging_0581/kartor/A 28796-2026 karta.png", "A 28796-2026")</f>
        <v/>
      </c>
      <c r="Y97">
        <f>HYPERLINK("https://klasma.github.io/Logging_0581/kartor_geotiff/A 28796-2026 georefererad karta.tif", "A 28796-2026")</f>
        <v/>
      </c>
      <c r="AA97">
        <f>HYPERLINK("https://klasma.github.io/Logging_0581/klagomål/A 28796-2026 FSC-klagomål.docx", "A 28796-2026")</f>
        <v/>
      </c>
      <c r="AB97">
        <f>HYPERLINK("https://klasma.github.io/Logging_0581/klagomålsmail/A 28796-2026 FSC-klagomål mail.docx", "A 28796-2026")</f>
        <v/>
      </c>
      <c r="AC97">
        <f>HYPERLINK("https://klasma.github.io/Logging_0581/tillsyn/A 28796-2026 tillsynsbegäran.docx", "A 28796-2026")</f>
        <v/>
      </c>
      <c r="AD97">
        <f>HYPERLINK("https://klasma.github.io/Logging_0581/tillsynsmail/A 28796-2026 tillsynsbegäran mail.docx", "A 28796-2026")</f>
        <v/>
      </c>
    </row>
    <row r="98" ht="15" customHeight="1">
      <c r="A98" t="inlineStr">
        <is>
          <t>A 28893-2026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46316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28893-2026 artfynd.xlsx", "A 28893-2026")</f>
        <v/>
      </c>
      <c r="X98">
        <f>HYPERLINK("https://klasma.github.io/Logging_0581/kartor/A 28893-2026 karta.png", "A 28893-2026")</f>
        <v/>
      </c>
      <c r="Y98">
        <f>HYPERLINK("https://klasma.github.io/Logging_0581/kartor_geotiff/A 28893-2026 georefererad karta.tif", "A 28893-2026")</f>
        <v/>
      </c>
      <c r="AA98">
        <f>HYPERLINK("https://klasma.github.io/Logging_0581/klagomål/A 28893-2026 FSC-klagomål.docx", "A 28893-2026")</f>
        <v/>
      </c>
      <c r="AB98">
        <f>HYPERLINK("https://klasma.github.io/Logging_0581/klagomålsmail/A 28893-2026 FSC-klagomål mail.docx", "A 28893-2026")</f>
        <v/>
      </c>
      <c r="AC98">
        <f>HYPERLINK("https://klasma.github.io/Logging_0581/tillsyn/A 28893-2026 tillsynsbegäran.docx", "A 28893-2026")</f>
        <v/>
      </c>
      <c r="AD98">
        <f>HYPERLINK("https://klasma.github.io/Logging_0581/tillsynsmail/A 28893-2026 tillsynsbegäran mail.docx", "A 28893-2026")</f>
        <v/>
      </c>
    </row>
    <row r="99" ht="15" customHeight="1">
      <c r="A99" t="inlineStr">
        <is>
          <t>A 28895-2026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46316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28895-2026 artfynd.xlsx", "A 28895-2026")</f>
        <v/>
      </c>
      <c r="X99">
        <f>HYPERLINK("https://klasma.github.io/Logging_0581/kartor/A 28895-2026 karta.png", "A 28895-2026")</f>
        <v/>
      </c>
      <c r="Y99">
        <f>HYPERLINK("https://klasma.github.io/Logging_0581/kartor_geotiff/A 28895-2026 georefererad karta.tif", "A 28895-2026")</f>
        <v/>
      </c>
      <c r="AA99">
        <f>HYPERLINK("https://klasma.github.io/Logging_0581/klagomål/A 28895-2026 FSC-klagomål.docx", "A 28895-2026")</f>
        <v/>
      </c>
      <c r="AB99">
        <f>HYPERLINK("https://klasma.github.io/Logging_0581/klagomålsmail/A 28895-2026 FSC-klagomål mail.docx", "A 28895-2026")</f>
        <v/>
      </c>
      <c r="AC99">
        <f>HYPERLINK("https://klasma.github.io/Logging_0581/tillsyn/A 28895-2026 tillsynsbegäran.docx", "A 28895-2026")</f>
        <v/>
      </c>
      <c r="AD99">
        <f>HYPERLINK("https://klasma.github.io/Logging_0581/tillsynsmail/A 28895-2026 tillsynsbegäran mail.docx", "A 28895-2026")</f>
        <v/>
      </c>
    </row>
    <row r="100" ht="15" customHeight="1">
      <c r="A100" t="inlineStr">
        <is>
          <t>A 55022-2022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46316</v>
      </c>
      <c r="F100" t="inlineStr">
        <is>
          <t>ÖSTERGÖTLANDS LÄN</t>
        </is>
      </c>
      <c r="G100" t="inlineStr">
        <is>
          <t>NORRKÖPING</t>
        </is>
      </c>
      <c r="I100" t="n">
        <v>1.4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Tallfingersvamp
Purpurknipprot</t>
        </is>
      </c>
      <c r="W100">
        <f>HYPERLINK("https://klasma.github.io/Logging_0581/artfynd/A 55022-2022 artfynd.xlsx", "A 55022-2022")</f>
        <v/>
      </c>
      <c r="X100">
        <f>HYPERLINK("https://klasma.github.io/Logging_0581/kartor/A 55022-2022 karta.png", "A 55022-2022")</f>
        <v/>
      </c>
      <c r="Y100">
        <f>HYPERLINK("https://klasma.github.io/Logging_0581/kartor_geotiff/A 55022-2022 georefererad karta.tif", "A 55022-2022")</f>
        <v/>
      </c>
      <c r="AA100">
        <f>HYPERLINK("https://klasma.github.io/Logging_0581/klagomål/A 55022-2022 FSC-klagomål.docx", "A 55022-2022")</f>
        <v/>
      </c>
      <c r="AB100">
        <f>HYPERLINK("https://klasma.github.io/Logging_0581/klagomålsmail/A 55022-2022 FSC-klagomål mail.docx", "A 55022-2022")</f>
        <v/>
      </c>
      <c r="AC100">
        <f>HYPERLINK("https://klasma.github.io/Logging_0581/tillsyn/A 55022-2022 tillsynsbegäran.docx", "A 55022-2022")</f>
        <v/>
      </c>
      <c r="AD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46316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5.4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Tallticka
Granbarkgnagare</t>
        </is>
      </c>
      <c r="W101">
        <f>HYPERLINK("https://klasma.github.io/Logging_0581/artfynd/A 24233-2025 artfynd.xlsx", "A 24233-2025")</f>
        <v/>
      </c>
      <c r="X101">
        <f>HYPERLINK("https://klasma.github.io/Logging_0581/kartor/A 24233-2025 karta.png", "A 24233-2025")</f>
        <v/>
      </c>
      <c r="Y101">
        <f>HYPERLINK("https://klasma.github.io/Logging_0581/kartor_geotiff/A 24233-2025 georefererad karta.tif", "A 24233-2025")</f>
        <v/>
      </c>
      <c r="AA101">
        <f>HYPERLINK("https://klasma.github.io/Logging_0581/klagomål/A 24233-2025 FSC-klagomål.docx", "A 24233-2025")</f>
        <v/>
      </c>
      <c r="AB101">
        <f>HYPERLINK("https://klasma.github.io/Logging_0581/klagomålsmail/A 24233-2025 FSC-klagomål mail.docx", "A 24233-2025")</f>
        <v/>
      </c>
      <c r="AC101">
        <f>HYPERLINK("https://klasma.github.io/Logging_0581/tillsyn/A 24233-2025 tillsynsbegäran.docx", "A 24233-2025")</f>
        <v/>
      </c>
      <c r="AD101">
        <f>HYPERLINK("https://klasma.github.io/Logging_0581/tillsynsmail/A 24233-2025 tillsynsbegäran mail.docx", "A 24233-2025")</f>
        <v/>
      </c>
    </row>
    <row r="102" ht="15" customHeight="1">
      <c r="A102" t="inlineStr">
        <is>
          <t>A 31298-2026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46316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0.7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Blåmossa
Orre</t>
        </is>
      </c>
      <c r="W102">
        <f>HYPERLINK("https://klasma.github.io/Logging_0581/artfynd/A 31298-2026 artfynd.xlsx", "A 31298-2026")</f>
        <v/>
      </c>
      <c r="X102">
        <f>HYPERLINK("https://klasma.github.io/Logging_0581/kartor/A 31298-2026 karta.png", "A 31298-2026")</f>
        <v/>
      </c>
      <c r="Y102">
        <f>HYPERLINK("https://klasma.github.io/Logging_0581/kartor_geotiff/A 31298-2026 georefererad karta.tif", "A 31298-2026")</f>
        <v/>
      </c>
      <c r="AA102">
        <f>HYPERLINK("https://klasma.github.io/Logging_0581/klagomål/A 31298-2026 FSC-klagomål.docx", "A 31298-2026")</f>
        <v/>
      </c>
      <c r="AB102">
        <f>HYPERLINK("https://klasma.github.io/Logging_0581/klagomålsmail/A 31298-2026 FSC-klagomål mail.docx", "A 31298-2026")</f>
        <v/>
      </c>
      <c r="AC102">
        <f>HYPERLINK("https://klasma.github.io/Logging_0581/tillsyn/A 31298-2026 tillsynsbegäran.docx", "A 31298-2026")</f>
        <v/>
      </c>
      <c r="AD102">
        <f>HYPERLINK("https://klasma.github.io/Logging_0581/tillsynsmail/A 31298-2026 tillsynsbegäran mail.docx", "A 31298-2026")</f>
        <v/>
      </c>
      <c r="AE102">
        <f>HYPERLINK("https://klasma.github.io/Logging_0581/fåglar/A 31298-2026 prioriterade fågelarter.docx", "A 31298-2026")</f>
        <v/>
      </c>
    </row>
    <row r="103" ht="15" customHeight="1">
      <c r="A103" t="inlineStr">
        <is>
          <t>A 31264-2026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46316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Fläcknycklar</t>
        </is>
      </c>
      <c r="W103">
        <f>HYPERLINK("https://klasma.github.io/Logging_0581/artfynd/A 31264-2026 artfynd.xlsx", "A 31264-2026")</f>
        <v/>
      </c>
      <c r="X103">
        <f>HYPERLINK("https://klasma.github.io/Logging_0581/kartor/A 31264-2026 karta.png", "A 31264-2026")</f>
        <v/>
      </c>
      <c r="Y103">
        <f>HYPERLINK("https://klasma.github.io/Logging_0581/kartor_geotiff/A 31264-2026 georefererad karta.tif", "A 31264-2026")</f>
        <v/>
      </c>
      <c r="AA103">
        <f>HYPERLINK("https://klasma.github.io/Logging_0581/klagomål/A 31264-2026 FSC-klagomål.docx", "A 31264-2026")</f>
        <v/>
      </c>
      <c r="AB103">
        <f>HYPERLINK("https://klasma.github.io/Logging_0581/klagomålsmail/A 31264-2026 FSC-klagomål mail.docx", "A 31264-2026")</f>
        <v/>
      </c>
      <c r="AC103">
        <f>HYPERLINK("https://klasma.github.io/Logging_0581/tillsyn/A 31264-2026 tillsynsbegäran.docx", "A 31264-2026")</f>
        <v/>
      </c>
      <c r="AD103">
        <f>HYPERLINK("https://klasma.github.io/Logging_0581/tillsynsmail/A 31264-2026 tillsynsbegäran mail.docx", "A 31264-2026")</f>
        <v/>
      </c>
    </row>
    <row r="104" ht="15" customHeight="1">
      <c r="A104" t="inlineStr">
        <is>
          <t>A 31335-2026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46219</v>
      </c>
      <c r="E104" s="1" t="n">
        <v>46316</v>
      </c>
      <c r="F104" t="inlineStr">
        <is>
          <t>ÖSTERGÖTLANDS LÄN</t>
        </is>
      </c>
      <c r="G104" t="inlineStr">
        <is>
          <t>NORRKÖPING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Bredbrämad bastardsvärmare
Älg</t>
        </is>
      </c>
      <c r="W104">
        <f>HYPERLINK("https://klasma.github.io/Logging_0581/artfynd/A 31335-2026 artfynd.xlsx", "A 31335-2026")</f>
        <v/>
      </c>
      <c r="X104">
        <f>HYPERLINK("https://klasma.github.io/Logging_0581/kartor/A 31335-2026 karta.png", "A 31335-2026")</f>
        <v/>
      </c>
      <c r="Y104">
        <f>HYPERLINK("https://klasma.github.io/Logging_0581/kartor_geotiff/A 31335-2026 georefererad karta.tif", "A 31335-2026")</f>
        <v/>
      </c>
      <c r="AA104">
        <f>HYPERLINK("https://klasma.github.io/Logging_0581/klagomål/A 31335-2026 FSC-klagomål.docx", "A 31335-2026")</f>
        <v/>
      </c>
      <c r="AB104">
        <f>HYPERLINK("https://klasma.github.io/Logging_0581/klagomålsmail/A 31335-2026 FSC-klagomål mail.docx", "A 31335-2026")</f>
        <v/>
      </c>
      <c r="AC104">
        <f>HYPERLINK("https://klasma.github.io/Logging_0581/tillsyn/A 31335-2026 tillsynsbegäran.docx", "A 31335-2026")</f>
        <v/>
      </c>
      <c r="AD104">
        <f>HYPERLINK("https://klasma.github.io/Logging_0581/tillsynsmail/A 31335-2026 tillsynsbegäran mail.docx", "A 31335-2026")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46316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46316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38475-2026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46282</v>
      </c>
      <c r="E107" s="1" t="n">
        <v>46316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8</v>
      </c>
      <c r="J107" t="n">
        <v>1</v>
      </c>
      <c r="K107" t="n">
        <v>0</v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0</v>
      </c>
      <c r="V107" s="2" t="inlineStr">
        <is>
          <t>Ljungögontröst
Talltita</t>
        </is>
      </c>
      <c r="W107">
        <f>HYPERLINK("https://klasma.github.io/Logging_0581/artfynd/A 38475-2026 artfynd.xlsx", "A 38475-2026")</f>
        <v/>
      </c>
      <c r="X107">
        <f>HYPERLINK("https://klasma.github.io/Logging_0581/kartor/A 38475-2026 karta.png", "A 38475-2026")</f>
        <v/>
      </c>
      <c r="Y107">
        <f>HYPERLINK("https://klasma.github.io/Logging_0581/kartor_geotiff/A 38475-2026 georefererad karta.tif", "A 38475-2026")</f>
        <v/>
      </c>
      <c r="AA107">
        <f>HYPERLINK("https://klasma.github.io/Logging_0581/klagomål/A 38475-2026 FSC-klagomål.docx", "A 38475-2026")</f>
        <v/>
      </c>
      <c r="AB107">
        <f>HYPERLINK("https://klasma.github.io/Logging_0581/klagomålsmail/A 38475-2026 FSC-klagomål mail.docx", "A 38475-2026")</f>
        <v/>
      </c>
      <c r="AC107">
        <f>HYPERLINK("https://klasma.github.io/Logging_0581/tillsyn/A 38475-2026 tillsynsbegäran.docx", "A 38475-2026")</f>
        <v/>
      </c>
      <c r="AD107">
        <f>HYPERLINK("https://klasma.github.io/Logging_0581/tillsynsmail/A 38475-2026 tillsynsbegäran mail.docx", "A 38475-2026")</f>
        <v/>
      </c>
      <c r="AE107">
        <f>HYPERLINK("https://klasma.github.io/Logging_0581/fåglar/A 38475-2026 prioriterade fågelarter.docx", "A 38475-2026")</f>
        <v/>
      </c>
    </row>
    <row r="108" ht="15" customHeight="1">
      <c r="A108" t="inlineStr">
        <is>
          <t>A 20377-2023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45056</v>
      </c>
      <c r="E108" s="1" t="n">
        <v>46316</v>
      </c>
      <c r="F108" t="inlineStr">
        <is>
          <t>ÖSTERGÖTLANDS LÄN</t>
        </is>
      </c>
      <c r="G108" t="inlineStr">
        <is>
          <t>NORRKÖPING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Tallticka
Kungsfågel</t>
        </is>
      </c>
      <c r="W108">
        <f>HYPERLINK("https://klasma.github.io/Logging_0581/artfynd/A 20377-2023 artfynd.xlsx", "A 20377-2023")</f>
        <v/>
      </c>
      <c r="X108">
        <f>HYPERLINK("https://klasma.github.io/Logging_0581/kartor/A 20377-2023 karta.png", "A 20377-2023")</f>
        <v/>
      </c>
      <c r="Y108">
        <f>HYPERLINK("https://klasma.github.io/Logging_0581/kartor_geotiff/A 20377-2023 georefererad karta.tif", "A 20377-2023")</f>
        <v/>
      </c>
      <c r="AA108">
        <f>HYPERLINK("https://klasma.github.io/Logging_0581/klagomål/A 20377-2023 FSC-klagomål.docx", "A 20377-2023")</f>
        <v/>
      </c>
      <c r="AB108">
        <f>HYPERLINK("https://klasma.github.io/Logging_0581/klagomålsmail/A 20377-2023 FSC-klagomål mail.docx", "A 20377-2023")</f>
        <v/>
      </c>
      <c r="AC108">
        <f>HYPERLINK("https://klasma.github.io/Logging_0581/tillsyn/A 20377-2023 tillsynsbegäran.docx", "A 20377-2023")</f>
        <v/>
      </c>
      <c r="AD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27503-2022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44742</v>
      </c>
      <c r="E109" s="1" t="n">
        <v>46316</v>
      </c>
      <c r="F109" t="inlineStr">
        <is>
          <t>ÖSTERGÖTLANDS LÄN</t>
        </is>
      </c>
      <c r="G109" t="inlineStr">
        <is>
          <t>NORRKÖPING</t>
        </is>
      </c>
      <c r="I109" t="n">
        <v>2.9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Svinrot
Ängsskära</t>
        </is>
      </c>
      <c r="W109">
        <f>HYPERLINK("https://klasma.github.io/Logging_0581/artfynd/A 27503-2022 artfynd.xlsx", "A 27503-2022")</f>
        <v/>
      </c>
      <c r="X109">
        <f>HYPERLINK("https://klasma.github.io/Logging_0581/kartor/A 27503-2022 karta.png", "A 27503-2022")</f>
        <v/>
      </c>
      <c r="Y109">
        <f>HYPERLINK("https://klasma.github.io/Logging_0581/kartor_geotiff/A 27503-2022 georefererad karta.tif", "A 27503-2022")</f>
        <v/>
      </c>
      <c r="AA109">
        <f>HYPERLINK("https://klasma.github.io/Logging_0581/klagomål/A 27503-2022 FSC-klagomål.docx", "A 27503-2022")</f>
        <v/>
      </c>
      <c r="AB109">
        <f>HYPERLINK("https://klasma.github.io/Logging_0581/klagomålsmail/A 27503-2022 FSC-klagomål mail.docx", "A 27503-2022")</f>
        <v/>
      </c>
      <c r="AC109">
        <f>HYPERLINK("https://klasma.github.io/Logging_0581/tillsyn/A 27503-2022 tillsynsbegäran.docx", "A 27503-2022")</f>
        <v/>
      </c>
      <c r="AD109">
        <f>HYPERLINK("https://klasma.github.io/Logging_0581/tillsynsmail/A 27503-2022 tillsynsbegäran mail.docx", "A 27503-2022")</f>
        <v/>
      </c>
    </row>
    <row r="110" ht="15" customHeight="1">
      <c r="A110" t="inlineStr">
        <is>
          <t>A 46955-2023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46316</v>
      </c>
      <c r="F110" t="inlineStr">
        <is>
          <t>ÖSTERGÖTLANDS LÄN</t>
        </is>
      </c>
      <c r="G110" t="inlineStr">
        <is>
          <t>NORRKÖPING</t>
        </is>
      </c>
      <c r="I110" t="n">
        <v>4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Sparvuggla</t>
        </is>
      </c>
      <c r="W110">
        <f>HYPERLINK("https://klasma.github.io/Logging_0581/artfynd/A 46955-2023 artfynd.xlsx", "A 46955-2023")</f>
        <v/>
      </c>
      <c r="X110">
        <f>HYPERLINK("https://klasma.github.io/Logging_0581/kartor/A 46955-2023 karta.png", "A 46955-2023")</f>
        <v/>
      </c>
      <c r="Y110">
        <f>HYPERLINK("https://klasma.github.io/Logging_0581/kartor_geotiff/A 46955-2023 georefererad karta.tif", "A 46955-2023")</f>
        <v/>
      </c>
      <c r="AA110">
        <f>HYPERLINK("https://klasma.github.io/Logging_0581/klagomål/A 46955-2023 FSC-klagomål.docx", "A 46955-2023")</f>
        <v/>
      </c>
      <c r="AB110">
        <f>HYPERLINK("https://klasma.github.io/Logging_0581/klagomålsmail/A 46955-2023 FSC-klagomål mail.docx", "A 46955-2023")</f>
        <v/>
      </c>
      <c r="AC110">
        <f>HYPERLINK("https://klasma.github.io/Logging_0581/tillsyn/A 46955-2023 tillsynsbegäran.docx", "A 46955-2023")</f>
        <v/>
      </c>
      <c r="AD110">
        <f>HYPERLINK("https://klasma.github.io/Logging_0581/tillsynsmail/A 46955-2023 tillsynsbegäran mail.docx", "A 46955-2023")</f>
        <v/>
      </c>
      <c r="AE110">
        <f>HYPERLINK("https://klasma.github.io/Logging_0581/fåglar/A 46955-2023 prioriterade fågelarter.docx", "A 46955-2023")</f>
        <v/>
      </c>
    </row>
    <row r="111" ht="15" customHeight="1">
      <c r="A111" t="inlineStr">
        <is>
          <t>A 9722-2025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46316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Ask
Blåsippa</t>
        </is>
      </c>
      <c r="W111">
        <f>HYPERLINK("https://klasma.github.io/Logging_0581/artfynd/A 9722-2025 artfynd.xlsx", "A 9722-2025")</f>
        <v/>
      </c>
      <c r="X111">
        <f>HYPERLINK("https://klasma.github.io/Logging_0581/kartor/A 9722-2025 karta.png", "A 9722-2025")</f>
        <v/>
      </c>
      <c r="Y111">
        <f>HYPERLINK("https://klasma.github.io/Logging_0581/kartor_geotiff/A 9722-2025 georefererad karta.tif", "A 9722-2025")</f>
        <v/>
      </c>
      <c r="AA111">
        <f>HYPERLINK("https://klasma.github.io/Logging_0581/klagomål/A 9722-2025 FSC-klagomål.docx", "A 9722-2025")</f>
        <v/>
      </c>
      <c r="AB111">
        <f>HYPERLINK("https://klasma.github.io/Logging_0581/klagomålsmail/A 9722-2025 FSC-klagomål mail.docx", "A 9722-2025")</f>
        <v/>
      </c>
      <c r="AC111">
        <f>HYPERLINK("https://klasma.github.io/Logging_0581/tillsyn/A 9722-2025 tillsynsbegäran.docx", "A 9722-2025")</f>
        <v/>
      </c>
      <c r="AD111">
        <f>HYPERLINK("https://klasma.github.io/Logging_0581/tillsynsmail/A 9722-2025 tillsynsbegäran mail.docx", "A 9722-2025")</f>
        <v/>
      </c>
    </row>
    <row r="112" ht="15" customHeight="1">
      <c r="A112" t="inlineStr">
        <is>
          <t>A 17248-2024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46316</v>
      </c>
      <c r="F112" t="inlineStr">
        <is>
          <t>ÖSTERGÖTLANDS LÄN</t>
        </is>
      </c>
      <c r="G112" t="inlineStr">
        <is>
          <t>NORRKÖPING</t>
        </is>
      </c>
      <c r="I112" t="n">
        <v>2.6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Tallticka
Vedticka</t>
        </is>
      </c>
      <c r="W112">
        <f>HYPERLINK("https://klasma.github.io/Logging_0581/artfynd/A 17248-2024 artfynd.xlsx", "A 17248-2024")</f>
        <v/>
      </c>
      <c r="X112">
        <f>HYPERLINK("https://klasma.github.io/Logging_0581/kartor/A 17248-2024 karta.png", "A 17248-2024")</f>
        <v/>
      </c>
      <c r="Y112">
        <f>HYPERLINK("https://klasma.github.io/Logging_0581/kartor_geotiff/A 17248-2024 georefererad karta.tif", "A 17248-2024")</f>
        <v/>
      </c>
      <c r="AA112">
        <f>HYPERLINK("https://klasma.github.io/Logging_0581/klagomål/A 17248-2024 FSC-klagomål.docx", "A 17248-2024")</f>
        <v/>
      </c>
      <c r="AB112">
        <f>HYPERLINK("https://klasma.github.io/Logging_0581/klagomålsmail/A 17248-2024 FSC-klagomål mail.docx", "A 17248-2024")</f>
        <v/>
      </c>
      <c r="AC112">
        <f>HYPERLINK("https://klasma.github.io/Logging_0581/tillsyn/A 17248-2024 tillsynsbegäran.docx", "A 17248-2024")</f>
        <v/>
      </c>
      <c r="AD112">
        <f>HYPERLINK("https://klasma.github.io/Logging_0581/tillsynsmail/A 17248-2024 tillsynsbegäran mail.docx", "A 17248-2024")</f>
        <v/>
      </c>
    </row>
    <row r="113" ht="15" customHeight="1">
      <c r="A113" t="inlineStr">
        <is>
          <t>A 17793-2025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45758</v>
      </c>
      <c r="E113" s="1" t="n">
        <v>46316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6.7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Huggorm</t>
        </is>
      </c>
      <c r="W113">
        <f>HYPERLINK("https://klasma.github.io/Logging_0581/artfynd/A 17793-2025 artfynd.xlsx", "A 17793-2025")</f>
        <v/>
      </c>
      <c r="X113">
        <f>HYPERLINK("https://klasma.github.io/Logging_0581/kartor/A 17793-2025 karta.png", "A 17793-2025")</f>
        <v/>
      </c>
      <c r="Y113">
        <f>HYPERLINK("https://klasma.github.io/Logging_0581/kartor_geotiff/A 17793-2025 georefererad karta.tif", "A 17793-2025")</f>
        <v/>
      </c>
      <c r="AA113">
        <f>HYPERLINK("https://klasma.github.io/Logging_0581/klagomål/A 17793-2025 FSC-klagomål.docx", "A 17793-2025")</f>
        <v/>
      </c>
      <c r="AB113">
        <f>HYPERLINK("https://klasma.github.io/Logging_0581/klagomålsmail/A 17793-2025 FSC-klagomål mail.docx", "A 17793-2025")</f>
        <v/>
      </c>
      <c r="AC113">
        <f>HYPERLINK("https://klasma.github.io/Logging_0581/tillsyn/A 17793-2025 tillsynsbegäran.docx", "A 17793-2025")</f>
        <v/>
      </c>
      <c r="AD113">
        <f>HYPERLINK("https://klasma.github.io/Logging_0581/tillsynsmail/A 17793-2025 tillsynsbegäran mail.docx", "A 17793-2025")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46316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46316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46316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46316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46316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46316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46316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46316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46316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46316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46316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46316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46316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46316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46316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46316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46316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2832-2026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46316</v>
      </c>
      <c r="F131" t="inlineStr">
        <is>
          <t>ÖSTERGÖTLANDS LÄN</t>
        </is>
      </c>
      <c r="G131" t="inlineStr">
        <is>
          <t>NORRKÖPING</t>
        </is>
      </c>
      <c r="I131" t="n">
        <v>5.5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HYPERLINK("https://klasma.github.io/Logging_0581/artfynd/A 2832-2026 artfynd.xlsx", "A 2832-2026")</f>
        <v/>
      </c>
      <c r="X131">
        <f>HYPERLINK("https://klasma.github.io/Logging_0581/kartor/A 2832-2026 karta.png", "A 2832-2026")</f>
        <v/>
      </c>
      <c r="Y131">
        <f>HYPERLINK("https://klasma.github.io/Logging_0581/kartor_geotiff/A 2832-2026 georefererad karta.tif", "A 2832-2026")</f>
        <v/>
      </c>
      <c r="AA131">
        <f>HYPERLINK("https://klasma.github.io/Logging_0581/klagomål/A 2832-2026 FSC-klagomål.docx", "A 2832-2026")</f>
        <v/>
      </c>
      <c r="AB131">
        <f>HYPERLINK("https://klasma.github.io/Logging_0581/klagomålsmail/A 2832-2026 FSC-klagomål mail.docx", "A 2832-2026")</f>
        <v/>
      </c>
      <c r="AC131">
        <f>HYPERLINK("https://klasma.github.io/Logging_0581/tillsyn/A 2832-2026 tillsynsbegäran.docx", "A 2832-2026")</f>
        <v/>
      </c>
      <c r="AD131">
        <f>HYPERLINK("https://klasma.github.io/Logging_0581/tillsynsmail/A 2832-2026 tillsynsbegäran mail.docx", "A 2832-2026")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46316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6347-2026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46316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Blanksvart trämyra</t>
        </is>
      </c>
      <c r="W133">
        <f>HYPERLINK("https://klasma.github.io/Logging_0581/artfynd/A 6347-2026 artfynd.xlsx", "A 6347-2026")</f>
        <v/>
      </c>
      <c r="X133">
        <f>HYPERLINK("https://klasma.github.io/Logging_0581/kartor/A 6347-2026 karta.png", "A 6347-2026")</f>
        <v/>
      </c>
      <c r="Y133">
        <f>HYPERLINK("https://klasma.github.io/Logging_0581/kartor_geotiff/A 6347-2026 georefererad karta.tif", "A 6347-2026")</f>
        <v/>
      </c>
      <c r="AA133">
        <f>HYPERLINK("https://klasma.github.io/Logging_0581/klagomål/A 6347-2026 FSC-klagomål.docx", "A 6347-2026")</f>
        <v/>
      </c>
      <c r="AB133">
        <f>HYPERLINK("https://klasma.github.io/Logging_0581/klagomålsmail/A 6347-2026 FSC-klagomål mail.docx", "A 6347-2026")</f>
        <v/>
      </c>
      <c r="AC133">
        <f>HYPERLINK("https://klasma.github.io/Logging_0581/tillsyn/A 6347-2026 tillsynsbegäran.docx", "A 6347-2026")</f>
        <v/>
      </c>
      <c r="AD133">
        <f>HYPERLINK("https://klasma.github.io/Logging_0581/tillsynsmail/A 6347-2026 tillsynsbegäran mail.docx", "A 6347-2026")</f>
        <v/>
      </c>
    </row>
    <row r="134" ht="15" customHeight="1">
      <c r="A134" t="inlineStr">
        <is>
          <t>A 41369-2023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46316</v>
      </c>
      <c r="F134" t="inlineStr">
        <is>
          <t>ÖSTERGÖTLANDS LÄN</t>
        </is>
      </c>
      <c r="G134" t="inlineStr">
        <is>
          <t>NORRKÖPING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HYPERLINK("https://klasma.github.io/Logging_0581/artfynd/A 41369-2023 artfynd.xlsx", "A 41369-2023")</f>
        <v/>
      </c>
      <c r="X134">
        <f>HYPERLINK("https://klasma.github.io/Logging_0581/kartor/A 41369-2023 karta.png", "A 41369-2023")</f>
        <v/>
      </c>
      <c r="Y134">
        <f>HYPERLINK("https://klasma.github.io/Logging_0581/kartor_geotiff/A 41369-2023 georefererad karta.tif", "A 41369-2023")</f>
        <v/>
      </c>
      <c r="AA134">
        <f>HYPERLINK("https://klasma.github.io/Logging_0581/klagomål/A 41369-2023 FSC-klagomål.docx", "A 41369-2023")</f>
        <v/>
      </c>
      <c r="AB134">
        <f>HYPERLINK("https://klasma.github.io/Logging_0581/klagomålsmail/A 41369-2023 FSC-klagomål mail.docx", "A 41369-2023")</f>
        <v/>
      </c>
      <c r="AC134">
        <f>HYPERLINK("https://klasma.github.io/Logging_0581/tillsyn/A 41369-2023 tillsynsbegäran.docx", "A 41369-2023")</f>
        <v/>
      </c>
      <c r="AD134">
        <f>HYPERLINK("https://klasma.github.io/Logging_0581/tillsynsmail/A 41369-2023 tillsynsbegäran mail.docx", "A 41369-2023")</f>
        <v/>
      </c>
    </row>
    <row r="135" ht="15" customHeight="1">
      <c r="A135" t="inlineStr">
        <is>
          <t>A 9941-2024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46316</v>
      </c>
      <c r="F135" t="inlineStr">
        <is>
          <t>ÖSTERGÖTLANDS LÄN</t>
        </is>
      </c>
      <c r="G135" t="inlineStr">
        <is>
          <t>NORRKÖPING</t>
        </is>
      </c>
      <c r="I135" t="n">
        <v>3.1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Purpurknipprot</t>
        </is>
      </c>
      <c r="W135">
        <f>HYPERLINK("https://klasma.github.io/Logging_0581/artfynd/A 9941-2024 artfynd.xlsx", "A 9941-2024")</f>
        <v/>
      </c>
      <c r="X135">
        <f>HYPERLINK("https://klasma.github.io/Logging_0581/kartor/A 9941-2024 karta.png", "A 9941-2024")</f>
        <v/>
      </c>
      <c r="Y135">
        <f>HYPERLINK("https://klasma.github.io/Logging_0581/kartor_geotiff/A 9941-2024 georefererad karta.tif", "A 9941-2024")</f>
        <v/>
      </c>
      <c r="AA135">
        <f>HYPERLINK("https://klasma.github.io/Logging_0581/klagomål/A 9941-2024 FSC-klagomål.docx", "A 9941-2024")</f>
        <v/>
      </c>
      <c r="AB135">
        <f>HYPERLINK("https://klasma.github.io/Logging_0581/klagomålsmail/A 9941-2024 FSC-klagomål mail.docx", "A 9941-2024")</f>
        <v/>
      </c>
      <c r="AC135">
        <f>HYPERLINK("https://klasma.github.io/Logging_0581/tillsyn/A 9941-2024 tillsynsbegäran.docx", "A 9941-2024")</f>
        <v/>
      </c>
      <c r="AD135">
        <f>HYPERLINK("https://klasma.github.io/Logging_0581/tillsynsmail/A 9941-2024 tillsynsbegäran mail.docx", "A 9941-2024")</f>
        <v/>
      </c>
    </row>
    <row r="136" ht="15" customHeight="1">
      <c r="A136" t="inlineStr">
        <is>
          <t>A 1077-2023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46316</v>
      </c>
      <c r="F136" t="inlineStr">
        <is>
          <t>ÖSTERGÖTLANDS LÄN</t>
        </is>
      </c>
      <c r="G136" t="inlineStr">
        <is>
          <t>NORRKÖPING</t>
        </is>
      </c>
      <c r="I136" t="n">
        <v>3.4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Äkta lopplummer</t>
        </is>
      </c>
      <c r="W136">
        <f>HYPERLINK("https://klasma.github.io/Logging_0581/artfynd/A 1077-2023 artfynd.xlsx", "A 1077-2023")</f>
        <v/>
      </c>
      <c r="X136">
        <f>HYPERLINK("https://klasma.github.io/Logging_0581/kartor/A 1077-2023 karta.png", "A 1077-2023")</f>
        <v/>
      </c>
      <c r="Y136">
        <f>HYPERLINK("https://klasma.github.io/Logging_0581/kartor_geotiff/A 1077-2023 georefererad karta.tif", "A 1077-2023")</f>
        <v/>
      </c>
      <c r="AA136">
        <f>HYPERLINK("https://klasma.github.io/Logging_0581/klagomål/A 1077-2023 FSC-klagomål.docx", "A 1077-2023")</f>
        <v/>
      </c>
      <c r="AB136">
        <f>HYPERLINK("https://klasma.github.io/Logging_0581/klagomålsmail/A 1077-2023 FSC-klagomål mail.docx", "A 1077-2023")</f>
        <v/>
      </c>
      <c r="AC136">
        <f>HYPERLINK("https://klasma.github.io/Logging_0581/tillsyn/A 1077-2023 tillsynsbegäran.docx", "A 1077-2023")</f>
        <v/>
      </c>
      <c r="AD136">
        <f>HYPERLINK("https://klasma.github.io/Logging_0581/tillsynsmail/A 1077-2023 tillsynsbegäran mail.docx", "A 1077-2023")</f>
        <v/>
      </c>
    </row>
    <row r="137" ht="15" customHeight="1">
      <c r="A137" t="inlineStr">
        <is>
          <t>A 27236-2023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46316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HYPERLINK("https://klasma.github.io/Logging_0581/artfynd/A 27236-2023 artfynd.xlsx", "A 27236-2023")</f>
        <v/>
      </c>
      <c r="X137">
        <f>HYPERLINK("https://klasma.github.io/Logging_0581/kartor/A 27236-2023 karta.png", "A 27236-2023")</f>
        <v/>
      </c>
      <c r="Y137">
        <f>HYPERLINK("https://klasma.github.io/Logging_0581/kartor_geotiff/A 27236-2023 georefererad karta.tif", "A 27236-2023")</f>
        <v/>
      </c>
      <c r="AA137">
        <f>HYPERLINK("https://klasma.github.io/Logging_0581/klagomål/A 27236-2023 FSC-klagomål.docx", "A 27236-2023")</f>
        <v/>
      </c>
      <c r="AB137">
        <f>HYPERLINK("https://klasma.github.io/Logging_0581/klagomålsmail/A 27236-2023 FSC-klagomål mail.docx", "A 27236-2023")</f>
        <v/>
      </c>
      <c r="AC137">
        <f>HYPERLINK("https://klasma.github.io/Logging_0581/tillsyn/A 27236-2023 tillsynsbegäran.docx", "A 27236-2023")</f>
        <v/>
      </c>
      <c r="AD137">
        <f>HYPERLINK("https://klasma.github.io/Logging_0581/tillsynsmail/A 27236-2023 tillsynsbegäran mail.docx", "A 27236-2023")</f>
        <v/>
      </c>
    </row>
    <row r="138" ht="15" customHeight="1">
      <c r="A138" t="inlineStr">
        <is>
          <t>A 15124-2025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46316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Vedskivlav</t>
        </is>
      </c>
      <c r="W138">
        <f>HYPERLINK("https://klasma.github.io/Logging_0581/artfynd/A 15124-2025 artfynd.xlsx", "A 15124-2025")</f>
        <v/>
      </c>
      <c r="X138">
        <f>HYPERLINK("https://klasma.github.io/Logging_0581/kartor/A 15124-2025 karta.png", "A 15124-2025")</f>
        <v/>
      </c>
      <c r="Y138">
        <f>HYPERLINK("https://klasma.github.io/Logging_0581/kartor_geotiff/A 15124-2025 georefererad karta.tif", "A 15124-2025")</f>
        <v/>
      </c>
      <c r="AA138">
        <f>HYPERLINK("https://klasma.github.io/Logging_0581/klagomål/A 15124-2025 FSC-klagomål.docx", "A 15124-2025")</f>
        <v/>
      </c>
      <c r="AB138">
        <f>HYPERLINK("https://klasma.github.io/Logging_0581/klagomålsmail/A 15124-2025 FSC-klagomål mail.docx", "A 15124-2025")</f>
        <v/>
      </c>
      <c r="AC138">
        <f>HYPERLINK("https://klasma.github.io/Logging_0581/tillsyn/A 15124-2025 tillsynsbegäran.docx", "A 15124-2025")</f>
        <v/>
      </c>
      <c r="AD138">
        <f>HYPERLINK("https://klasma.github.io/Logging_0581/tillsynsmail/A 15124-2025 tillsynsbegäran mail.docx", "A 15124-2025")</f>
        <v/>
      </c>
    </row>
    <row r="139" ht="15" customHeight="1">
      <c r="A139" t="inlineStr">
        <is>
          <t>A 11126-2026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46316</v>
      </c>
      <c r="F139" t="inlineStr">
        <is>
          <t>ÖSTERGÖTLANDS LÄN</t>
        </is>
      </c>
      <c r="G139" t="inlineStr">
        <is>
          <t>NORRKÖPING</t>
        </is>
      </c>
      <c r="I139" t="n">
        <v>2.1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Svinrot</t>
        </is>
      </c>
      <c r="W139">
        <f>HYPERLINK("https://klasma.github.io/Logging_0581/artfynd/A 11126-2026 artfynd.xlsx", "A 11126-2026")</f>
        <v/>
      </c>
      <c r="X139">
        <f>HYPERLINK("https://klasma.github.io/Logging_0581/kartor/A 11126-2026 karta.png", "A 11126-2026")</f>
        <v/>
      </c>
      <c r="Y139">
        <f>HYPERLINK("https://klasma.github.io/Logging_0581/kartor_geotiff/A 11126-2026 georefererad karta.tif", "A 11126-2026")</f>
        <v/>
      </c>
      <c r="AA139">
        <f>HYPERLINK("https://klasma.github.io/Logging_0581/klagomål/A 11126-2026 FSC-klagomål.docx", "A 11126-2026")</f>
        <v/>
      </c>
      <c r="AB139">
        <f>HYPERLINK("https://klasma.github.io/Logging_0581/klagomålsmail/A 11126-2026 FSC-klagomål mail.docx", "A 11126-2026")</f>
        <v/>
      </c>
      <c r="AC139">
        <f>HYPERLINK("https://klasma.github.io/Logging_0581/tillsyn/A 11126-2026 tillsynsbegäran.docx", "A 11126-2026")</f>
        <v/>
      </c>
      <c r="AD139">
        <f>HYPERLINK("https://klasma.github.io/Logging_0581/tillsynsmail/A 11126-2026 tillsynsbegäran mail.docx", "A 11126-2026")</f>
        <v/>
      </c>
    </row>
    <row r="140" ht="15" customHeight="1">
      <c r="A140" t="inlineStr">
        <is>
          <t>A 11714-2026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46084</v>
      </c>
      <c r="E140" s="1" t="n">
        <v>46316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Gulsparv</t>
        </is>
      </c>
      <c r="W140">
        <f>HYPERLINK("https://klasma.github.io/Logging_0581/artfynd/A 11714-2026 artfynd.xlsx", "A 11714-2026")</f>
        <v/>
      </c>
      <c r="X140">
        <f>HYPERLINK("https://klasma.github.io/Logging_0581/kartor/A 11714-2026 karta.png", "A 11714-2026")</f>
        <v/>
      </c>
      <c r="Y140">
        <f>HYPERLINK("https://klasma.github.io/Logging_0581/kartor_geotiff/A 11714-2026 georefererad karta.tif", "A 11714-2026")</f>
        <v/>
      </c>
      <c r="AA140">
        <f>HYPERLINK("https://klasma.github.io/Logging_0581/klagomål/A 11714-2026 FSC-klagomål.docx", "A 11714-2026")</f>
        <v/>
      </c>
      <c r="AB140">
        <f>HYPERLINK("https://klasma.github.io/Logging_0581/klagomålsmail/A 11714-2026 FSC-klagomål mail.docx", "A 11714-2026")</f>
        <v/>
      </c>
      <c r="AC140">
        <f>HYPERLINK("https://klasma.github.io/Logging_0581/tillsyn/A 11714-2026 tillsynsbegäran.docx", "A 11714-2026")</f>
        <v/>
      </c>
      <c r="AD140">
        <f>HYPERLINK("https://klasma.github.io/Logging_0581/tillsynsmail/A 11714-2026 tillsynsbegäran mail.docx", "A 11714-2026")</f>
        <v/>
      </c>
      <c r="AE140">
        <f>HYPERLINK("https://klasma.github.io/Logging_0581/fåglar/A 11714-2026 prioriterade fågelarter.docx", "A 11714-2026")</f>
        <v/>
      </c>
    </row>
    <row r="141" ht="15" customHeight="1">
      <c r="A141" t="inlineStr">
        <is>
          <t>A 15143-2025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46316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15143-2025 artfynd.xlsx", "A 15143-2025")</f>
        <v/>
      </c>
      <c r="X141">
        <f>HYPERLINK("https://klasma.github.io/Logging_0581/kartor/A 15143-2025 karta.png", "A 15143-2025")</f>
        <v/>
      </c>
      <c r="Y141">
        <f>HYPERLINK("https://klasma.github.io/Logging_0581/kartor_geotiff/A 15143-2025 georefererad karta.tif", "A 15143-2025")</f>
        <v/>
      </c>
      <c r="AA141">
        <f>HYPERLINK("https://klasma.github.io/Logging_0581/klagomål/A 15143-2025 FSC-klagomål.docx", "A 15143-2025")</f>
        <v/>
      </c>
      <c r="AB141">
        <f>HYPERLINK("https://klasma.github.io/Logging_0581/klagomålsmail/A 15143-2025 FSC-klagomål mail.docx", "A 15143-2025")</f>
        <v/>
      </c>
      <c r="AC141">
        <f>HYPERLINK("https://klasma.github.io/Logging_0581/tillsyn/A 15143-2025 tillsynsbegäran.docx", "A 15143-2025")</f>
        <v/>
      </c>
      <c r="AD141">
        <f>HYPERLINK("https://klasma.github.io/Logging_0581/tillsynsmail/A 15143-2025 tillsynsbegäran mail.docx", "A 15143-2025")</f>
        <v/>
      </c>
    </row>
    <row r="142" ht="15" customHeight="1">
      <c r="A142" t="inlineStr">
        <is>
          <t>A 31320-2025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46316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Blåmossa</t>
        </is>
      </c>
      <c r="W142">
        <f>HYPERLINK("https://klasma.github.io/Logging_0581/artfynd/A 31320-2025 artfynd.xlsx", "A 31320-2025")</f>
        <v/>
      </c>
      <c r="X142">
        <f>HYPERLINK("https://klasma.github.io/Logging_0581/kartor/A 31320-2025 karta.png", "A 31320-2025")</f>
        <v/>
      </c>
      <c r="Y142">
        <f>HYPERLINK("https://klasma.github.io/Logging_0581/kartor_geotiff/A 31320-2025 georefererad karta.tif", "A 31320-2025")</f>
        <v/>
      </c>
      <c r="AA142">
        <f>HYPERLINK("https://klasma.github.io/Logging_0581/klagomål/A 31320-2025 FSC-klagomål.docx", "A 31320-2025")</f>
        <v/>
      </c>
      <c r="AB142">
        <f>HYPERLINK("https://klasma.github.io/Logging_0581/klagomålsmail/A 31320-2025 FSC-klagomål mail.docx", "A 31320-2025")</f>
        <v/>
      </c>
      <c r="AC142">
        <f>HYPERLINK("https://klasma.github.io/Logging_0581/tillsyn/A 31320-2025 tillsynsbegäran.docx", "A 31320-2025")</f>
        <v/>
      </c>
      <c r="AD142">
        <f>HYPERLINK("https://klasma.github.io/Logging_0581/tillsynsmail/A 31320-2025 tillsynsbegäran mail.docx", "A 31320-2025")</f>
        <v/>
      </c>
    </row>
    <row r="143" ht="15" customHeight="1">
      <c r="A143" t="inlineStr">
        <is>
          <t>A 62973-2021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44504</v>
      </c>
      <c r="E143" s="1" t="n">
        <v>46316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Krusfrö</t>
        </is>
      </c>
      <c r="W143">
        <f>HYPERLINK("https://klasma.github.io/Logging_0581/artfynd/A 62973-2021 artfynd.xlsx", "A 62973-2021")</f>
        <v/>
      </c>
      <c r="X143">
        <f>HYPERLINK("https://klasma.github.io/Logging_0581/kartor/A 62973-2021 karta.png", "A 62973-2021")</f>
        <v/>
      </c>
      <c r="Y143">
        <f>HYPERLINK("https://klasma.github.io/Logging_0581/kartor_geotiff/A 62973-2021 georefererad karta.tif", "A 62973-2021")</f>
        <v/>
      </c>
      <c r="AA143">
        <f>HYPERLINK("https://klasma.github.io/Logging_0581/klagomål/A 62973-2021 FSC-klagomål.docx", "A 62973-2021")</f>
        <v/>
      </c>
      <c r="AB143">
        <f>HYPERLINK("https://klasma.github.io/Logging_0581/klagomålsmail/A 62973-2021 FSC-klagomål mail.docx", "A 62973-2021")</f>
        <v/>
      </c>
      <c r="AC143">
        <f>HYPERLINK("https://klasma.github.io/Logging_0581/tillsyn/A 62973-2021 tillsynsbegäran.docx", "A 62973-2021")</f>
        <v/>
      </c>
      <c r="AD143">
        <f>HYPERLINK("https://klasma.github.io/Logging_0581/tillsynsmail/A 62973-2021 tillsynsbegäran mail.docx", "A 62973-2021")</f>
        <v/>
      </c>
    </row>
    <row r="144" ht="15" customHeight="1">
      <c r="A144" t="inlineStr">
        <is>
          <t>A 34078-2025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46316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Järpe</t>
        </is>
      </c>
      <c r="W144">
        <f>HYPERLINK("https://klasma.github.io/Logging_0581/artfynd/A 34078-2025 artfynd.xlsx", "A 34078-2025")</f>
        <v/>
      </c>
      <c r="X144">
        <f>HYPERLINK("https://klasma.github.io/Logging_0581/kartor/A 34078-2025 karta.png", "A 34078-2025")</f>
        <v/>
      </c>
      <c r="Y144">
        <f>HYPERLINK("https://klasma.github.io/Logging_0581/kartor_geotiff/A 34078-2025 georefererad karta.tif", "A 34078-2025")</f>
        <v/>
      </c>
      <c r="AA144">
        <f>HYPERLINK("https://klasma.github.io/Logging_0581/klagomål/A 34078-2025 FSC-klagomål.docx", "A 34078-2025")</f>
        <v/>
      </c>
      <c r="AB144">
        <f>HYPERLINK("https://klasma.github.io/Logging_0581/klagomålsmail/A 34078-2025 FSC-klagomål mail.docx", "A 34078-2025")</f>
        <v/>
      </c>
      <c r="AC144">
        <f>HYPERLINK("https://klasma.github.io/Logging_0581/tillsyn/A 34078-2025 tillsynsbegäran.docx", "A 34078-2025")</f>
        <v/>
      </c>
      <c r="AD144">
        <f>HYPERLINK("https://klasma.github.io/Logging_0581/tillsynsmail/A 34078-2025 tillsynsbegäran mail.docx", "A 34078-2025")</f>
        <v/>
      </c>
      <c r="AE144">
        <f>HYPERLINK("https://klasma.github.io/Logging_0581/fåglar/A 34078-2025 prioriterade fågelarter.docx", "A 34078-2025")</f>
        <v/>
      </c>
    </row>
    <row r="145" ht="15" customHeight="1">
      <c r="A145" t="inlineStr">
        <is>
          <t>A 2545-2023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46316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Hasselticka</t>
        </is>
      </c>
      <c r="W145">
        <f>HYPERLINK("https://klasma.github.io/Logging_0581/artfynd/A 2545-2023 artfynd.xlsx", "A 2545-2023")</f>
        <v/>
      </c>
      <c r="X145">
        <f>HYPERLINK("https://klasma.github.io/Logging_0581/kartor/A 2545-2023 karta.png", "A 2545-2023")</f>
        <v/>
      </c>
      <c r="Y145">
        <f>HYPERLINK("https://klasma.github.io/Logging_0581/kartor_geotiff/A 2545-2023 georefererad karta.tif", "A 2545-2023")</f>
        <v/>
      </c>
      <c r="AA145">
        <f>HYPERLINK("https://klasma.github.io/Logging_0581/klagomål/A 2545-2023 FSC-klagomål.docx", "A 2545-2023")</f>
        <v/>
      </c>
      <c r="AB145">
        <f>HYPERLINK("https://klasma.github.io/Logging_0581/klagomålsmail/A 2545-2023 FSC-klagomål mail.docx", "A 2545-2023")</f>
        <v/>
      </c>
      <c r="AC145">
        <f>HYPERLINK("https://klasma.github.io/Logging_0581/tillsyn/A 2545-2023 tillsynsbegäran.docx", "A 2545-2023")</f>
        <v/>
      </c>
      <c r="AD145">
        <f>HYPERLINK("https://klasma.github.io/Logging_0581/tillsynsmail/A 2545-2023 tillsynsbegäran mail.docx", "A 2545-2023")</f>
        <v/>
      </c>
    </row>
    <row r="146" ht="15" customHeight="1">
      <c r="A146" t="inlineStr">
        <is>
          <t>A 3247-2024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46316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Sparvuggla</t>
        </is>
      </c>
      <c r="W146">
        <f>HYPERLINK("https://klasma.github.io/Logging_0581/artfynd/A 3247-2024 artfynd.xlsx", "A 3247-2024")</f>
        <v/>
      </c>
      <c r="X146">
        <f>HYPERLINK("https://klasma.github.io/Logging_0581/kartor/A 3247-2024 karta.png", "A 3247-2024")</f>
        <v/>
      </c>
      <c r="Y146">
        <f>HYPERLINK("https://klasma.github.io/Logging_0581/kartor_geotiff/A 3247-2024 georefererad karta.tif", "A 3247-2024")</f>
        <v/>
      </c>
      <c r="AA146">
        <f>HYPERLINK("https://klasma.github.io/Logging_0581/klagomål/A 3247-2024 FSC-klagomål.docx", "A 3247-2024")</f>
        <v/>
      </c>
      <c r="AB146">
        <f>HYPERLINK("https://klasma.github.io/Logging_0581/klagomålsmail/A 3247-2024 FSC-klagomål mail.docx", "A 3247-2024")</f>
        <v/>
      </c>
      <c r="AC146">
        <f>HYPERLINK("https://klasma.github.io/Logging_0581/tillsyn/A 3247-2024 tillsynsbegäran.docx", "A 3247-2024")</f>
        <v/>
      </c>
      <c r="AD146">
        <f>HYPERLINK("https://klasma.github.io/Logging_0581/tillsynsmail/A 3247-2024 tillsynsbegäran mail.docx", "A 3247-2024")</f>
        <v/>
      </c>
      <c r="AE146">
        <f>HYPERLINK("https://klasma.github.io/Logging_0581/fåglar/A 3247-2024 prioriterade fågelarter.docx", "A 3247-2024")</f>
        <v/>
      </c>
    </row>
    <row r="147" ht="15" customHeight="1">
      <c r="A147" t="inlineStr">
        <is>
          <t>A 20170-2026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HYPERLINK("https://klasma.github.io/Logging_0581/artfynd/A 20170-2026 artfynd.xlsx", "A 20170-2026")</f>
        <v/>
      </c>
      <c r="X147">
        <f>HYPERLINK("https://klasma.github.io/Logging_0581/kartor/A 20170-2026 karta.png", "A 20170-2026")</f>
        <v/>
      </c>
      <c r="Y147">
        <f>HYPERLINK("https://klasma.github.io/Logging_0581/kartor_geotiff/A 20170-2026 georefererad karta.tif", "A 20170-2026")</f>
        <v/>
      </c>
      <c r="AA147">
        <f>HYPERLINK("https://klasma.github.io/Logging_0581/klagomål/A 20170-2026 FSC-klagomål.docx", "A 20170-2026")</f>
        <v/>
      </c>
      <c r="AB147">
        <f>HYPERLINK("https://klasma.github.io/Logging_0581/klagomålsmail/A 20170-2026 FSC-klagomål mail.docx", "A 20170-2026")</f>
        <v/>
      </c>
      <c r="AC147">
        <f>HYPERLINK("https://klasma.github.io/Logging_0581/tillsyn/A 20170-2026 tillsynsbegäran.docx", "A 20170-2026")</f>
        <v/>
      </c>
      <c r="AD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24629-2025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46316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Kråka</t>
        </is>
      </c>
      <c r="W148">
        <f>HYPERLINK("https://klasma.github.io/Logging_0581/artfynd/A 24629-2025 artfynd.xlsx", "A 24629-2025")</f>
        <v/>
      </c>
      <c r="X148">
        <f>HYPERLINK("https://klasma.github.io/Logging_0581/kartor/A 24629-2025 karta.png", "A 24629-2025")</f>
        <v/>
      </c>
      <c r="Y148">
        <f>HYPERLINK("https://klasma.github.io/Logging_0581/kartor_geotiff/A 24629-2025 georefererad karta.tif", "A 24629-2025")</f>
        <v/>
      </c>
      <c r="AA148">
        <f>HYPERLINK("https://klasma.github.io/Logging_0581/klagomål/A 24629-2025 FSC-klagomål.docx", "A 24629-2025")</f>
        <v/>
      </c>
      <c r="AB148">
        <f>HYPERLINK("https://klasma.github.io/Logging_0581/klagomålsmail/A 24629-2025 FSC-klagomål mail.docx", "A 24629-2025")</f>
        <v/>
      </c>
      <c r="AC148">
        <f>HYPERLINK("https://klasma.github.io/Logging_0581/tillsyn/A 24629-2025 tillsynsbegäran.docx", "A 24629-2025")</f>
        <v/>
      </c>
      <c r="AD148">
        <f>HYPERLINK("https://klasma.github.io/Logging_0581/tillsynsmail/A 24629-2025 tillsynsbegäran mail.docx", "A 24629-2025")</f>
        <v/>
      </c>
    </row>
    <row r="149" ht="15" customHeight="1">
      <c r="A149" t="inlineStr">
        <is>
          <t>A 60899-2024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46316</v>
      </c>
      <c r="F149" t="inlineStr">
        <is>
          <t>ÖSTERGÖTLANDS LÄN</t>
        </is>
      </c>
      <c r="G149" t="inlineStr">
        <is>
          <t>NORRKÖPING</t>
        </is>
      </c>
      <c r="I149" t="n">
        <v>2.4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60899-2024 artfynd.xlsx", "A 60899-2024")</f>
        <v/>
      </c>
      <c r="X149">
        <f>HYPERLINK("https://klasma.github.io/Logging_0581/kartor/A 60899-2024 karta.png", "A 60899-2024")</f>
        <v/>
      </c>
      <c r="Y149">
        <f>HYPERLINK("https://klasma.github.io/Logging_0581/kartor_geotiff/A 60899-2024 georefererad karta.tif", "A 60899-2024")</f>
        <v/>
      </c>
      <c r="AA149">
        <f>HYPERLINK("https://klasma.github.io/Logging_0581/klagomål/A 60899-2024 FSC-klagomål.docx", "A 60899-2024")</f>
        <v/>
      </c>
      <c r="AB149">
        <f>HYPERLINK("https://klasma.github.io/Logging_0581/klagomålsmail/A 60899-2024 FSC-klagomål mail.docx", "A 60899-2024")</f>
        <v/>
      </c>
      <c r="AC149">
        <f>HYPERLINK("https://klasma.github.io/Logging_0581/tillsyn/A 60899-2024 tillsynsbegäran.docx", "A 60899-2024")</f>
        <v/>
      </c>
      <c r="AD149">
        <f>HYPERLINK("https://klasma.github.io/Logging_0581/tillsynsmail/A 60899-2024 tillsynsbegäran mail.docx", "A 60899-2024")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46316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46316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HYPERLINK("https://klasma.github.io/Logging_0581/artfynd/A 58318-2023 artfynd.xlsx", "A 58318-2023")</f>
        <v/>
      </c>
      <c r="X151">
        <f>HYPERLINK("https://klasma.github.io/Logging_0581/kartor/A 58318-2023 karta.png", "A 58318-2023")</f>
        <v/>
      </c>
      <c r="Y151">
        <f>HYPERLINK("https://klasma.github.io/Logging_0581/kartor_geotiff/A 58318-2023 georefererad karta.tif", "A 58318-2023")</f>
        <v/>
      </c>
      <c r="AA151">
        <f>HYPERLINK("https://klasma.github.io/Logging_0581/klagomål/A 58318-2023 FSC-klagomål.docx", "A 58318-2023")</f>
        <v/>
      </c>
      <c r="AB151">
        <f>HYPERLINK("https://klasma.github.io/Logging_0581/klagomålsmail/A 58318-2023 FSC-klagomål mail.docx", "A 58318-2023")</f>
        <v/>
      </c>
      <c r="AC151">
        <f>HYPERLINK("https://klasma.github.io/Logging_0581/tillsyn/A 58318-2023 tillsynsbegäran.docx", "A 58318-2023")</f>
        <v/>
      </c>
      <c r="AD151">
        <f>HYPERLINK("https://klasma.github.io/Logging_0581/tillsynsmail/A 58318-2023 tillsynsbegäran mail.docx", "A 58318-2023")</f>
        <v/>
      </c>
      <c r="AE151">
        <f>HYPERLINK("https://klasma.github.io/Logging_0581/fåglar/A 58318-2023 prioriterade fågelarter.docx", "A 58318-2023")</f>
        <v/>
      </c>
    </row>
    <row r="152" ht="15" customHeight="1">
      <c r="A152" t="inlineStr">
        <is>
          <t>A 23627-2026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46316</v>
      </c>
      <c r="F152" t="inlineStr">
        <is>
          <t>ÖSTERGÖTLANDS LÄN</t>
        </is>
      </c>
      <c r="G152" t="inlineStr">
        <is>
          <t>NORRKÖPING</t>
        </is>
      </c>
      <c r="I152" t="n">
        <v>4.1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Ekoxe</t>
        </is>
      </c>
      <c r="W152">
        <f>HYPERLINK("https://klasma.github.io/Logging_0581/artfynd/A 23627-2026 artfynd.xlsx", "A 23627-2026")</f>
        <v/>
      </c>
      <c r="X152">
        <f>HYPERLINK("https://klasma.github.io/Logging_0581/kartor/A 23627-2026 karta.png", "A 23627-2026")</f>
        <v/>
      </c>
      <c r="Y152">
        <f>HYPERLINK("https://klasma.github.io/Logging_0581/kartor_geotiff/A 23627-2026 georefererad karta.tif", "A 23627-2026")</f>
        <v/>
      </c>
      <c r="AA152">
        <f>HYPERLINK("https://klasma.github.io/Logging_0581/klagomål/A 23627-2026 FSC-klagomål.docx", "A 23627-2026")</f>
        <v/>
      </c>
      <c r="AB152">
        <f>HYPERLINK("https://klasma.github.io/Logging_0581/klagomålsmail/A 23627-2026 FSC-klagomål mail.docx", "A 23627-2026")</f>
        <v/>
      </c>
      <c r="AC152">
        <f>HYPERLINK("https://klasma.github.io/Logging_0581/tillsyn/A 23627-2026 tillsynsbegäran.docx", "A 23627-2026")</f>
        <v/>
      </c>
      <c r="AD152">
        <f>HYPERLINK("https://klasma.github.io/Logging_0581/tillsynsmail/A 23627-2026 tillsynsbegäran mail.docx", "A 23627-2026")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46316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46316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45953-2024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45580</v>
      </c>
      <c r="E155" s="1" t="n">
        <v>46316</v>
      </c>
      <c r="F155" t="inlineStr">
        <is>
          <t>ÖSTERGÖTLANDS LÄN</t>
        </is>
      </c>
      <c r="G155" t="inlineStr">
        <is>
          <t>NORRKÖPING</t>
        </is>
      </c>
      <c r="I155" t="n">
        <v>1.9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Ekoxe</t>
        </is>
      </c>
      <c r="W155">
        <f>HYPERLINK("https://klasma.github.io/Logging_0581/artfynd/A 45953-2024 artfynd.xlsx", "A 45953-2024")</f>
        <v/>
      </c>
      <c r="X155">
        <f>HYPERLINK("https://klasma.github.io/Logging_0581/kartor/A 45953-2024 karta.png", "A 45953-2024")</f>
        <v/>
      </c>
      <c r="Y155">
        <f>HYPERLINK("https://klasma.github.io/Logging_0581/kartor_geotiff/A 45953-2024 georefererad karta.tif", "A 45953-2024")</f>
        <v/>
      </c>
      <c r="AA155">
        <f>HYPERLINK("https://klasma.github.io/Logging_0581/klagomål/A 45953-2024 FSC-klagomål.docx", "A 45953-2024")</f>
        <v/>
      </c>
      <c r="AB155">
        <f>HYPERLINK("https://klasma.github.io/Logging_0581/klagomålsmail/A 45953-2024 FSC-klagomål mail.docx", "A 45953-2024")</f>
        <v/>
      </c>
      <c r="AC155">
        <f>HYPERLINK("https://klasma.github.io/Logging_0581/tillsyn/A 45953-2024 tillsynsbegäran.docx", "A 45953-2024")</f>
        <v/>
      </c>
      <c r="AD155">
        <f>HYPERLINK("https://klasma.github.io/Logging_0581/tillsynsmail/A 45953-2024 tillsynsbegäran mail.docx", "A 45953-2024")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46316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46316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46316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46316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46316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46316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31231-2026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46316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4.2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HYPERLINK("https://klasma.github.io/Logging_0581/artfynd/A 31231-2026 artfynd.xlsx", "A 31231-2026")</f>
        <v/>
      </c>
      <c r="X162">
        <f>HYPERLINK("https://klasma.github.io/Logging_0581/kartor/A 31231-2026 karta.png", "A 31231-2026")</f>
        <v/>
      </c>
      <c r="Y162">
        <f>HYPERLINK("https://klasma.github.io/Logging_0581/kartor_geotiff/A 31231-2026 georefererad karta.tif", "A 31231-2026")</f>
        <v/>
      </c>
      <c r="AA162">
        <f>HYPERLINK("https://klasma.github.io/Logging_0581/klagomål/A 31231-2026 FSC-klagomål.docx", "A 31231-2026")</f>
        <v/>
      </c>
      <c r="AB162">
        <f>HYPERLINK("https://klasma.github.io/Logging_0581/klagomålsmail/A 31231-2026 FSC-klagomål mail.docx", "A 31231-2026")</f>
        <v/>
      </c>
      <c r="AC162">
        <f>HYPERLINK("https://klasma.github.io/Logging_0581/tillsyn/A 31231-2026 tillsynsbegäran.docx", "A 31231-2026")</f>
        <v/>
      </c>
      <c r="AD162">
        <f>HYPERLINK("https://klasma.github.io/Logging_0581/tillsynsmail/A 31231-2026 tillsynsbegäran mail.docx", "A 31231-2026")</f>
        <v/>
      </c>
    </row>
    <row r="163" ht="15" customHeight="1">
      <c r="A163" t="inlineStr">
        <is>
          <t>A 31254-2026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46316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Raggbock</t>
        </is>
      </c>
      <c r="W163">
        <f>HYPERLINK("https://klasma.github.io/Logging_0581/artfynd/A 31254-2026 artfynd.xlsx", "A 31254-2026")</f>
        <v/>
      </c>
      <c r="X163">
        <f>HYPERLINK("https://klasma.github.io/Logging_0581/kartor/A 31254-2026 karta.png", "A 31254-2026")</f>
        <v/>
      </c>
      <c r="Y163">
        <f>HYPERLINK("https://klasma.github.io/Logging_0581/kartor_geotiff/A 31254-2026 georefererad karta.tif", "A 31254-2026")</f>
        <v/>
      </c>
      <c r="AA163">
        <f>HYPERLINK("https://klasma.github.io/Logging_0581/klagomål/A 31254-2026 FSC-klagomål.docx", "A 31254-2026")</f>
        <v/>
      </c>
      <c r="AB163">
        <f>HYPERLINK("https://klasma.github.io/Logging_0581/klagomålsmail/A 31254-2026 FSC-klagomål mail.docx", "A 31254-2026")</f>
        <v/>
      </c>
      <c r="AC163">
        <f>HYPERLINK("https://klasma.github.io/Logging_0581/tillsyn/A 31254-2026 tillsynsbegäran.docx", "A 31254-2026")</f>
        <v/>
      </c>
      <c r="AD163">
        <f>HYPERLINK("https://klasma.github.io/Logging_0581/tillsynsmail/A 31254-2026 tillsynsbegäran mail.docx", "A 31254-2026")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46316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31660-2026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46225</v>
      </c>
      <c r="E165" s="1" t="n">
        <v>46316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8.199999999999999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Ängsskära</t>
        </is>
      </c>
      <c r="W165">
        <f>HYPERLINK("https://klasma.github.io/Logging_0581/artfynd/A 31660-2026 artfynd.xlsx", "A 31660-2026")</f>
        <v/>
      </c>
      <c r="X165">
        <f>HYPERLINK("https://klasma.github.io/Logging_0581/kartor/A 31660-2026 karta.png", "A 31660-2026")</f>
        <v/>
      </c>
      <c r="Y165">
        <f>HYPERLINK("https://klasma.github.io/Logging_0581/kartor_geotiff/A 31660-2026 georefererad karta.tif", "A 31660-2026")</f>
        <v/>
      </c>
      <c r="AA165">
        <f>HYPERLINK("https://klasma.github.io/Logging_0581/klagomål/A 31660-2026 FSC-klagomål.docx", "A 31660-2026")</f>
        <v/>
      </c>
      <c r="AB165">
        <f>HYPERLINK("https://klasma.github.io/Logging_0581/klagomålsmail/A 31660-2026 FSC-klagomål mail.docx", "A 31660-2026")</f>
        <v/>
      </c>
      <c r="AC165">
        <f>HYPERLINK("https://klasma.github.io/Logging_0581/tillsyn/A 31660-2026 tillsynsbegäran.docx", "A 31660-2026")</f>
        <v/>
      </c>
      <c r="AD165">
        <f>HYPERLINK("https://klasma.github.io/Logging_0581/tillsynsmail/A 31660-2026 tillsynsbegäran mail.docx", "A 31660-2026")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46316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32075-2026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46233</v>
      </c>
      <c r="E167" s="1" t="n">
        <v>46316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1.3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Grönpyrola</t>
        </is>
      </c>
      <c r="W167">
        <f>HYPERLINK("https://klasma.github.io/Logging_0581/artfynd/A 32075-2026 artfynd.xlsx", "A 32075-2026")</f>
        <v/>
      </c>
      <c r="X167">
        <f>HYPERLINK("https://klasma.github.io/Logging_0581/kartor/A 32075-2026 karta.png", "A 32075-2026")</f>
        <v/>
      </c>
      <c r="Y167">
        <f>HYPERLINK("https://klasma.github.io/Logging_0581/kartor_geotiff/A 32075-2026 georefererad karta.tif", "A 32075-2026")</f>
        <v/>
      </c>
      <c r="AA167">
        <f>HYPERLINK("https://klasma.github.io/Logging_0581/klagomål/A 32075-2026 FSC-klagomål.docx", "A 32075-2026")</f>
        <v/>
      </c>
      <c r="AB167">
        <f>HYPERLINK("https://klasma.github.io/Logging_0581/klagomålsmail/A 32075-2026 FSC-klagomål mail.docx", "A 32075-2026")</f>
        <v/>
      </c>
      <c r="AC167">
        <f>HYPERLINK("https://klasma.github.io/Logging_0581/tillsyn/A 32075-2026 tillsynsbegäran.docx", "A 32075-2026")</f>
        <v/>
      </c>
      <c r="AD167">
        <f>HYPERLINK("https://klasma.github.io/Logging_0581/tillsynsmail/A 32075-2026 tillsynsbegäran mail.docx", "A 32075-2026")</f>
        <v/>
      </c>
    </row>
    <row r="168" ht="15" customHeight="1">
      <c r="A168" t="inlineStr">
        <is>
          <t>A 27107-2023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46316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0.5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Svartvit flugsnappare</t>
        </is>
      </c>
      <c r="W168">
        <f>HYPERLINK("https://klasma.github.io/Logging_0581/artfynd/A 27107-2023 artfynd.xlsx", "A 27107-2023")</f>
        <v/>
      </c>
      <c r="X168">
        <f>HYPERLINK("https://klasma.github.io/Logging_0581/kartor/A 27107-2023 karta.png", "A 27107-2023")</f>
        <v/>
      </c>
      <c r="Y168">
        <f>HYPERLINK("https://klasma.github.io/Logging_0581/kartor_geotiff/A 27107-2023 georefererad karta.tif", "A 27107-2023")</f>
        <v/>
      </c>
      <c r="AA168">
        <f>HYPERLINK("https://klasma.github.io/Logging_0581/klagomål/A 27107-2023 FSC-klagomål.docx", "A 27107-2023")</f>
        <v/>
      </c>
      <c r="AB168">
        <f>HYPERLINK("https://klasma.github.io/Logging_0581/klagomålsmail/A 27107-2023 FSC-klagomål mail.docx", "A 27107-2023")</f>
        <v/>
      </c>
      <c r="AC168">
        <f>HYPERLINK("https://klasma.github.io/Logging_0581/tillsyn/A 27107-2023 tillsynsbegäran.docx", "A 27107-2023")</f>
        <v/>
      </c>
      <c r="AD168">
        <f>HYPERLINK("https://klasma.github.io/Logging_0581/tillsynsmail/A 27107-2023 tillsynsbegäran mail.docx", "A 27107-2023")</f>
        <v/>
      </c>
    </row>
    <row r="169" ht="15" customHeight="1">
      <c r="A169" t="inlineStr">
        <is>
          <t>A 32070-2026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46233</v>
      </c>
      <c r="E169" s="1" t="n">
        <v>46316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Grönpyrola</t>
        </is>
      </c>
      <c r="W169">
        <f>HYPERLINK("https://klasma.github.io/Logging_0581/artfynd/A 32070-2026 artfynd.xlsx", "A 32070-2026")</f>
        <v/>
      </c>
      <c r="X169">
        <f>HYPERLINK("https://klasma.github.io/Logging_0581/kartor/A 32070-2026 karta.png", "A 32070-2026")</f>
        <v/>
      </c>
      <c r="Y169">
        <f>HYPERLINK("https://klasma.github.io/Logging_0581/kartor_geotiff/A 32070-2026 georefererad karta.tif", "A 32070-2026")</f>
        <v/>
      </c>
      <c r="AA169">
        <f>HYPERLINK("https://klasma.github.io/Logging_0581/klagomål/A 32070-2026 FSC-klagomål.docx", "A 32070-2026")</f>
        <v/>
      </c>
      <c r="AB169">
        <f>HYPERLINK("https://klasma.github.io/Logging_0581/klagomålsmail/A 32070-2026 FSC-klagomål mail.docx", "A 32070-2026")</f>
        <v/>
      </c>
      <c r="AC169">
        <f>HYPERLINK("https://klasma.github.io/Logging_0581/tillsyn/A 32070-2026 tillsynsbegäran.docx", "A 32070-2026")</f>
        <v/>
      </c>
      <c r="AD169">
        <f>HYPERLINK("https://klasma.github.io/Logging_0581/tillsynsmail/A 32070-2026 tillsynsbegäran mail.docx", "A 32070-2026")</f>
        <v/>
      </c>
    </row>
    <row r="170" ht="15" customHeight="1">
      <c r="A170" t="inlineStr">
        <is>
          <t>A 31582-2023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46316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Tjäder</t>
        </is>
      </c>
      <c r="W170">
        <f>HYPERLINK("https://klasma.github.io/Logging_0581/artfynd/A 31582-2023 artfynd.xlsx", "A 31582-2023")</f>
        <v/>
      </c>
      <c r="X170">
        <f>HYPERLINK("https://klasma.github.io/Logging_0581/kartor/A 31582-2023 karta.png", "A 31582-2023")</f>
        <v/>
      </c>
      <c r="Y170">
        <f>HYPERLINK("https://klasma.github.io/Logging_0581/kartor_geotiff/A 31582-2023 georefererad karta.tif", "A 31582-2023")</f>
        <v/>
      </c>
      <c r="AA170">
        <f>HYPERLINK("https://klasma.github.io/Logging_0581/klagomål/A 31582-2023 FSC-klagomål.docx", "A 31582-2023")</f>
        <v/>
      </c>
      <c r="AB170">
        <f>HYPERLINK("https://klasma.github.io/Logging_0581/klagomålsmail/A 31582-2023 FSC-klagomål mail.docx", "A 31582-2023")</f>
        <v/>
      </c>
      <c r="AC170">
        <f>HYPERLINK("https://klasma.github.io/Logging_0581/tillsyn/A 31582-2023 tillsynsbegäran.docx", "A 31582-2023")</f>
        <v/>
      </c>
      <c r="AD170">
        <f>HYPERLINK("https://klasma.github.io/Logging_0581/tillsynsmail/A 31582-2023 tillsynsbegäran mail.docx", "A 31582-2023")</f>
        <v/>
      </c>
      <c r="AE170">
        <f>HYPERLINK("https://klasma.github.io/Logging_0581/fåglar/A 31582-2023 prioriterade fågelarter.docx", "A 31582-2023")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46316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39427-2026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46288</v>
      </c>
      <c r="E172" s="1" t="n">
        <v>46316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9.800000000000001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Sångsvan</t>
        </is>
      </c>
      <c r="W172">
        <f>HYPERLINK("https://klasma.github.io/Logging_0581/artfynd/A 39427-2026 artfynd.xlsx", "A 39427-2026")</f>
        <v/>
      </c>
      <c r="X172">
        <f>HYPERLINK("https://klasma.github.io/Logging_0581/kartor/A 39427-2026 karta.png", "A 39427-2026")</f>
        <v/>
      </c>
      <c r="Y172">
        <f>HYPERLINK("https://klasma.github.io/Logging_0581/kartor_geotiff/A 39427-2026 georefererad karta.tif", "A 39427-2026")</f>
        <v/>
      </c>
      <c r="AA172">
        <f>HYPERLINK("https://klasma.github.io/Logging_0581/klagomål/A 39427-2026 FSC-klagomål.docx", "A 39427-2026")</f>
        <v/>
      </c>
      <c r="AB172">
        <f>HYPERLINK("https://klasma.github.io/Logging_0581/klagomålsmail/A 39427-2026 FSC-klagomål mail.docx", "A 39427-2026")</f>
        <v/>
      </c>
      <c r="AC172">
        <f>HYPERLINK("https://klasma.github.io/Logging_0581/tillsyn/A 39427-2026 tillsynsbegäran.docx", "A 39427-2026")</f>
        <v/>
      </c>
      <c r="AD172">
        <f>HYPERLINK("https://klasma.github.io/Logging_0581/tillsynsmail/A 39427-2026 tillsynsbegäran mail.docx", "A 39427-2026")</f>
        <v/>
      </c>
      <c r="AE172">
        <f>HYPERLINK("https://klasma.github.io/Logging_0581/fåglar/A 39427-2026 prioriterade fågelarter.docx", "A 39427-2026")</f>
        <v/>
      </c>
    </row>
    <row r="173" ht="15" customHeight="1">
      <c r="A173" t="inlineStr">
        <is>
          <t>A 46201-2025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46316</v>
      </c>
      <c r="F173" t="inlineStr">
        <is>
          <t>ÖSTERGÖTLANDS LÄN</t>
        </is>
      </c>
      <c r="G173" t="inlineStr">
        <is>
          <t>NORRKÖPING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Hasselticka</t>
        </is>
      </c>
      <c r="W173">
        <f>HYPERLINK("https://klasma.github.io/Logging_0581/artfynd/A 46201-2025 artfynd.xlsx", "A 46201-2025")</f>
        <v/>
      </c>
      <c r="X173">
        <f>HYPERLINK("https://klasma.github.io/Logging_0581/kartor/A 46201-2025 karta.png", "A 46201-2025")</f>
        <v/>
      </c>
      <c r="Y173">
        <f>HYPERLINK("https://klasma.github.io/Logging_0581/kartor_geotiff/A 46201-2025 georefererad karta.tif", "A 46201-2025")</f>
        <v/>
      </c>
      <c r="AA173">
        <f>HYPERLINK("https://klasma.github.io/Logging_0581/klagomål/A 46201-2025 FSC-klagomål.docx", "A 46201-2025")</f>
        <v/>
      </c>
      <c r="AB173">
        <f>HYPERLINK("https://klasma.github.io/Logging_0581/klagomålsmail/A 46201-2025 FSC-klagomål mail.docx", "A 46201-2025")</f>
        <v/>
      </c>
      <c r="AC173">
        <f>HYPERLINK("https://klasma.github.io/Logging_0581/tillsyn/A 46201-2025 tillsynsbegäran.docx", "A 46201-2025")</f>
        <v/>
      </c>
      <c r="AD173">
        <f>HYPERLINK("https://klasma.github.io/Logging_0581/tillsynsmail/A 46201-2025 tillsynsbegäran mail.docx", "A 46201-2025")</f>
        <v/>
      </c>
    </row>
    <row r="174" ht="15" customHeight="1">
      <c r="A174" t="inlineStr">
        <is>
          <t>A 16610-2024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46316</v>
      </c>
      <c r="F174" t="inlineStr">
        <is>
          <t>ÖSTERGÖTLANDS LÄN</t>
        </is>
      </c>
      <c r="G174" t="inlineStr">
        <is>
          <t>NORRKÖPING</t>
        </is>
      </c>
      <c r="I174" t="n">
        <v>5.8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3</v>
      </c>
      <c r="U174" t="n">
        <v>3</v>
      </c>
      <c r="V174" s="2" t="inlineStr">
        <is>
          <t>Knärot</t>
        </is>
      </c>
      <c r="W174">
        <f>HYPERLINK("https://klasma.github.io/Logging_0581/artfynd/A 16610-2024 artfynd.xlsx", "A 16610-2024")</f>
        <v/>
      </c>
      <c r="X174">
        <f>HYPERLINK("https://klasma.github.io/Logging_0581/kartor/A 16610-2024 karta.png", "A 16610-2024")</f>
        <v/>
      </c>
      <c r="Y174">
        <f>HYPERLINK("https://klasma.github.io/Logging_0581/kartor_geotiff/A 16610-2024 georefererad karta.tif", "A 16610-2024")</f>
        <v/>
      </c>
      <c r="Z174">
        <f>HYPERLINK("https://klasma.github.io/Logging_0581/knärot/A 16610-2024 karta knärot.png", "A 16610-2024")</f>
        <v/>
      </c>
      <c r="AA174">
        <f>HYPERLINK("https://klasma.github.io/Logging_0581/klagomål/A 16610-2024 FSC-klagomål.docx", "A 16610-2024")</f>
        <v/>
      </c>
      <c r="AB174">
        <f>HYPERLINK("https://klasma.github.io/Logging_0581/klagomålsmail/A 16610-2024 FSC-klagomål mail.docx", "A 16610-2024")</f>
        <v/>
      </c>
      <c r="AC174">
        <f>HYPERLINK("https://klasma.github.io/Logging_0581/tillsyn/A 16610-2024 tillsynsbegäran.docx", "A 16610-2024")</f>
        <v/>
      </c>
      <c r="AD174">
        <f>HYPERLINK("https://klasma.github.io/Logging_0581/tillsynsmail/A 16610-2024 tillsynsbegäran mail.docx", "A 16610-2024")</f>
        <v/>
      </c>
    </row>
    <row r="175" ht="15" customHeight="1">
      <c r="A175" t="inlineStr">
        <is>
          <t>A 18636-2023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46316</v>
      </c>
      <c r="F175" t="inlineStr">
        <is>
          <t>ÖSTERGÖTLANDS LÄN</t>
        </is>
      </c>
      <c r="G175" t="inlineStr">
        <is>
          <t>NORRKÖPING</t>
        </is>
      </c>
      <c r="I175" t="n">
        <v>5.7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Spillkråka</t>
        </is>
      </c>
      <c r="W175">
        <f>HYPERLINK("https://klasma.github.io/Logging_0581/artfynd/A 18636-2023 artfynd.xlsx", "A 18636-2023")</f>
        <v/>
      </c>
      <c r="X175">
        <f>HYPERLINK("https://klasma.github.io/Logging_0581/kartor/A 18636-2023 karta.png", "A 18636-2023")</f>
        <v/>
      </c>
      <c r="Y175">
        <f>HYPERLINK("https://klasma.github.io/Logging_0581/kartor_geotiff/A 18636-2023 georefererad karta.tif", "A 18636-2023")</f>
        <v/>
      </c>
      <c r="AA175">
        <f>HYPERLINK("https://klasma.github.io/Logging_0581/klagomål/A 18636-2023 FSC-klagomål.docx", "A 18636-2023")</f>
        <v/>
      </c>
      <c r="AB175">
        <f>HYPERLINK("https://klasma.github.io/Logging_0581/klagomålsmail/A 18636-2023 FSC-klagomål mail.docx", "A 18636-2023")</f>
        <v/>
      </c>
      <c r="AC175">
        <f>HYPERLINK("https://klasma.github.io/Logging_0581/tillsyn/A 18636-2023 tillsynsbegäran.docx", "A 18636-2023")</f>
        <v/>
      </c>
      <c r="AD175">
        <f>HYPERLINK("https://klasma.github.io/Logging_0581/tillsynsmail/A 18636-2023 tillsynsbegäran mail.docx", "A 18636-2023")</f>
        <v/>
      </c>
      <c r="AE175">
        <f>HYPERLINK("https://klasma.github.io/Logging_0581/fåglar/A 18636-2023 prioriterade fågelarter.docx", "A 18636-2023")</f>
        <v/>
      </c>
    </row>
    <row r="176" ht="15" customHeight="1">
      <c r="A176" t="inlineStr">
        <is>
          <t>A 12145-2024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45376</v>
      </c>
      <c r="E176" s="1" t="n">
        <v>46316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Allmännings- och besparingsskogar</t>
        </is>
      </c>
      <c r="I176" t="n">
        <v>10.4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Gullgröppa</t>
        </is>
      </c>
      <c r="W176">
        <f>HYPERLINK("https://klasma.github.io/Logging_0581/artfynd/A 12145-2024 artfynd.xlsx", "A 12145-2024")</f>
        <v/>
      </c>
      <c r="X176">
        <f>HYPERLINK("https://klasma.github.io/Logging_0581/kartor/A 12145-2024 karta.png", "A 12145-2024")</f>
        <v/>
      </c>
      <c r="Y176">
        <f>HYPERLINK("https://klasma.github.io/Logging_0581/kartor_geotiff/A 12145-2024 georefererad karta.tif", "A 12145-2024")</f>
        <v/>
      </c>
      <c r="AA176">
        <f>HYPERLINK("https://klasma.github.io/Logging_0581/klagomål/A 12145-2024 FSC-klagomål.docx", "A 12145-2024")</f>
        <v/>
      </c>
      <c r="AB176">
        <f>HYPERLINK("https://klasma.github.io/Logging_0581/klagomålsmail/A 12145-2024 FSC-klagomål mail.docx", "A 12145-2024")</f>
        <v/>
      </c>
      <c r="AC176">
        <f>HYPERLINK("https://klasma.github.io/Logging_0581/tillsyn/A 12145-2024 tillsynsbegäran.docx", "A 12145-2024")</f>
        <v/>
      </c>
      <c r="AD176">
        <f>HYPERLINK("https://klasma.github.io/Logging_0581/tillsynsmail/A 12145-2024 tillsynsbegäran mail.docx", "A 12145-2024")</f>
        <v/>
      </c>
    </row>
    <row r="177" ht="15" customHeight="1">
      <c r="A177" t="inlineStr">
        <is>
          <t>A 15870-2024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46316</v>
      </c>
      <c r="F177" t="inlineStr">
        <is>
          <t>ÖSTERGÖTLANDS LÄN</t>
        </is>
      </c>
      <c r="G177" t="inlineStr">
        <is>
          <t>NORRKÖPING</t>
        </is>
      </c>
      <c r="I177" t="n">
        <v>1.3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Mörk dunört</t>
        </is>
      </c>
      <c r="W177">
        <f>HYPERLINK("https://klasma.github.io/Logging_0581/artfynd/A 15870-2024 artfynd.xlsx", "A 15870-2024")</f>
        <v/>
      </c>
      <c r="X177">
        <f>HYPERLINK("https://klasma.github.io/Logging_0581/kartor/A 15870-2024 karta.png", "A 15870-2024")</f>
        <v/>
      </c>
      <c r="Y177">
        <f>HYPERLINK("https://klasma.github.io/Logging_0581/kartor_geotiff/A 15870-2024 georefererad karta.tif", "A 15870-2024")</f>
        <v/>
      </c>
      <c r="AA177">
        <f>HYPERLINK("https://klasma.github.io/Logging_0581/klagomål/A 15870-2024 FSC-klagomål.docx", "A 15870-2024")</f>
        <v/>
      </c>
      <c r="AB177">
        <f>HYPERLINK("https://klasma.github.io/Logging_0581/klagomålsmail/A 15870-2024 FSC-klagomål mail.docx", "A 15870-2024")</f>
        <v/>
      </c>
      <c r="AC177">
        <f>HYPERLINK("https://klasma.github.io/Logging_0581/tillsyn/A 15870-2024 tillsynsbegäran.docx", "A 15870-2024")</f>
        <v/>
      </c>
      <c r="AD177">
        <f>HYPERLINK("https://klasma.github.io/Logging_0581/tillsynsmail/A 15870-2024 tillsynsbegäran mail.docx", "A 15870-2024")</f>
        <v/>
      </c>
    </row>
    <row r="178" ht="15" customHeight="1">
      <c r="A178" t="inlineStr">
        <is>
          <t>A 58711-2023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46316</v>
      </c>
      <c r="F178" t="inlineStr">
        <is>
          <t>ÖSTERGÖTLANDS LÄN</t>
        </is>
      </c>
      <c r="G178" t="inlineStr">
        <is>
          <t>NORRKÖPING</t>
        </is>
      </c>
      <c r="I178" t="n">
        <v>4.3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Ängsskära</t>
        </is>
      </c>
      <c r="W178">
        <f>HYPERLINK("https://klasma.github.io/Logging_0581/artfynd/A 58711-2023 artfynd.xlsx", "A 58711-2023")</f>
        <v/>
      </c>
      <c r="X178">
        <f>HYPERLINK("https://klasma.github.io/Logging_0581/kartor/A 58711-2023 karta.png", "A 58711-2023")</f>
        <v/>
      </c>
      <c r="Y178">
        <f>HYPERLINK("https://klasma.github.io/Logging_0581/kartor_geotiff/A 58711-2023 georefererad karta.tif", "A 58711-2023")</f>
        <v/>
      </c>
      <c r="AA178">
        <f>HYPERLINK("https://klasma.github.io/Logging_0581/klagomål/A 58711-2023 FSC-klagomål.docx", "A 58711-2023")</f>
        <v/>
      </c>
      <c r="AB178">
        <f>HYPERLINK("https://klasma.github.io/Logging_0581/klagomålsmail/A 58711-2023 FSC-klagomål mail.docx", "A 58711-2023")</f>
        <v/>
      </c>
      <c r="AC178">
        <f>HYPERLINK("https://klasma.github.io/Logging_0581/tillsyn/A 58711-2023 tillsynsbegäran.docx", "A 58711-2023")</f>
        <v/>
      </c>
      <c r="AD178">
        <f>HYPERLINK("https://klasma.github.io/Logging_0581/tillsynsmail/A 58711-2023 tillsynsbegäran mail.docx", "A 58711-2023")</f>
        <v/>
      </c>
    </row>
    <row r="179" ht="15" customHeight="1">
      <c r="A179" t="inlineStr">
        <is>
          <t>A 11520-2025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46316</v>
      </c>
      <c r="F179" t="inlineStr">
        <is>
          <t>ÖSTERGÖTLANDS LÄN</t>
        </is>
      </c>
      <c r="G179" t="inlineStr">
        <is>
          <t>NORRKÖPING</t>
        </is>
      </c>
      <c r="I179" t="n">
        <v>1.7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Myskbock</t>
        </is>
      </c>
      <c r="W179">
        <f>HYPERLINK("https://klasma.github.io/Logging_0581/artfynd/A 11520-2025 artfynd.xlsx", "A 11520-2025")</f>
        <v/>
      </c>
      <c r="X179">
        <f>HYPERLINK("https://klasma.github.io/Logging_0581/kartor/A 11520-2025 karta.png", "A 11520-2025")</f>
        <v/>
      </c>
      <c r="Y179">
        <f>HYPERLINK("https://klasma.github.io/Logging_0581/kartor_geotiff/A 11520-2025 georefererad karta.tif", "A 11520-2025")</f>
        <v/>
      </c>
      <c r="AA179">
        <f>HYPERLINK("https://klasma.github.io/Logging_0581/klagomål/A 11520-2025 FSC-klagomål.docx", "A 11520-2025")</f>
        <v/>
      </c>
      <c r="AB179">
        <f>HYPERLINK("https://klasma.github.io/Logging_0581/klagomålsmail/A 11520-2025 FSC-klagomål mail.docx", "A 11520-2025")</f>
        <v/>
      </c>
      <c r="AC179">
        <f>HYPERLINK("https://klasma.github.io/Logging_0581/tillsyn/A 11520-2025 tillsynsbegäran.docx", "A 11520-2025")</f>
        <v/>
      </c>
      <c r="AD179">
        <f>HYPERLINK("https://klasma.github.io/Logging_0581/tillsynsmail/A 11520-2025 tillsynsbegäran mail.docx", "A 11520-2025")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46316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46316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46316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46316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46316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46316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46316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46316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46316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46316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46316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46316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46316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46316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46316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46316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46316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46316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46316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46316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46316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46316</v>
      </c>
      <c r="F204" t="inlineStr">
        <is>
          <t>ÖSTERGÖTLANDS LÄN</t>
        </is>
      </c>
      <c r="G204" t="inlineStr">
        <is>
          <t>NORRKÖPING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46316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46316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46316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46316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46316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46316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46316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46316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46316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46316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46316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46316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46316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46316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46316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44957</v>
      </c>
      <c r="E220" s="1" t="n">
        <v>46316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45401</v>
      </c>
      <c r="E221" s="1" t="n">
        <v>46316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44651</v>
      </c>
      <c r="E222" s="1" t="n">
        <v>46316</v>
      </c>
      <c r="F222" t="inlineStr">
        <is>
          <t>ÖSTERGÖTLANDS LÄN</t>
        </is>
      </c>
      <c r="G222" t="inlineStr">
        <is>
          <t>NORRKÖPING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44826</v>
      </c>
      <c r="E223" s="1" t="n">
        <v>46316</v>
      </c>
      <c r="F223" t="inlineStr">
        <is>
          <t>ÖSTERGÖTLANDS LÄN</t>
        </is>
      </c>
      <c r="G223" t="inlineStr">
        <is>
          <t>NORRKÖPING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46316</v>
      </c>
      <c r="F224" t="inlineStr">
        <is>
          <t>ÖSTERGÖTLANDS LÄN</t>
        </is>
      </c>
      <c r="G224" t="inlineStr">
        <is>
          <t>NORRKÖPING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46316</v>
      </c>
      <c r="F225" t="inlineStr">
        <is>
          <t>ÖSTERGÖTLANDS LÄN</t>
        </is>
      </c>
      <c r="G225" t="inlineStr">
        <is>
          <t>NORRKÖPING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46316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46316</v>
      </c>
      <c r="F227" t="inlineStr">
        <is>
          <t>ÖSTERGÖTLANDS LÄN</t>
        </is>
      </c>
      <c r="G227" t="inlineStr">
        <is>
          <t>NORRKÖPING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46316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46316</v>
      </c>
      <c r="F229" t="inlineStr">
        <is>
          <t>ÖSTERGÖTLANDS LÄN</t>
        </is>
      </c>
      <c r="G229" t="inlineStr">
        <is>
          <t>NORRKÖPING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45086</v>
      </c>
      <c r="E230" s="1" t="n">
        <v>46316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46316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44512</v>
      </c>
      <c r="E232" s="1" t="n">
        <v>46316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44935</v>
      </c>
      <c r="E233" s="1" t="n">
        <v>46316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46316</v>
      </c>
      <c r="F234" t="inlineStr">
        <is>
          <t>ÖSTERGÖTLANDS LÄN</t>
        </is>
      </c>
      <c r="G234" t="inlineStr">
        <is>
          <t>NORRKÖPING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46316</v>
      </c>
      <c r="F235" t="inlineStr">
        <is>
          <t>ÖSTERGÖTLANDS LÄN</t>
        </is>
      </c>
      <c r="G235" t="inlineStr">
        <is>
          <t>NORRKÖPING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46316</v>
      </c>
      <c r="F236" t="inlineStr">
        <is>
          <t>ÖSTERGÖTLANDS LÄN</t>
        </is>
      </c>
      <c r="G236" t="inlineStr">
        <is>
          <t>NORRKÖPING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45053</v>
      </c>
      <c r="E237" s="1" t="n">
        <v>46316</v>
      </c>
      <c r="F237" t="inlineStr">
        <is>
          <t>ÖSTERGÖTLANDS LÄN</t>
        </is>
      </c>
      <c r="G237" t="inlineStr">
        <is>
          <t>NORRKÖPING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46316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46316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46316</v>
      </c>
      <c r="F240" t="inlineStr">
        <is>
          <t>ÖSTERGÖTLANDS LÄN</t>
        </is>
      </c>
      <c r="G240" t="inlineStr">
        <is>
          <t>NORRKÖPING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46316</v>
      </c>
      <c r="F241" t="inlineStr">
        <is>
          <t>ÖSTERGÖTLANDS LÄN</t>
        </is>
      </c>
      <c r="G241" t="inlineStr">
        <is>
          <t>NORRKÖPING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44998</v>
      </c>
      <c r="E242" s="1" t="n">
        <v>46316</v>
      </c>
      <c r="F242" t="inlineStr">
        <is>
          <t>ÖSTERGÖTLANDS LÄN</t>
        </is>
      </c>
      <c r="G242" t="inlineStr">
        <is>
          <t>NORRKÖPING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46316</v>
      </c>
      <c r="F243" t="inlineStr">
        <is>
          <t>ÖSTERGÖTLANDS LÄN</t>
        </is>
      </c>
      <c r="G243" t="inlineStr">
        <is>
          <t>NORRKÖPING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46316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46316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45313</v>
      </c>
      <c r="E246" s="1" t="n">
        <v>46316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46316</v>
      </c>
      <c r="F247" t="inlineStr">
        <is>
          <t>ÖSTERGÖTLANDS LÄN</t>
        </is>
      </c>
      <c r="G247" t="inlineStr">
        <is>
          <t>NORRKÖPING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45742</v>
      </c>
      <c r="E248" s="1" t="n">
        <v>46316</v>
      </c>
      <c r="F248" t="inlineStr">
        <is>
          <t>ÖSTERGÖTLANDS LÄN</t>
        </is>
      </c>
      <c r="G248" t="inlineStr">
        <is>
          <t>NORRKÖPING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46316</v>
      </c>
      <c r="F249" t="inlineStr">
        <is>
          <t>ÖSTERGÖTLANDS LÄN</t>
        </is>
      </c>
      <c r="G249" t="inlineStr">
        <is>
          <t>NORRKÖPING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44741</v>
      </c>
      <c r="E250" s="1" t="n">
        <v>46316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46316</v>
      </c>
      <c r="F251" t="inlineStr">
        <is>
          <t>ÖSTERGÖTLANDS LÄN</t>
        </is>
      </c>
      <c r="G251" t="inlineStr">
        <is>
          <t>NORRKÖPING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46316</v>
      </c>
      <c r="F252" t="inlineStr">
        <is>
          <t>ÖSTERGÖTLANDS LÄN</t>
        </is>
      </c>
      <c r="G252" t="inlineStr">
        <is>
          <t>NORRKÖPING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46316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46316</v>
      </c>
      <c r="F254" t="inlineStr">
        <is>
          <t>ÖSTERGÖTLANDS LÄN</t>
        </is>
      </c>
      <c r="G254" t="inlineStr">
        <is>
          <t>NORRKÖPING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45796</v>
      </c>
      <c r="E255" s="1" t="n">
        <v>46316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45678</v>
      </c>
      <c r="E256" s="1" t="n">
        <v>46316</v>
      </c>
      <c r="F256" t="inlineStr">
        <is>
          <t>ÖSTERGÖTLANDS LÄN</t>
        </is>
      </c>
      <c r="G256" t="inlineStr">
        <is>
          <t>NORRKÖPING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46316</v>
      </c>
      <c r="F257" t="inlineStr">
        <is>
          <t>ÖSTERGÖTLANDS LÄN</t>
        </is>
      </c>
      <c r="G257" t="inlineStr">
        <is>
          <t>NORRKÖPING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46316</v>
      </c>
      <c r="F258" t="inlineStr">
        <is>
          <t>ÖSTERGÖTLANDS LÄN</t>
        </is>
      </c>
      <c r="G258" t="inlineStr">
        <is>
          <t>NORRKÖPING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46006</v>
      </c>
      <c r="E259" s="1" t="n">
        <v>46316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46316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46316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46316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46316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45408</v>
      </c>
      <c r="E264" s="1" t="n">
        <v>46316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45565</v>
      </c>
      <c r="E265" s="1" t="n">
        <v>46316</v>
      </c>
      <c r="F265" t="inlineStr">
        <is>
          <t>ÖSTERGÖTLANDS LÄN</t>
        </is>
      </c>
      <c r="G265" t="inlineStr">
        <is>
          <t>NORRKÖPING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46316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46316</v>
      </c>
      <c r="F267" t="inlineStr">
        <is>
          <t>ÖSTERGÖTLANDS LÄN</t>
        </is>
      </c>
      <c r="G267" t="inlineStr">
        <is>
          <t>NORRKÖPING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46316</v>
      </c>
      <c r="F268" t="inlineStr">
        <is>
          <t>ÖSTERGÖTLANDS LÄN</t>
        </is>
      </c>
      <c r="G268" t="inlineStr">
        <is>
          <t>NORRKÖPING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46316</v>
      </c>
      <c r="F269" t="inlineStr">
        <is>
          <t>ÖSTERGÖTLANDS LÄN</t>
        </is>
      </c>
      <c r="G269" t="inlineStr">
        <is>
          <t>NORRKÖPING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45762</v>
      </c>
      <c r="E270" s="1" t="n">
        <v>46316</v>
      </c>
      <c r="F270" t="inlineStr">
        <is>
          <t>ÖSTERGÖTLANDS LÄN</t>
        </is>
      </c>
      <c r="G270" t="inlineStr">
        <is>
          <t>NORRKÖPING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46316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45022</v>
      </c>
      <c r="E272" s="1" t="n">
        <v>46316</v>
      </c>
      <c r="F272" t="inlineStr">
        <is>
          <t>ÖSTERGÖTLANDS LÄN</t>
        </is>
      </c>
      <c r="G272" t="inlineStr">
        <is>
          <t>NORRKÖPING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46316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46316</v>
      </c>
      <c r="F274" t="inlineStr">
        <is>
          <t>ÖSTERGÖTLANDS LÄN</t>
        </is>
      </c>
      <c r="G274" t="inlineStr">
        <is>
          <t>NORRKÖPING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46316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46316</v>
      </c>
      <c r="F276" t="inlineStr">
        <is>
          <t>ÖSTERGÖTLANDS LÄN</t>
        </is>
      </c>
      <c r="G276" t="inlineStr">
        <is>
          <t>NORRKÖPING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46316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46316</v>
      </c>
      <c r="F278" t="inlineStr">
        <is>
          <t>ÖSTERGÖTLANDS LÄN</t>
        </is>
      </c>
      <c r="G278" t="inlineStr">
        <is>
          <t>NORRKÖPING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46316</v>
      </c>
      <c r="F279" t="inlineStr">
        <is>
          <t>ÖSTERGÖTLANDS LÄN</t>
        </is>
      </c>
      <c r="G279" t="inlineStr">
        <is>
          <t>NORRKÖPING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46316</v>
      </c>
      <c r="F280" t="inlineStr">
        <is>
          <t>ÖSTERGÖTLANDS LÄN</t>
        </is>
      </c>
      <c r="G280" t="inlineStr">
        <is>
          <t>NORRKÖPING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46316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49778-2022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44862</v>
      </c>
      <c r="E282" s="1" t="n">
        <v>46316</v>
      </c>
      <c r="F282" t="inlineStr">
        <is>
          <t>ÖSTERGÖTLANDS LÄN</t>
        </is>
      </c>
      <c r="G282" t="inlineStr">
        <is>
          <t>NORRKÖPING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46316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45254</v>
      </c>
      <c r="E284" s="1" t="n">
        <v>46316</v>
      </c>
      <c r="F284" t="inlineStr">
        <is>
          <t>ÖSTERGÖTLANDS LÄN</t>
        </is>
      </c>
      <c r="G284" t="inlineStr">
        <is>
          <t>NORRKÖPING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46316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46316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46316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45535</v>
      </c>
      <c r="E288" s="1" t="n">
        <v>46316</v>
      </c>
      <c r="F288" t="inlineStr">
        <is>
          <t>ÖSTERGÖTLANDS LÄN</t>
        </is>
      </c>
      <c r="G288" t="inlineStr">
        <is>
          <t>NORRKÖPING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46316</v>
      </c>
      <c r="F289" t="inlineStr">
        <is>
          <t>ÖSTERGÖTLANDS LÄN</t>
        </is>
      </c>
      <c r="G289" t="inlineStr">
        <is>
          <t>NORRKÖPING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46316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46316</v>
      </c>
      <c r="F291" t="inlineStr">
        <is>
          <t>ÖSTERGÖTLANDS LÄN</t>
        </is>
      </c>
      <c r="G291" t="inlineStr">
        <is>
          <t>NORRKÖPING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46316</v>
      </c>
      <c r="F292" t="inlineStr">
        <is>
          <t>ÖSTERGÖTLANDS LÄN</t>
        </is>
      </c>
      <c r="G292" t="inlineStr">
        <is>
          <t>NORRKÖPING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46316</v>
      </c>
      <c r="F293" t="inlineStr">
        <is>
          <t>ÖSTERGÖTLANDS LÄN</t>
        </is>
      </c>
      <c r="G293" t="inlineStr">
        <is>
          <t>NORRKÖPING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46316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46010</v>
      </c>
      <c r="E295" s="1" t="n">
        <v>46316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Allmännings- och besparingsskogar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46316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46316</v>
      </c>
      <c r="F297" t="inlineStr">
        <is>
          <t>ÖSTERGÖTLANDS LÄN</t>
        </is>
      </c>
      <c r="G297" t="inlineStr">
        <is>
          <t>NORRKÖPING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46316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46316</v>
      </c>
      <c r="F299" t="inlineStr">
        <is>
          <t>ÖSTERGÖTLANDS LÄN</t>
        </is>
      </c>
      <c r="G299" t="inlineStr">
        <is>
          <t>NORRKÖPING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46316</v>
      </c>
      <c r="F300" t="inlineStr">
        <is>
          <t>ÖSTERGÖTLANDS LÄN</t>
        </is>
      </c>
      <c r="G300" t="inlineStr">
        <is>
          <t>NORRKÖPING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46316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46316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46316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46316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Allmännings- och besparingsskogar</t>
        </is>
      </c>
      <c r="I304" t="n">
        <v>12.4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46316</v>
      </c>
      <c r="F305" t="inlineStr">
        <is>
          <t>ÖSTERGÖTLANDS LÄN</t>
        </is>
      </c>
      <c r="G305" t="inlineStr">
        <is>
          <t>NORRKÖPING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46316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46316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46316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46316</v>
      </c>
      <c r="F309" t="inlineStr">
        <is>
          <t>ÖSTERGÖTLANDS LÄN</t>
        </is>
      </c>
      <c r="G309" t="inlineStr">
        <is>
          <t>NORRKÖPING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46316</v>
      </c>
      <c r="F310" t="inlineStr">
        <is>
          <t>ÖSTERGÖTLANDS LÄN</t>
        </is>
      </c>
      <c r="G310" t="inlineStr">
        <is>
          <t>NORRKÖPING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46316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46316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46316</v>
      </c>
      <c r="F313" t="inlineStr">
        <is>
          <t>ÖSTERGÖTLANDS LÄN</t>
        </is>
      </c>
      <c r="G313" t="inlineStr">
        <is>
          <t>NORRKÖPING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44575</v>
      </c>
      <c r="E314" s="1" t="n">
        <v>46316</v>
      </c>
      <c r="F314" t="inlineStr">
        <is>
          <t>ÖSTERGÖTLANDS LÄN</t>
        </is>
      </c>
      <c r="G314" t="inlineStr">
        <is>
          <t>NORRKÖPING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46316</v>
      </c>
      <c r="F315" t="inlineStr">
        <is>
          <t>ÖSTERGÖTLANDS LÄN</t>
        </is>
      </c>
      <c r="G315" t="inlineStr">
        <is>
          <t>NORRKÖPING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46316</v>
      </c>
      <c r="F316" t="inlineStr">
        <is>
          <t>ÖSTERGÖTLANDS LÄN</t>
        </is>
      </c>
      <c r="G316" t="inlineStr">
        <is>
          <t>NORRKÖPING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45414</v>
      </c>
      <c r="E317" s="1" t="n">
        <v>46316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46042</v>
      </c>
      <c r="E318" s="1" t="n">
        <v>46316</v>
      </c>
      <c r="F318" t="inlineStr">
        <is>
          <t>ÖSTERGÖTLANDS LÄN</t>
        </is>
      </c>
      <c r="G318" t="inlineStr">
        <is>
          <t>NORRKÖPING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46316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46316</v>
      </c>
      <c r="F320" t="inlineStr">
        <is>
          <t>ÖSTERGÖTLANDS LÄN</t>
        </is>
      </c>
      <c r="G320" t="inlineStr">
        <is>
          <t>NORRKÖPING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46316</v>
      </c>
      <c r="F321" t="inlineStr">
        <is>
          <t>ÖSTERGÖTLANDS LÄN</t>
        </is>
      </c>
      <c r="G321" t="inlineStr">
        <is>
          <t>NORRKÖPING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46316</v>
      </c>
      <c r="F322" t="inlineStr">
        <is>
          <t>ÖSTERGÖTLANDS LÄN</t>
        </is>
      </c>
      <c r="G322" t="inlineStr">
        <is>
          <t>NORRKÖPING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46316</v>
      </c>
      <c r="F323" t="inlineStr">
        <is>
          <t>ÖSTERGÖTLANDS LÄN</t>
        </is>
      </c>
      <c r="G323" t="inlineStr">
        <is>
          <t>NORRKÖPING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46316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46316</v>
      </c>
      <c r="F325" t="inlineStr">
        <is>
          <t>ÖSTERGÖTLANDS LÄN</t>
        </is>
      </c>
      <c r="G325" t="inlineStr">
        <is>
          <t>NORRKÖPING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46316</v>
      </c>
      <c r="F326" t="inlineStr">
        <is>
          <t>ÖSTERGÖTLANDS LÄN</t>
        </is>
      </c>
      <c r="G326" t="inlineStr">
        <is>
          <t>NORRKÖPING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46046</v>
      </c>
      <c r="E327" s="1" t="n">
        <v>46316</v>
      </c>
      <c r="F327" t="inlineStr">
        <is>
          <t>ÖSTERGÖTLANDS LÄN</t>
        </is>
      </c>
      <c r="G327" t="inlineStr">
        <is>
          <t>NORRKÖPING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46046</v>
      </c>
      <c r="E328" s="1" t="n">
        <v>46316</v>
      </c>
      <c r="F328" t="inlineStr">
        <is>
          <t>ÖSTERGÖTLANDS LÄN</t>
        </is>
      </c>
      <c r="G328" t="inlineStr">
        <is>
          <t>NORRKÖPING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46316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Allmännings- och besparingsskogar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29622-2022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44754</v>
      </c>
      <c r="E330" s="1" t="n">
        <v>46316</v>
      </c>
      <c r="F330" t="inlineStr">
        <is>
          <t>ÖSTERGÖTLANDS LÄN</t>
        </is>
      </c>
      <c r="G330" t="inlineStr">
        <is>
          <t>NORRKÖPING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46316</v>
      </c>
      <c r="F331" t="inlineStr">
        <is>
          <t>ÖSTERGÖTLANDS LÄN</t>
        </is>
      </c>
      <c r="G331" t="inlineStr">
        <is>
          <t>NORRKÖPING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45174</v>
      </c>
      <c r="E332" s="1" t="n">
        <v>46316</v>
      </c>
      <c r="F332" t="inlineStr">
        <is>
          <t>ÖSTERGÖTLANDS LÄN</t>
        </is>
      </c>
      <c r="G332" t="inlineStr">
        <is>
          <t>NORRKÖPING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41375-2023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45174</v>
      </c>
      <c r="E333" s="1" t="n">
        <v>46316</v>
      </c>
      <c r="F333" t="inlineStr">
        <is>
          <t>ÖSTERGÖTLANDS LÄN</t>
        </is>
      </c>
      <c r="G333" t="inlineStr">
        <is>
          <t>NORRKÖPING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46316</v>
      </c>
      <c r="F334" t="inlineStr">
        <is>
          <t>ÖSTERGÖTLANDS LÄN</t>
        </is>
      </c>
      <c r="G334" t="inlineStr">
        <is>
          <t>NORRKÖPING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46316</v>
      </c>
      <c r="F335" t="inlineStr">
        <is>
          <t>ÖSTERGÖTLANDS LÄN</t>
        </is>
      </c>
      <c r="G335" t="inlineStr">
        <is>
          <t>NORRKÖPING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46316</v>
      </c>
      <c r="F336" t="inlineStr">
        <is>
          <t>ÖSTERGÖTLANDS LÄN</t>
        </is>
      </c>
      <c r="G336" t="inlineStr">
        <is>
          <t>NORRKÖPING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46316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46316</v>
      </c>
      <c r="F338" t="inlineStr">
        <is>
          <t>ÖSTERGÖTLANDS LÄN</t>
        </is>
      </c>
      <c r="G338" t="inlineStr">
        <is>
          <t>NORRKÖPING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46316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46316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46316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57733-2022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46316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47202-2025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46316</v>
      </c>
      <c r="F344" t="inlineStr">
        <is>
          <t>ÖSTERGÖTLANDS LÄN</t>
        </is>
      </c>
      <c r="G344" t="inlineStr">
        <is>
          <t>NORRKÖPING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46316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46316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46316</v>
      </c>
      <c r="F347" t="inlineStr">
        <is>
          <t>ÖSTERGÖTLANDS LÄN</t>
        </is>
      </c>
      <c r="G347" t="inlineStr">
        <is>
          <t>NORRKÖPING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46316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48462-2022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44858</v>
      </c>
      <c r="E349" s="1" t="n">
        <v>46316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46316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46316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13173-2022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44644</v>
      </c>
      <c r="E352" s="1" t="n">
        <v>46316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Allmännings- och besparingsskogar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45936</v>
      </c>
      <c r="E353" s="1" t="n">
        <v>46316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46316</v>
      </c>
      <c r="F354" t="inlineStr">
        <is>
          <t>ÖSTERGÖTLANDS LÄN</t>
        </is>
      </c>
      <c r="G354" t="inlineStr">
        <is>
          <t>NORRKÖPING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46316</v>
      </c>
      <c r="F355" t="inlineStr">
        <is>
          <t>ÖSTERGÖTLANDS LÄN</t>
        </is>
      </c>
      <c r="G355" t="inlineStr">
        <is>
          <t>NORRKÖPING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46316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Kyrkan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46316</v>
      </c>
      <c r="F357" t="inlineStr">
        <is>
          <t>ÖSTERGÖTLANDS LÄN</t>
        </is>
      </c>
      <c r="G357" t="inlineStr">
        <is>
          <t>NORRKÖPING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46316</v>
      </c>
      <c r="F358" t="inlineStr">
        <is>
          <t>ÖSTERGÖTLANDS LÄN</t>
        </is>
      </c>
      <c r="G358" t="inlineStr">
        <is>
          <t>NORRKÖPING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45873</v>
      </c>
      <c r="E359" s="1" t="n">
        <v>46316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35701-2024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45532</v>
      </c>
      <c r="E360" s="1" t="n">
        <v>46316</v>
      </c>
      <c r="F360" t="inlineStr">
        <is>
          <t>ÖSTERGÖTLANDS LÄN</t>
        </is>
      </c>
      <c r="G360" t="inlineStr">
        <is>
          <t>NORRKÖPING</t>
        </is>
      </c>
      <c r="I360" t="n">
        <v>11.7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46316</v>
      </c>
      <c r="F361" t="inlineStr">
        <is>
          <t>ÖSTERGÖTLANDS LÄN</t>
        </is>
      </c>
      <c r="G361" t="inlineStr">
        <is>
          <t>NORRKÖPING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46316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45943</v>
      </c>
      <c r="E363" s="1" t="n">
        <v>46316</v>
      </c>
      <c r="F363" t="inlineStr">
        <is>
          <t>ÖSTERGÖTLANDS LÄN</t>
        </is>
      </c>
      <c r="G363" t="inlineStr">
        <is>
          <t>NORRKÖPING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45121</v>
      </c>
      <c r="E364" s="1" t="n">
        <v>46316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45597</v>
      </c>
      <c r="E365" s="1" t="n">
        <v>46316</v>
      </c>
      <c r="F365" t="inlineStr">
        <is>
          <t>ÖSTERGÖTLANDS LÄN</t>
        </is>
      </c>
      <c r="G365" t="inlineStr">
        <is>
          <t>NORRKÖPING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45071</v>
      </c>
      <c r="E366" s="1" t="n">
        <v>46316</v>
      </c>
      <c r="F366" t="inlineStr">
        <is>
          <t>ÖSTERGÖTLANDS LÄN</t>
        </is>
      </c>
      <c r="G366" t="inlineStr">
        <is>
          <t>NORRKÖPING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46316</v>
      </c>
      <c r="F367" t="inlineStr">
        <is>
          <t>ÖSTERGÖTLANDS LÄN</t>
        </is>
      </c>
      <c r="G367" t="inlineStr">
        <is>
          <t>NORRKÖPING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44889</v>
      </c>
      <c r="E368" s="1" t="n">
        <v>46316</v>
      </c>
      <c r="F368" t="inlineStr">
        <is>
          <t>ÖSTERGÖTLANDS LÄN</t>
        </is>
      </c>
      <c r="G368" t="inlineStr">
        <is>
          <t>NORRKÖPING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45678</v>
      </c>
      <c r="E369" s="1" t="n">
        <v>46316</v>
      </c>
      <c r="F369" t="inlineStr">
        <is>
          <t>ÖSTERGÖTLANDS LÄN</t>
        </is>
      </c>
      <c r="G369" t="inlineStr">
        <is>
          <t>NORRKÖPING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45317</v>
      </c>
      <c r="E370" s="1" t="n">
        <v>46316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46316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46316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45043</v>
      </c>
      <c r="E373" s="1" t="n">
        <v>46316</v>
      </c>
      <c r="F373" t="inlineStr">
        <is>
          <t>ÖSTERGÖTLANDS LÄN</t>
        </is>
      </c>
      <c r="G373" t="inlineStr">
        <is>
          <t>NORRKÖPING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46316</v>
      </c>
      <c r="F374" t="inlineStr">
        <is>
          <t>ÖSTERGÖTLANDS LÄN</t>
        </is>
      </c>
      <c r="G374" t="inlineStr">
        <is>
          <t>NORRKÖPING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45478</v>
      </c>
      <c r="E375" s="1" t="n">
        <v>46316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46316</v>
      </c>
      <c r="F376" t="inlineStr">
        <is>
          <t>ÖSTERGÖTLANDS LÄN</t>
        </is>
      </c>
      <c r="G376" t="inlineStr">
        <is>
          <t>NORRKÖPING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45098</v>
      </c>
      <c r="E377" s="1" t="n">
        <v>46316</v>
      </c>
      <c r="F377" t="inlineStr">
        <is>
          <t>ÖSTERGÖTLANDS LÄN</t>
        </is>
      </c>
      <c r="G377" t="inlineStr">
        <is>
          <t>NORRKÖPING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46316</v>
      </c>
      <c r="F378" t="inlineStr">
        <is>
          <t>ÖSTERGÖTLANDS LÄN</t>
        </is>
      </c>
      <c r="G378" t="inlineStr">
        <is>
          <t>NORRKÖPING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46316</v>
      </c>
      <c r="F379" t="inlineStr">
        <is>
          <t>ÖSTERGÖTLANDS LÄN</t>
        </is>
      </c>
      <c r="G379" t="inlineStr">
        <is>
          <t>NORRKÖPING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46316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46316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46316</v>
      </c>
      <c r="F382" t="inlineStr">
        <is>
          <t>ÖSTERGÖTLANDS LÄN</t>
        </is>
      </c>
      <c r="G382" t="inlineStr">
        <is>
          <t>NORRKÖPING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46316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46316</v>
      </c>
      <c r="F384" t="inlineStr">
        <is>
          <t>ÖSTERGÖTLANDS LÄN</t>
        </is>
      </c>
      <c r="G384" t="inlineStr">
        <is>
          <t>NORRKÖPING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46316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46316</v>
      </c>
      <c r="F386" t="inlineStr">
        <is>
          <t>ÖSTERGÖTLANDS LÄN</t>
        </is>
      </c>
      <c r="G386" t="inlineStr">
        <is>
          <t>NORRKÖPING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46316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46316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46316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46316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45757</v>
      </c>
      <c r="E391" s="1" t="n">
        <v>46316</v>
      </c>
      <c r="F391" t="inlineStr">
        <is>
          <t>ÖSTERGÖTLANDS LÄN</t>
        </is>
      </c>
      <c r="G391" t="inlineStr">
        <is>
          <t>NORRKÖPING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46316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46316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15531-2026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46316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45961</v>
      </c>
      <c r="E395" s="1" t="n">
        <v>46316</v>
      </c>
      <c r="F395" t="inlineStr">
        <is>
          <t>ÖSTERGÖTLANDS LÄN</t>
        </is>
      </c>
      <c r="G395" t="inlineStr">
        <is>
          <t>NORRKÖPING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45118</v>
      </c>
      <c r="E396" s="1" t="n">
        <v>46316</v>
      </c>
      <c r="F396" t="inlineStr">
        <is>
          <t>ÖSTERGÖTLANDS LÄN</t>
        </is>
      </c>
      <c r="G396" t="inlineStr">
        <is>
          <t>NORRKÖPING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45833</v>
      </c>
      <c r="E397" s="1" t="n">
        <v>46316</v>
      </c>
      <c r="F397" t="inlineStr">
        <is>
          <t>ÖSTERGÖTLANDS LÄN</t>
        </is>
      </c>
      <c r="G397" t="inlineStr">
        <is>
          <t>NORRKÖPING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46316</v>
      </c>
      <c r="F398" t="inlineStr">
        <is>
          <t>ÖSTERGÖTLANDS LÄN</t>
        </is>
      </c>
      <c r="G398" t="inlineStr">
        <is>
          <t>NORRKÖPING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46316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46316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70378-2021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44536</v>
      </c>
      <c r="E401" s="1" t="n">
        <v>46316</v>
      </c>
      <c r="F401" t="inlineStr">
        <is>
          <t>ÖSTERGÖTLANDS LÄN</t>
        </is>
      </c>
      <c r="G401" t="inlineStr">
        <is>
          <t>NORRKÖPING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33138-2025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46316</v>
      </c>
      <c r="F402" t="inlineStr">
        <is>
          <t>ÖSTERGÖTLANDS LÄN</t>
        </is>
      </c>
      <c r="G402" t="inlineStr">
        <is>
          <t>NORRKÖPING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45153</v>
      </c>
      <c r="E403" s="1" t="n">
        <v>46316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50092-2023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45215</v>
      </c>
      <c r="E404" s="1" t="n">
        <v>46316</v>
      </c>
      <c r="F404" t="inlineStr">
        <is>
          <t>ÖSTERGÖTLANDS LÄN</t>
        </is>
      </c>
      <c r="G404" t="inlineStr">
        <is>
          <t>NORRKÖPING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27288-2023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46316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44599</v>
      </c>
      <c r="E406" s="1" t="n">
        <v>46316</v>
      </c>
      <c r="F406" t="inlineStr">
        <is>
          <t>ÖSTERGÖTLANDS LÄN</t>
        </is>
      </c>
      <c r="G406" t="inlineStr">
        <is>
          <t>NORRKÖPING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44999</v>
      </c>
      <c r="E407" s="1" t="n">
        <v>46316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46316</v>
      </c>
      <c r="F408" t="inlineStr">
        <is>
          <t>ÖSTERGÖTLANDS LÄN</t>
        </is>
      </c>
      <c r="G408" t="inlineStr">
        <is>
          <t>NORRKÖPING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46316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45049</v>
      </c>
      <c r="E410" s="1" t="n">
        <v>46316</v>
      </c>
      <c r="F410" t="inlineStr">
        <is>
          <t>ÖSTERGÖTLANDS LÄN</t>
        </is>
      </c>
      <c r="G410" t="inlineStr">
        <is>
          <t>NORRKÖPING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46120</v>
      </c>
      <c r="E411" s="1" t="n">
        <v>46316</v>
      </c>
      <c r="F411" t="inlineStr">
        <is>
          <t>ÖSTERGÖTLANDS LÄN</t>
        </is>
      </c>
      <c r="G411" t="inlineStr">
        <is>
          <t>NORRKÖPING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45330</v>
      </c>
      <c r="E412" s="1" t="n">
        <v>46316</v>
      </c>
      <c r="F412" t="inlineStr">
        <is>
          <t>ÖSTERGÖTLANDS LÄN</t>
        </is>
      </c>
      <c r="G412" t="inlineStr">
        <is>
          <t>NORRKÖPING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46316</v>
      </c>
      <c r="F413" t="inlineStr">
        <is>
          <t>ÖSTERGÖTLANDS LÄN</t>
        </is>
      </c>
      <c r="G413" t="inlineStr">
        <is>
          <t>NORRKÖPING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46316</v>
      </c>
      <c r="F414" t="inlineStr">
        <is>
          <t>ÖSTERGÖTLANDS LÄN</t>
        </is>
      </c>
      <c r="G414" t="inlineStr">
        <is>
          <t>NORRKÖPING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45201</v>
      </c>
      <c r="E415" s="1" t="n">
        <v>46316</v>
      </c>
      <c r="F415" t="inlineStr">
        <is>
          <t>ÖSTERGÖTLANDS LÄN</t>
        </is>
      </c>
      <c r="G415" t="inlineStr">
        <is>
          <t>NORRKÖPING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56589-2025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45975</v>
      </c>
      <c r="E416" s="1" t="n">
        <v>46316</v>
      </c>
      <c r="F416" t="inlineStr">
        <is>
          <t>ÖSTERGÖTLANDS LÄN</t>
        </is>
      </c>
      <c r="G416" t="inlineStr">
        <is>
          <t>NORRKÖPING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45976</v>
      </c>
      <c r="E417" s="1" t="n">
        <v>46316</v>
      </c>
      <c r="F417" t="inlineStr">
        <is>
          <t>ÖSTERGÖTLANDS LÄN</t>
        </is>
      </c>
      <c r="G417" t="inlineStr">
        <is>
          <t>NORRKÖPING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46316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46128</v>
      </c>
      <c r="E419" s="1" t="n">
        <v>46316</v>
      </c>
      <c r="F419" t="inlineStr">
        <is>
          <t>ÖSTERGÖTLANDS LÄN</t>
        </is>
      </c>
      <c r="G419" t="inlineStr">
        <is>
          <t>NORRKÖPING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46316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46316</v>
      </c>
      <c r="F421" t="inlineStr">
        <is>
          <t>ÖSTERGÖTLANDS LÄN</t>
        </is>
      </c>
      <c r="G421" t="inlineStr">
        <is>
          <t>NORRKÖPING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20001-2026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46135</v>
      </c>
      <c r="E422" s="1" t="n">
        <v>46316</v>
      </c>
      <c r="F422" t="inlineStr">
        <is>
          <t>ÖSTERGÖTLANDS LÄN</t>
        </is>
      </c>
      <c r="G422" t="inlineStr">
        <is>
          <t>NORRKÖPING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46135</v>
      </c>
      <c r="E423" s="1" t="n">
        <v>46316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45891</v>
      </c>
      <c r="E424" s="1" t="n">
        <v>46316</v>
      </c>
      <c r="F424" t="inlineStr">
        <is>
          <t>ÖSTERGÖTLANDS LÄN</t>
        </is>
      </c>
      <c r="G424" t="inlineStr">
        <is>
          <t>NORRKÖPING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45317</v>
      </c>
      <c r="E425" s="1" t="n">
        <v>46316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45657</v>
      </c>
      <c r="E426" s="1" t="n">
        <v>46316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46316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46316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Allmännings- och besparingsskogar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10393-2024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45365</v>
      </c>
      <c r="E429" s="1" t="n">
        <v>46316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Kommuner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45405</v>
      </c>
      <c r="E430" s="1" t="n">
        <v>46316</v>
      </c>
      <c r="F430" t="inlineStr">
        <is>
          <t>ÖSTERGÖTLANDS LÄN</t>
        </is>
      </c>
      <c r="G430" t="inlineStr">
        <is>
          <t>NORRKÖPING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45769</v>
      </c>
      <c r="E431" s="1" t="n">
        <v>46316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46316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46316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45845</v>
      </c>
      <c r="E434" s="1" t="n">
        <v>46316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45678</v>
      </c>
      <c r="E435" s="1" t="n">
        <v>46316</v>
      </c>
      <c r="F435" t="inlineStr">
        <is>
          <t>ÖSTERGÖTLANDS LÄN</t>
        </is>
      </c>
      <c r="G435" t="inlineStr">
        <is>
          <t>NORRKÖPING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44930</v>
      </c>
      <c r="E436" s="1" t="n">
        <v>46316</v>
      </c>
      <c r="F436" t="inlineStr">
        <is>
          <t>ÖSTERGÖTLANDS LÄN</t>
        </is>
      </c>
      <c r="G436" t="inlineStr">
        <is>
          <t>NORRKÖPING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20352-2026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46139</v>
      </c>
      <c r="E437" s="1" t="n">
        <v>46316</v>
      </c>
      <c r="F437" t="inlineStr">
        <is>
          <t>ÖSTERGÖTLANDS LÄN</t>
        </is>
      </c>
      <c r="G437" t="inlineStr">
        <is>
          <t>NORRKÖPING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45884</v>
      </c>
      <c r="E438" s="1" t="n">
        <v>46316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46205-2025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46316</v>
      </c>
      <c r="F439" t="inlineStr">
        <is>
          <t>ÖSTERGÖTLANDS LÄN</t>
        </is>
      </c>
      <c r="G439" t="inlineStr">
        <is>
          <t>NORRKÖPING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45043</v>
      </c>
      <c r="E440" s="1" t="n">
        <v>46316</v>
      </c>
      <c r="F440" t="inlineStr">
        <is>
          <t>ÖSTERGÖTLANDS LÄN</t>
        </is>
      </c>
      <c r="G440" t="inlineStr">
        <is>
          <t>NORRKÖPING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26392-2023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46316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46316</v>
      </c>
      <c r="F442" t="inlineStr">
        <is>
          <t>ÖSTERGÖTLANDS LÄN</t>
        </is>
      </c>
      <c r="G442" t="inlineStr">
        <is>
          <t>NORRKÖPING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46316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50157-2022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44865</v>
      </c>
      <c r="E444" s="1" t="n">
        <v>46316</v>
      </c>
      <c r="F444" t="inlineStr">
        <is>
          <t>ÖSTERGÖTLANDS LÄN</t>
        </is>
      </c>
      <c r="G444" t="inlineStr">
        <is>
          <t>NORRKÖPING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45736</v>
      </c>
      <c r="E445" s="1" t="n">
        <v>46316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46316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38719-2025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45886</v>
      </c>
      <c r="E447" s="1" t="n">
        <v>46316</v>
      </c>
      <c r="F447" t="inlineStr">
        <is>
          <t>ÖSTERGÖTLANDS LÄN</t>
        </is>
      </c>
      <c r="G447" t="inlineStr">
        <is>
          <t>NORRKÖPING</t>
        </is>
      </c>
      <c r="I447" t="n">
        <v>14.3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46316</v>
      </c>
      <c r="F448" t="inlineStr">
        <is>
          <t>ÖSTERGÖTLANDS LÄN</t>
        </is>
      </c>
      <c r="G448" t="inlineStr">
        <is>
          <t>NORRKÖPING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46316</v>
      </c>
      <c r="F449" t="inlineStr">
        <is>
          <t>ÖSTERGÖTLANDS LÄN</t>
        </is>
      </c>
      <c r="G449" t="inlineStr">
        <is>
          <t>NORRKÖPING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46316</v>
      </c>
      <c r="F450" t="inlineStr">
        <is>
          <t>ÖSTERGÖTLANDS LÄN</t>
        </is>
      </c>
      <c r="G450" t="inlineStr">
        <is>
          <t>NORRKÖPING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39224-2025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45889</v>
      </c>
      <c r="E451" s="1" t="n">
        <v>46316</v>
      </c>
      <c r="F451" t="inlineStr">
        <is>
          <t>ÖSTERGÖTLANDS LÄN</t>
        </is>
      </c>
      <c r="G451" t="inlineStr">
        <is>
          <t>NORRKÖPING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23941-2025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45796</v>
      </c>
      <c r="E452" s="1" t="n">
        <v>46316</v>
      </c>
      <c r="F452" t="inlineStr">
        <is>
          <t>ÖSTERGÖTLANDS LÄN</t>
        </is>
      </c>
      <c r="G452" t="inlineStr">
        <is>
          <t>NORRKÖPING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46316</v>
      </c>
      <c r="F453" t="inlineStr">
        <is>
          <t>ÖSTERGÖTLANDS LÄN</t>
        </is>
      </c>
      <c r="G453" t="inlineStr">
        <is>
          <t>NORRKÖPING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20587-2024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45436</v>
      </c>
      <c r="E454" s="1" t="n">
        <v>46316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45520</v>
      </c>
      <c r="E455" s="1" t="n">
        <v>46316</v>
      </c>
      <c r="F455" t="inlineStr">
        <is>
          <t>ÖSTERGÖTLANDS LÄN</t>
        </is>
      </c>
      <c r="G455" t="inlineStr">
        <is>
          <t>NORRKÖPING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46316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Naturvårdsverket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45356</v>
      </c>
      <c r="E457" s="1" t="n">
        <v>46316</v>
      </c>
      <c r="F457" t="inlineStr">
        <is>
          <t>ÖSTERGÖTLANDS LÄN</t>
        </is>
      </c>
      <c r="G457" t="inlineStr">
        <is>
          <t>NORRKÖPING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45706</v>
      </c>
      <c r="E458" s="1" t="n">
        <v>46316</v>
      </c>
      <c r="F458" t="inlineStr">
        <is>
          <t>ÖSTERGÖTLANDS LÄN</t>
        </is>
      </c>
      <c r="G458" t="inlineStr">
        <is>
          <t>NORRKÖPING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50112-2023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46316</v>
      </c>
      <c r="F459" t="inlineStr">
        <is>
          <t>ÖSTERGÖTLANDS LÄN</t>
        </is>
      </c>
      <c r="G459" t="inlineStr">
        <is>
          <t>NORRKÖPING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45891</v>
      </c>
      <c r="E460" s="1" t="n">
        <v>46316</v>
      </c>
      <c r="F460" t="inlineStr">
        <is>
          <t>ÖSTERGÖTLANDS LÄN</t>
        </is>
      </c>
      <c r="G460" t="inlineStr">
        <is>
          <t>NORRKÖPING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45141</v>
      </c>
      <c r="E461" s="1" t="n">
        <v>46316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44945</v>
      </c>
      <c r="E462" s="1" t="n">
        <v>46316</v>
      </c>
      <c r="F462" t="inlineStr">
        <is>
          <t>ÖSTERGÖTLANDS LÄN</t>
        </is>
      </c>
      <c r="G462" t="inlineStr">
        <is>
          <t>NORRKÖPING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20194-2026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46316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44936</v>
      </c>
      <c r="E464" s="1" t="n">
        <v>46316</v>
      </c>
      <c r="F464" t="inlineStr">
        <is>
          <t>ÖSTERGÖTLANDS LÄN</t>
        </is>
      </c>
      <c r="G464" t="inlineStr">
        <is>
          <t>NORRKÖPING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45867</v>
      </c>
      <c r="E465" s="1" t="n">
        <v>46316</v>
      </c>
      <c r="F465" t="inlineStr">
        <is>
          <t>ÖSTERGÖTLANDS LÄN</t>
        </is>
      </c>
      <c r="G465" t="inlineStr">
        <is>
          <t>NORRKÖPING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45836</v>
      </c>
      <c r="E466" s="1" t="n">
        <v>46316</v>
      </c>
      <c r="F466" t="inlineStr">
        <is>
          <t>ÖSTERGÖTLANDS LÄN</t>
        </is>
      </c>
      <c r="G466" t="inlineStr">
        <is>
          <t>NORRKÖPING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45178</v>
      </c>
      <c r="E467" s="1" t="n">
        <v>46316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46316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46139</v>
      </c>
      <c r="E469" s="1" t="n">
        <v>46316</v>
      </c>
      <c r="F469" t="inlineStr">
        <is>
          <t>ÖSTERGÖTLANDS LÄN</t>
        </is>
      </c>
      <c r="G469" t="inlineStr">
        <is>
          <t>NORRKÖPING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46316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45386</v>
      </c>
      <c r="E471" s="1" t="n">
        <v>46316</v>
      </c>
      <c r="F471" t="inlineStr">
        <is>
          <t>ÖSTERGÖTLANDS LÄN</t>
        </is>
      </c>
      <c r="G471" t="inlineStr">
        <is>
          <t>NORRKÖPING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41083-2022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44825</v>
      </c>
      <c r="E472" s="1" t="n">
        <v>46316</v>
      </c>
      <c r="F472" t="inlineStr">
        <is>
          <t>ÖSTERGÖTLANDS LÄN</t>
        </is>
      </c>
      <c r="G472" t="inlineStr">
        <is>
          <t>NORRKÖPING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45030</v>
      </c>
      <c r="E473" s="1" t="n">
        <v>46316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2021-2023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44939</v>
      </c>
      <c r="E474" s="1" t="n">
        <v>46316</v>
      </c>
      <c r="F474" t="inlineStr">
        <is>
          <t>ÖSTERGÖTLANDS LÄN</t>
        </is>
      </c>
      <c r="G474" t="inlineStr">
        <is>
          <t>NORRKÖPING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45796</v>
      </c>
      <c r="E475" s="1" t="n">
        <v>46316</v>
      </c>
      <c r="F475" t="inlineStr">
        <is>
          <t>ÖSTERGÖTLANDS LÄN</t>
        </is>
      </c>
      <c r="G475" t="inlineStr">
        <is>
          <t>NORRKÖPING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45093</v>
      </c>
      <c r="E476" s="1" t="n">
        <v>46316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46316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46316</v>
      </c>
      <c r="F478" t="inlineStr">
        <is>
          <t>ÖSTERGÖTLANDS LÄN</t>
        </is>
      </c>
      <c r="G478" t="inlineStr">
        <is>
          <t>NORRKÖPING</t>
        </is>
      </c>
      <c r="I478" t="n">
        <v>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46316</v>
      </c>
      <c r="F479" t="inlineStr">
        <is>
          <t>ÖSTERGÖTLANDS LÄN</t>
        </is>
      </c>
      <c r="G479" t="inlineStr">
        <is>
          <t>NORRKÖPING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45883</v>
      </c>
      <c r="E480" s="1" t="n">
        <v>46316</v>
      </c>
      <c r="F480" t="inlineStr">
        <is>
          <t>ÖSTERGÖTLANDS LÄN</t>
        </is>
      </c>
      <c r="G480" t="inlineStr">
        <is>
          <t>NORRKÖPING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36542-2023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45153</v>
      </c>
      <c r="E481" s="1" t="n">
        <v>46316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38404-2025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46316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Allmännings- och besparingsskogar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45709</v>
      </c>
      <c r="E483" s="1" t="n">
        <v>46316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45883</v>
      </c>
      <c r="E484" s="1" t="n">
        <v>46316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50960-2022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44867</v>
      </c>
      <c r="E485" s="1" t="n">
        <v>46316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10.3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11737-2024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45373</v>
      </c>
      <c r="E486" s="1" t="n">
        <v>46316</v>
      </c>
      <c r="F486" t="inlineStr">
        <is>
          <t>ÖSTERGÖTLANDS LÄN</t>
        </is>
      </c>
      <c r="G486" t="inlineStr">
        <is>
          <t>NORRKÖPING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44980</v>
      </c>
      <c r="E487" s="1" t="n">
        <v>46316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15177-2023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45016</v>
      </c>
      <c r="E488" s="1" t="n">
        <v>46316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46316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45742</v>
      </c>
      <c r="E490" s="1" t="n">
        <v>46316</v>
      </c>
      <c r="F490" t="inlineStr">
        <is>
          <t>ÖSTERGÖTLANDS LÄN</t>
        </is>
      </c>
      <c r="G490" t="inlineStr">
        <is>
          <t>NORRKÖPING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21123-2026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46316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46316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45497</v>
      </c>
      <c r="E493" s="1" t="n">
        <v>46316</v>
      </c>
      <c r="F493" t="inlineStr">
        <is>
          <t>ÖSTERGÖTLANDS LÄN</t>
        </is>
      </c>
      <c r="G493" t="inlineStr">
        <is>
          <t>NORRKÖPING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49487-2022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44861</v>
      </c>
      <c r="E494" s="1" t="n">
        <v>46316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7709-2022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44607</v>
      </c>
      <c r="E495" s="1" t="n">
        <v>46316</v>
      </c>
      <c r="F495" t="inlineStr">
        <is>
          <t>ÖSTERGÖTLANDS LÄN</t>
        </is>
      </c>
      <c r="G495" t="inlineStr">
        <is>
          <t>NORRKÖPING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57405-2024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45629</v>
      </c>
      <c r="E496" s="1" t="n">
        <v>46316</v>
      </c>
      <c r="F496" t="inlineStr">
        <is>
          <t>ÖSTERGÖTLANDS LÄN</t>
        </is>
      </c>
      <c r="G496" t="inlineStr">
        <is>
          <t>NORRKÖPING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46316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46316</v>
      </c>
      <c r="F498" t="inlineStr">
        <is>
          <t>ÖSTERGÖTLANDS LÄN</t>
        </is>
      </c>
      <c r="G498" t="inlineStr">
        <is>
          <t>NORRKÖPING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46316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45769</v>
      </c>
      <c r="E500" s="1" t="n">
        <v>46316</v>
      </c>
      <c r="F500" t="inlineStr">
        <is>
          <t>ÖSTERGÖTLANDS LÄN</t>
        </is>
      </c>
      <c r="G500" t="inlineStr">
        <is>
          <t>NORRKÖPING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62049-2023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45266</v>
      </c>
      <c r="E501" s="1" t="n">
        <v>46316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20356-2024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46316</v>
      </c>
      <c r="F502" t="inlineStr">
        <is>
          <t>ÖSTERGÖTLANDS LÄN</t>
        </is>
      </c>
      <c r="G502" t="inlineStr">
        <is>
          <t>NORRKÖPING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44977</v>
      </c>
      <c r="E503" s="1" t="n">
        <v>46316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45709</v>
      </c>
      <c r="E504" s="1" t="n">
        <v>46316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46316</v>
      </c>
      <c r="F505" t="inlineStr">
        <is>
          <t>ÖSTERGÖTLANDS LÄN</t>
        </is>
      </c>
      <c r="G505" t="inlineStr">
        <is>
          <t>NORRKÖPING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44630</v>
      </c>
      <c r="E506" s="1" t="n">
        <v>46316</v>
      </c>
      <c r="F506" t="inlineStr">
        <is>
          <t>ÖSTERGÖTLANDS LÄN</t>
        </is>
      </c>
      <c r="G506" t="inlineStr">
        <is>
          <t>NORRKÖPING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45008</v>
      </c>
      <c r="E507" s="1" t="n">
        <v>46316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44783</v>
      </c>
      <c r="E508" s="1" t="n">
        <v>46316</v>
      </c>
      <c r="F508" t="inlineStr">
        <is>
          <t>ÖSTERGÖTLANDS LÄN</t>
        </is>
      </c>
      <c r="G508" t="inlineStr">
        <is>
          <t>NORRKÖPING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46316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44719</v>
      </c>
      <c r="E510" s="1" t="n">
        <v>46316</v>
      </c>
      <c r="F510" t="inlineStr">
        <is>
          <t>ÖSTERGÖTLANDS LÄN</t>
        </is>
      </c>
      <c r="G510" t="inlineStr">
        <is>
          <t>NORRKÖPING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45012</v>
      </c>
      <c r="E511" s="1" t="n">
        <v>46316</v>
      </c>
      <c r="F511" t="inlineStr">
        <is>
          <t>ÖSTERGÖTLANDS LÄN</t>
        </is>
      </c>
      <c r="G511" t="inlineStr">
        <is>
          <t>NORRKÖPING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46316</v>
      </c>
      <c r="F512" t="inlineStr">
        <is>
          <t>ÖSTERGÖTLANDS LÄN</t>
        </is>
      </c>
      <c r="G512" t="inlineStr">
        <is>
          <t>NORRKÖPING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45310</v>
      </c>
      <c r="E513" s="1" t="n">
        <v>46316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18128-2025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45761</v>
      </c>
      <c r="E514" s="1" t="n">
        <v>46316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46316</v>
      </c>
      <c r="F515" t="inlineStr">
        <is>
          <t>ÖSTERGÖTLANDS LÄN</t>
        </is>
      </c>
      <c r="G515" t="inlineStr">
        <is>
          <t>NORRKÖPING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45153</v>
      </c>
      <c r="E516" s="1" t="n">
        <v>46316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45490</v>
      </c>
      <c r="E517" s="1" t="n">
        <v>46316</v>
      </c>
      <c r="F517" t="inlineStr">
        <is>
          <t>ÖSTERGÖTLANDS LÄN</t>
        </is>
      </c>
      <c r="G517" t="inlineStr">
        <is>
          <t>NORRKÖPING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19739-2024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45432</v>
      </c>
      <c r="E518" s="1" t="n">
        <v>46316</v>
      </c>
      <c r="F518" t="inlineStr">
        <is>
          <t>ÖSTERGÖTLANDS LÄN</t>
        </is>
      </c>
      <c r="G518" t="inlineStr">
        <is>
          <t>NORRKÖPING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45370</v>
      </c>
      <c r="E519" s="1" t="n">
        <v>46316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36887-2022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44805</v>
      </c>
      <c r="E520" s="1" t="n">
        <v>46316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59580-2022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44907</v>
      </c>
      <c r="E521" s="1" t="n">
        <v>46316</v>
      </c>
      <c r="F521" t="inlineStr">
        <is>
          <t>ÖSTERGÖTLANDS LÄN</t>
        </is>
      </c>
      <c r="G521" t="inlineStr">
        <is>
          <t>NORRKÖPING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45117</v>
      </c>
      <c r="E522" s="1" t="n">
        <v>46316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45121</v>
      </c>
      <c r="E523" s="1" t="n">
        <v>46316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39223-2025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45889</v>
      </c>
      <c r="E524" s="1" t="n">
        <v>46316</v>
      </c>
      <c r="F524" t="inlineStr">
        <is>
          <t>ÖSTERGÖTLANDS LÄN</t>
        </is>
      </c>
      <c r="G524" t="inlineStr">
        <is>
          <t>NORRKÖPING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46316</v>
      </c>
      <c r="F525" t="inlineStr">
        <is>
          <t>ÖSTERGÖTLANDS LÄN</t>
        </is>
      </c>
      <c r="G525" t="inlineStr">
        <is>
          <t>NORRKÖPING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45733</v>
      </c>
      <c r="E526" s="1" t="n">
        <v>46316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7853-2026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46061</v>
      </c>
      <c r="E527" s="1" t="n">
        <v>46316</v>
      </c>
      <c r="F527" t="inlineStr">
        <is>
          <t>ÖSTERGÖTLANDS LÄN</t>
        </is>
      </c>
      <c r="G527" t="inlineStr">
        <is>
          <t>NORRKÖPING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30834-2022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44767</v>
      </c>
      <c r="E528" s="1" t="n">
        <v>46316</v>
      </c>
      <c r="F528" t="inlineStr">
        <is>
          <t>ÖSTERGÖTLANDS LÄN</t>
        </is>
      </c>
      <c r="G528" t="inlineStr">
        <is>
          <t>NORRKÖPING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46316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46316</v>
      </c>
      <c r="F530" t="inlineStr">
        <is>
          <t>ÖSTERGÖTLANDS LÄN</t>
        </is>
      </c>
      <c r="G530" t="inlineStr">
        <is>
          <t>NORRKÖPING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44853</v>
      </c>
      <c r="E531" s="1" t="n">
        <v>46316</v>
      </c>
      <c r="F531" t="inlineStr">
        <is>
          <t>ÖSTERGÖTLANDS LÄN</t>
        </is>
      </c>
      <c r="G531" t="inlineStr">
        <is>
          <t>NORRKÖPING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57376-2024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46316</v>
      </c>
      <c r="F532" t="inlineStr">
        <is>
          <t>ÖSTERGÖTLANDS LÄN</t>
        </is>
      </c>
      <c r="G532" t="inlineStr">
        <is>
          <t>NORRKÖPING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46316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46316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46178</v>
      </c>
      <c r="E535" s="1" t="n">
        <v>46316</v>
      </c>
      <c r="F535" t="inlineStr">
        <is>
          <t>ÖSTERGÖTLANDS LÄN</t>
        </is>
      </c>
      <c r="G535" t="inlineStr">
        <is>
          <t>NORRKÖPING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46316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45758</v>
      </c>
      <c r="E537" s="1" t="n">
        <v>46316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44936</v>
      </c>
      <c r="E538" s="1" t="n">
        <v>46316</v>
      </c>
      <c r="F538" t="inlineStr">
        <is>
          <t>ÖSTERGÖTLANDS LÄN</t>
        </is>
      </c>
      <c r="G538" t="inlineStr">
        <is>
          <t>NORRKÖPING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46316</v>
      </c>
      <c r="F539" t="inlineStr">
        <is>
          <t>ÖSTERGÖTLANDS LÄN</t>
        </is>
      </c>
      <c r="G539" t="inlineStr">
        <is>
          <t>NORRKÖPING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46316</v>
      </c>
      <c r="F540" t="inlineStr">
        <is>
          <t>ÖSTERGÖTLANDS LÄN</t>
        </is>
      </c>
      <c r="G540" t="inlineStr">
        <is>
          <t>NORRKÖPING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46316</v>
      </c>
      <c r="F541" t="inlineStr">
        <is>
          <t>ÖSTERGÖTLANDS LÄN</t>
        </is>
      </c>
      <c r="G541" t="inlineStr">
        <is>
          <t>NORRKÖPING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46316</v>
      </c>
      <c r="F542" t="inlineStr">
        <is>
          <t>ÖSTERGÖTLANDS LÄN</t>
        </is>
      </c>
      <c r="G542" t="inlineStr">
        <is>
          <t>NORRKÖPING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46316</v>
      </c>
      <c r="F543" t="inlineStr">
        <is>
          <t>ÖSTERGÖTLANDS LÄN</t>
        </is>
      </c>
      <c r="G543" t="inlineStr">
        <is>
          <t>NORRKÖPING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46316</v>
      </c>
      <c r="F544" t="inlineStr">
        <is>
          <t>ÖSTERGÖTLANDS LÄN</t>
        </is>
      </c>
      <c r="G544" t="inlineStr">
        <is>
          <t>NORRKÖPING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48122-2023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45205</v>
      </c>
      <c r="E545" s="1" t="n">
        <v>46316</v>
      </c>
      <c r="F545" t="inlineStr">
        <is>
          <t>ÖSTERGÖTLANDS LÄN</t>
        </is>
      </c>
      <c r="G545" t="inlineStr">
        <is>
          <t>NORRKÖPING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46316</v>
      </c>
      <c r="F546" t="inlineStr">
        <is>
          <t>ÖSTERGÖTLANDS LÄN</t>
        </is>
      </c>
      <c r="G546" t="inlineStr">
        <is>
          <t>NORRKÖPING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45446</v>
      </c>
      <c r="E547" s="1" t="n">
        <v>46316</v>
      </c>
      <c r="F547" t="inlineStr">
        <is>
          <t>ÖSTERGÖTLANDS LÄN</t>
        </is>
      </c>
      <c r="G547" t="inlineStr">
        <is>
          <t>NORRKÖPING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45446</v>
      </c>
      <c r="E548" s="1" t="n">
        <v>46316</v>
      </c>
      <c r="F548" t="inlineStr">
        <is>
          <t>ÖSTERGÖTLANDS LÄN</t>
        </is>
      </c>
      <c r="G548" t="inlineStr">
        <is>
          <t>NORRKÖPING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45077</v>
      </c>
      <c r="E549" s="1" t="n">
        <v>46316</v>
      </c>
      <c r="F549" t="inlineStr">
        <is>
          <t>ÖSTERGÖTLANDS LÄN</t>
        </is>
      </c>
      <c r="G549" t="inlineStr">
        <is>
          <t>NORRKÖPING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46316</v>
      </c>
      <c r="F550" t="inlineStr">
        <is>
          <t>ÖSTERGÖTLANDS LÄN</t>
        </is>
      </c>
      <c r="G550" t="inlineStr">
        <is>
          <t>NORRKÖPING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46316</v>
      </c>
      <c r="F551" t="inlineStr">
        <is>
          <t>ÖSTERGÖTLANDS LÄN</t>
        </is>
      </c>
      <c r="G551" t="inlineStr">
        <is>
          <t>NORRKÖPING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46316</v>
      </c>
      <c r="F552" t="inlineStr">
        <is>
          <t>ÖSTERGÖTLANDS LÄN</t>
        </is>
      </c>
      <c r="G552" t="inlineStr">
        <is>
          <t>NORRKÖPING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46316</v>
      </c>
      <c r="F553" t="inlineStr">
        <is>
          <t>ÖSTERGÖTLANDS LÄN</t>
        </is>
      </c>
      <c r="G553" t="inlineStr">
        <is>
          <t>NORRKÖPING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45030</v>
      </c>
      <c r="E554" s="1" t="n">
        <v>46316</v>
      </c>
      <c r="F554" t="inlineStr">
        <is>
          <t>ÖSTERGÖTLANDS LÄN</t>
        </is>
      </c>
      <c r="G554" t="inlineStr">
        <is>
          <t>NORRKÖPING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45399</v>
      </c>
      <c r="E555" s="1" t="n">
        <v>46316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46316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45159</v>
      </c>
      <c r="E557" s="1" t="n">
        <v>46316</v>
      </c>
      <c r="F557" t="inlineStr">
        <is>
          <t>ÖSTERGÖTLANDS LÄN</t>
        </is>
      </c>
      <c r="G557" t="inlineStr">
        <is>
          <t>NORRKÖPING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46316</v>
      </c>
      <c r="F558" t="inlineStr">
        <is>
          <t>ÖSTERGÖTLANDS LÄN</t>
        </is>
      </c>
      <c r="G558" t="inlineStr">
        <is>
          <t>NORRKÖPING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45121</v>
      </c>
      <c r="E559" s="1" t="n">
        <v>46316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46316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46316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46316</v>
      </c>
      <c r="F562" t="inlineStr">
        <is>
          <t>ÖSTERGÖTLANDS LÄN</t>
        </is>
      </c>
      <c r="G562" t="inlineStr">
        <is>
          <t>NORRKÖPING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60233-2022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44910</v>
      </c>
      <c r="E563" s="1" t="n">
        <v>46316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26953-2026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46316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46316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44928</v>
      </c>
      <c r="E566" s="1" t="n">
        <v>46316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46316</v>
      </c>
      <c r="F567" t="inlineStr">
        <is>
          <t>ÖSTERGÖTLANDS LÄN</t>
        </is>
      </c>
      <c r="G567" t="inlineStr">
        <is>
          <t>NORRKÖPING</t>
        </is>
      </c>
      <c r="I567" t="n">
        <v>24.7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26999-2026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46316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46316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45678</v>
      </c>
      <c r="E570" s="1" t="n">
        <v>46316</v>
      </c>
      <c r="F570" t="inlineStr">
        <is>
          <t>ÖSTERGÖTLANDS LÄN</t>
        </is>
      </c>
      <c r="G570" t="inlineStr">
        <is>
          <t>NORRKÖPING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14901-2023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45014</v>
      </c>
      <c r="E571" s="1" t="n">
        <v>46316</v>
      </c>
      <c r="F571" t="inlineStr">
        <is>
          <t>ÖSTERGÖTLANDS LÄN</t>
        </is>
      </c>
      <c r="G571" t="inlineStr">
        <is>
          <t>NORRKÖPING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46316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45266</v>
      </c>
      <c r="E573" s="1" t="n">
        <v>46316</v>
      </c>
      <c r="F573" t="inlineStr">
        <is>
          <t>ÖSTERGÖTLANDS LÄN</t>
        </is>
      </c>
      <c r="G573" t="inlineStr">
        <is>
          <t>NORRKÖPING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45049</v>
      </c>
      <c r="E574" s="1" t="n">
        <v>46316</v>
      </c>
      <c r="F574" t="inlineStr">
        <is>
          <t>ÖSTERGÖTLANDS LÄN</t>
        </is>
      </c>
      <c r="G574" t="inlineStr">
        <is>
          <t>NORRKÖPING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45049</v>
      </c>
      <c r="E575" s="1" t="n">
        <v>46316</v>
      </c>
      <c r="F575" t="inlineStr">
        <is>
          <t>ÖSTERGÖTLANDS LÄN</t>
        </is>
      </c>
      <c r="G575" t="inlineStr">
        <is>
          <t>NORRKÖPING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62033-2023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45266</v>
      </c>
      <c r="E576" s="1" t="n">
        <v>46316</v>
      </c>
      <c r="F576" t="inlineStr">
        <is>
          <t>ÖSTERGÖTLANDS LÄN</t>
        </is>
      </c>
      <c r="G576" t="inlineStr">
        <is>
          <t>NORRKÖPING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45237</v>
      </c>
      <c r="E577" s="1" t="n">
        <v>46316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Kyrkan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46316</v>
      </c>
      <c r="F578" t="inlineStr">
        <is>
          <t>ÖSTERGÖTLANDS LÄN</t>
        </is>
      </c>
      <c r="G578" t="inlineStr">
        <is>
          <t>NORRKÖPING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45796</v>
      </c>
      <c r="E579" s="1" t="n">
        <v>46316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8.6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46316</v>
      </c>
      <c r="F580" t="inlineStr">
        <is>
          <t>ÖSTERGÖTLANDS LÄN</t>
        </is>
      </c>
      <c r="G580" t="inlineStr">
        <is>
          <t>NORRKÖPING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46316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46316</v>
      </c>
      <c r="F582" t="inlineStr">
        <is>
          <t>ÖSTERGÖTLANDS LÄN</t>
        </is>
      </c>
      <c r="G582" t="inlineStr">
        <is>
          <t>NORRKÖPING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8220-2023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44974</v>
      </c>
      <c r="E583" s="1" t="n">
        <v>46316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46316</v>
      </c>
      <c r="F584" t="inlineStr">
        <is>
          <t>ÖSTERGÖTLANDS LÄN</t>
        </is>
      </c>
      <c r="G584" t="inlineStr">
        <is>
          <t>NORRKÖPING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44965</v>
      </c>
      <c r="E585" s="1" t="n">
        <v>46316</v>
      </c>
      <c r="F585" t="inlineStr">
        <is>
          <t>ÖSTERGÖTLANDS LÄN</t>
        </is>
      </c>
      <c r="G585" t="inlineStr">
        <is>
          <t>NORRKÖPING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46316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43322-2022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44834</v>
      </c>
      <c r="E587" s="1" t="n">
        <v>46316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46316</v>
      </c>
      <c r="F588" t="inlineStr">
        <is>
          <t>ÖSTERGÖTLANDS LÄN</t>
        </is>
      </c>
      <c r="G588" t="inlineStr">
        <is>
          <t>NORRKÖPING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28781-2026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46316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44596</v>
      </c>
      <c r="E590" s="1" t="n">
        <v>46316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Allmännings- och besparingsskogar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46316</v>
      </c>
      <c r="F591" t="inlineStr">
        <is>
          <t>ÖSTERGÖTLANDS LÄN</t>
        </is>
      </c>
      <c r="G591" t="inlineStr">
        <is>
          <t>NORRKÖPING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46316</v>
      </c>
      <c r="F592" t="inlineStr">
        <is>
          <t>ÖSTERGÖTLANDS LÄN</t>
        </is>
      </c>
      <c r="G592" t="inlineStr">
        <is>
          <t>NORRKÖPING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46316</v>
      </c>
      <c r="F593" t="inlineStr">
        <is>
          <t>ÖSTERGÖTLANDS LÄN</t>
        </is>
      </c>
      <c r="G593" t="inlineStr">
        <is>
          <t>NORRKÖPING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46316</v>
      </c>
      <c r="F594" t="inlineStr">
        <is>
          <t>ÖSTERGÖTLANDS LÄN</t>
        </is>
      </c>
      <c r="G594" t="inlineStr">
        <is>
          <t>NORRKÖPING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45771</v>
      </c>
      <c r="E595" s="1" t="n">
        <v>46316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46316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38441-2024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46316</v>
      </c>
      <c r="F597" t="inlineStr">
        <is>
          <t>ÖSTERGÖTLANDS LÄN</t>
        </is>
      </c>
      <c r="G597" t="inlineStr">
        <is>
          <t>NORRKÖPING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46316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12727-2022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44641</v>
      </c>
      <c r="E599" s="1" t="n">
        <v>46316</v>
      </c>
      <c r="F599" t="inlineStr">
        <is>
          <t>ÖSTERGÖTLANDS LÄN</t>
        </is>
      </c>
      <c r="G599" t="inlineStr">
        <is>
          <t>NORRKÖPING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46316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46316</v>
      </c>
      <c r="F601" t="inlineStr">
        <is>
          <t>ÖSTERGÖTLANDS LÄN</t>
        </is>
      </c>
      <c r="G601" t="inlineStr">
        <is>
          <t>NORRKÖPING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45030</v>
      </c>
      <c r="E602" s="1" t="n">
        <v>46316</v>
      </c>
      <c r="F602" t="inlineStr">
        <is>
          <t>ÖSTERGÖTLANDS LÄN</t>
        </is>
      </c>
      <c r="G602" t="inlineStr">
        <is>
          <t>NORRKÖPING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45030</v>
      </c>
      <c r="E603" s="1" t="n">
        <v>46316</v>
      </c>
      <c r="F603" t="inlineStr">
        <is>
          <t>ÖSTERGÖTLANDS LÄN</t>
        </is>
      </c>
      <c r="G603" t="inlineStr">
        <is>
          <t>NORRKÖPING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44197-2023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46316</v>
      </c>
      <c r="F604" t="inlineStr">
        <is>
          <t>ÖSTERGÖTLANDS LÄN</t>
        </is>
      </c>
      <c r="G604" t="inlineStr">
        <is>
          <t>NORRKÖPING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62475-2023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45268</v>
      </c>
      <c r="E605" s="1" t="n">
        <v>46316</v>
      </c>
      <c r="F605" t="inlineStr">
        <is>
          <t>ÖSTERGÖTLANDS LÄN</t>
        </is>
      </c>
      <c r="G605" t="inlineStr">
        <is>
          <t>NORRKÖPING</t>
        </is>
      </c>
      <c r="I605" t="n">
        <v>12.5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45550</v>
      </c>
      <c r="E606" s="1" t="n">
        <v>46316</v>
      </c>
      <c r="F606" t="inlineStr">
        <is>
          <t>ÖSTERGÖTLANDS LÄN</t>
        </is>
      </c>
      <c r="G606" t="inlineStr">
        <is>
          <t>NORRKÖPING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46316</v>
      </c>
      <c r="F607" t="inlineStr">
        <is>
          <t>ÖSTERGÖTLANDS LÄN</t>
        </is>
      </c>
      <c r="G607" t="inlineStr">
        <is>
          <t>NORRKÖPING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46316</v>
      </c>
      <c r="F608" t="inlineStr">
        <is>
          <t>ÖSTERGÖTLANDS LÄN</t>
        </is>
      </c>
      <c r="G608" t="inlineStr">
        <is>
          <t>NORRKÖPING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19853-2023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45053</v>
      </c>
      <c r="E609" s="1" t="n">
        <v>46316</v>
      </c>
      <c r="F609" t="inlineStr">
        <is>
          <t>ÖSTERGÖTLANDS LÄN</t>
        </is>
      </c>
      <c r="G609" t="inlineStr">
        <is>
          <t>NORRKÖPING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49060-2022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44860</v>
      </c>
      <c r="E610" s="1" t="n">
        <v>46316</v>
      </c>
      <c r="F610" t="inlineStr">
        <is>
          <t>ÖSTERGÖTLANDS LÄN</t>
        </is>
      </c>
      <c r="G610" t="inlineStr">
        <is>
          <t>NORRKÖPING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44597</v>
      </c>
      <c r="E611" s="1" t="n">
        <v>46316</v>
      </c>
      <c r="F611" t="inlineStr">
        <is>
          <t>ÖSTERGÖTLANDS LÄN</t>
        </is>
      </c>
      <c r="G611" t="inlineStr">
        <is>
          <t>NORRKÖPING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45014</v>
      </c>
      <c r="E612" s="1" t="n">
        <v>46316</v>
      </c>
      <c r="F612" t="inlineStr">
        <is>
          <t>ÖSTERGÖTLANDS LÄN</t>
        </is>
      </c>
      <c r="G612" t="inlineStr">
        <is>
          <t>NORRKÖPING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46316</v>
      </c>
      <c r="F613" t="inlineStr">
        <is>
          <t>ÖSTERGÖTLANDS LÄN</t>
        </is>
      </c>
      <c r="G613" t="inlineStr">
        <is>
          <t>NORRKÖPING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46213</v>
      </c>
      <c r="E614" s="1" t="n">
        <v>46316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46316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46316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44588</v>
      </c>
      <c r="E617" s="1" t="n">
        <v>46316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46316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46316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46218</v>
      </c>
      <c r="E620" s="1" t="n">
        <v>46316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46217</v>
      </c>
      <c r="E621" s="1" t="n">
        <v>46316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46218</v>
      </c>
      <c r="E622" s="1" t="n">
        <v>46316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46217</v>
      </c>
      <c r="E623" s="1" t="n">
        <v>46316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59768-2021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44494</v>
      </c>
      <c r="E624" s="1" t="n">
        <v>46316</v>
      </c>
      <c r="F624" t="inlineStr">
        <is>
          <t>ÖSTERGÖTLANDS LÄN</t>
        </is>
      </c>
      <c r="G624" t="inlineStr">
        <is>
          <t>NORRKÖPING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46316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31661-2026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46225</v>
      </c>
      <c r="E626" s="1" t="n">
        <v>46316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63349-2023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45274</v>
      </c>
      <c r="E627" s="1" t="n">
        <v>46316</v>
      </c>
      <c r="F627" t="inlineStr">
        <is>
          <t>ÖSTERGÖTLANDS LÄN</t>
        </is>
      </c>
      <c r="G627" t="inlineStr">
        <is>
          <t>NORRKÖPING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31880-2026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46231</v>
      </c>
      <c r="E628" s="1" t="n">
        <v>46316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40816-2024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45558</v>
      </c>
      <c r="E629" s="1" t="n">
        <v>46316</v>
      </c>
      <c r="F629" t="inlineStr">
        <is>
          <t>ÖSTERGÖTLANDS LÄN</t>
        </is>
      </c>
      <c r="G629" t="inlineStr">
        <is>
          <t>NORRKÖPING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48786-2022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44859</v>
      </c>
      <c r="E630" s="1" t="n">
        <v>46316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5938-2024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45336</v>
      </c>
      <c r="E631" s="1" t="n">
        <v>46316</v>
      </c>
      <c r="F631" t="inlineStr">
        <is>
          <t>ÖSTERGÖTLANDS LÄN</t>
        </is>
      </c>
      <c r="G631" t="inlineStr">
        <is>
          <t>NORRKÖPING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44582</v>
      </c>
      <c r="E632" s="1" t="n">
        <v>46316</v>
      </c>
      <c r="F632" t="inlineStr">
        <is>
          <t>ÖSTERGÖTLANDS LÄN</t>
        </is>
      </c>
      <c r="G632" t="inlineStr">
        <is>
          <t>NORRKÖPING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21767-2024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45442</v>
      </c>
      <c r="E633" s="1" t="n">
        <v>46316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46316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32069-2026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46233</v>
      </c>
      <c r="E635" s="1" t="n">
        <v>46316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45183</v>
      </c>
      <c r="E636" s="1" t="n">
        <v>46316</v>
      </c>
      <c r="F636" t="inlineStr">
        <is>
          <t>ÖSTERGÖTLANDS LÄN</t>
        </is>
      </c>
      <c r="G636" t="inlineStr">
        <is>
          <t>NORRKÖPING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43346-2023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45183</v>
      </c>
      <c r="E637" s="1" t="n">
        <v>46316</v>
      </c>
      <c r="F637" t="inlineStr">
        <is>
          <t>ÖSTERGÖTLANDS LÄN</t>
        </is>
      </c>
      <c r="G637" t="inlineStr">
        <is>
          <t>NORRKÖPING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37811-2026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46279</v>
      </c>
      <c r="E638" s="1" t="n">
        <v>46316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46316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46233</v>
      </c>
      <c r="E640" s="1" t="n">
        <v>46316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46316</v>
      </c>
      <c r="F641" t="inlineStr">
        <is>
          <t>ÖSTERGÖTLANDS LÄN</t>
        </is>
      </c>
      <c r="G641" t="inlineStr">
        <is>
          <t>NORRKÖPING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46316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46316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31801-2024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45509</v>
      </c>
      <c r="E644" s="1" t="n">
        <v>46316</v>
      </c>
      <c r="F644" t="inlineStr">
        <is>
          <t>ÖSTERGÖTLANDS LÄN</t>
        </is>
      </c>
      <c r="G644" t="inlineStr">
        <is>
          <t>NORRKÖPING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46280</v>
      </c>
      <c r="E645" s="1" t="n">
        <v>46316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46280</v>
      </c>
      <c r="E646" s="1" t="n">
        <v>46316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45145</v>
      </c>
      <c r="E647" s="1" t="n">
        <v>46316</v>
      </c>
      <c r="F647" t="inlineStr">
        <is>
          <t>ÖSTERGÖTLANDS LÄN</t>
        </is>
      </c>
      <c r="G647" t="inlineStr">
        <is>
          <t>NORRKÖPING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50119-2023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46316</v>
      </c>
      <c r="F648" t="inlineStr">
        <is>
          <t>ÖSTERGÖTLANDS LÄN</t>
        </is>
      </c>
      <c r="G648" t="inlineStr">
        <is>
          <t>NORRKÖPING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46316</v>
      </c>
      <c r="F649" t="inlineStr">
        <is>
          <t>ÖSTERGÖTLANDS LÄN</t>
        </is>
      </c>
      <c r="G649" t="inlineStr">
        <is>
          <t>NORRKÖPING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56331-2022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44890</v>
      </c>
      <c r="E650" s="1" t="n">
        <v>46316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46316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19287-2025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45769</v>
      </c>
      <c r="E652" s="1" t="n">
        <v>46316</v>
      </c>
      <c r="F652" t="inlineStr">
        <is>
          <t>ÖSTERGÖTLANDS LÄN</t>
        </is>
      </c>
      <c r="G652" t="inlineStr">
        <is>
          <t>NORRKÖPING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14611-2023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45013</v>
      </c>
      <c r="E653" s="1" t="n">
        <v>46316</v>
      </c>
      <c r="F653" t="inlineStr">
        <is>
          <t>ÖSTERGÖTLANDS LÄN</t>
        </is>
      </c>
      <c r="G653" t="inlineStr">
        <is>
          <t>NORRKÖPING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44956</v>
      </c>
      <c r="E654" s="1" t="n">
        <v>46316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46241</v>
      </c>
      <c r="E655" s="1" t="n">
        <v>46316</v>
      </c>
      <c r="F655" t="inlineStr">
        <is>
          <t>ÖSTERGÖTLANDS LÄN</t>
        </is>
      </c>
      <c r="G655" t="inlineStr">
        <is>
          <t>NORRKÖPING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46316</v>
      </c>
      <c r="F656" t="inlineStr">
        <is>
          <t>ÖSTERGÖTLANDS LÄN</t>
        </is>
      </c>
      <c r="G656" t="inlineStr">
        <is>
          <t>NORRKÖPING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23783-2022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44721</v>
      </c>
      <c r="E657" s="1" t="n">
        <v>46316</v>
      </c>
      <c r="F657" t="inlineStr">
        <is>
          <t>ÖSTERGÖTLANDS LÄN</t>
        </is>
      </c>
      <c r="G657" t="inlineStr">
        <is>
          <t>NORRKÖPING</t>
        </is>
      </c>
      <c r="I657" t="n">
        <v>11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32814-2026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46241</v>
      </c>
      <c r="E658" s="1" t="n">
        <v>46316</v>
      </c>
      <c r="F658" t="inlineStr">
        <is>
          <t>ÖSTERGÖTLANDS LÄN</t>
        </is>
      </c>
      <c r="G658" t="inlineStr">
        <is>
          <t>NORRKÖPING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32967-2026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46244</v>
      </c>
      <c r="E659" s="1" t="n">
        <v>46316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46316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Allmännings- och besparingsskogar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46316</v>
      </c>
      <c r="F661" t="inlineStr">
        <is>
          <t>ÖSTERGÖTLANDS LÄN</t>
        </is>
      </c>
      <c r="G661" t="inlineStr">
        <is>
          <t>NORRKÖPING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50678-2023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45217</v>
      </c>
      <c r="E662" s="1" t="n">
        <v>46316</v>
      </c>
      <c r="F662" t="inlineStr">
        <is>
          <t>ÖSTERGÖTLANDS LÄN</t>
        </is>
      </c>
      <c r="G662" t="inlineStr">
        <is>
          <t>NORRKÖPING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32926-2026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46244</v>
      </c>
      <c r="E663" s="1" t="n">
        <v>46316</v>
      </c>
      <c r="F663" t="inlineStr">
        <is>
          <t>ÖSTERGÖTLANDS LÄN</t>
        </is>
      </c>
      <c r="G663" t="inlineStr">
        <is>
          <t>NORRKÖPING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45075-2023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45191</v>
      </c>
      <c r="E664" s="1" t="n">
        <v>46316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12814-2025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46316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39536-2026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46289</v>
      </c>
      <c r="E666" s="1" t="n">
        <v>46316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36258-2022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44803</v>
      </c>
      <c r="E667" s="1" t="n">
        <v>46316</v>
      </c>
      <c r="F667" t="inlineStr">
        <is>
          <t>ÖSTERGÖTLANDS LÄN</t>
        </is>
      </c>
      <c r="G667" t="inlineStr">
        <is>
          <t>NORRKÖPING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39426-2026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46288</v>
      </c>
      <c r="E668" s="1" t="n">
        <v>46316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Kyrkan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46245</v>
      </c>
      <c r="E669" s="1" t="n">
        <v>46316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33124-2026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46245</v>
      </c>
      <c r="E670" s="1" t="n">
        <v>46316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49062-2022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44860</v>
      </c>
      <c r="E671" s="1" t="n">
        <v>46316</v>
      </c>
      <c r="F671" t="inlineStr">
        <is>
          <t>ÖSTERGÖTLANDS LÄN</t>
        </is>
      </c>
      <c r="G671" t="inlineStr">
        <is>
          <t>NORRKÖPING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46050</v>
      </c>
      <c r="E672" s="1" t="n">
        <v>46316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Allmännings- och besparingsskogar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46245</v>
      </c>
      <c r="E673" s="1" t="n">
        <v>46316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39439-2026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46288</v>
      </c>
      <c r="E674" s="1" t="n">
        <v>46316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Kyrkan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1914-2023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44939</v>
      </c>
      <c r="E675" s="1" t="n">
        <v>46316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Naturvårdsverket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44956</v>
      </c>
      <c r="E676" s="1" t="n">
        <v>46316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12538-2024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45379</v>
      </c>
      <c r="E677" s="1" t="n">
        <v>46316</v>
      </c>
      <c r="F677" t="inlineStr">
        <is>
          <t>ÖSTERGÖTLANDS LÄN</t>
        </is>
      </c>
      <c r="G677" t="inlineStr">
        <is>
          <t>NORRKÖPING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46052</v>
      </c>
      <c r="E678" s="1" t="n">
        <v>46316</v>
      </c>
      <c r="F678" t="inlineStr">
        <is>
          <t>ÖSTERGÖTLANDS LÄN</t>
        </is>
      </c>
      <c r="G678" t="inlineStr">
        <is>
          <t>NORRKÖPING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17138-2022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44677</v>
      </c>
      <c r="E679" s="1" t="n">
        <v>46316</v>
      </c>
      <c r="F679" t="inlineStr">
        <is>
          <t>ÖSTERGÖTLANDS LÄN</t>
        </is>
      </c>
      <c r="G679" t="inlineStr">
        <is>
          <t>NORRKÖPING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40072-2026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46293</v>
      </c>
      <c r="E680" s="1" t="n">
        <v>46316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33170-2023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45126</v>
      </c>
      <c r="E681" s="1" t="n">
        <v>46316</v>
      </c>
      <c r="F681" t="inlineStr">
        <is>
          <t>ÖSTERGÖTLANDS LÄN</t>
        </is>
      </c>
      <c r="G681" t="inlineStr">
        <is>
          <t>NORRKÖPING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33171-2023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45126</v>
      </c>
      <c r="E682" s="1" t="n">
        <v>46316</v>
      </c>
      <c r="F682" t="inlineStr">
        <is>
          <t>ÖSTERGÖTLANDS LÄN</t>
        </is>
      </c>
      <c r="G682" t="inlineStr">
        <is>
          <t>NORRKÖPING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62529-2023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45268</v>
      </c>
      <c r="E683" s="1" t="n">
        <v>46316</v>
      </c>
      <c r="F683" t="inlineStr">
        <is>
          <t>ÖSTERGÖTLANDS LÄN</t>
        </is>
      </c>
      <c r="G683" t="inlineStr">
        <is>
          <t>NORRKÖPING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59586-2022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44907</v>
      </c>
      <c r="E684" s="1" t="n">
        <v>46316</v>
      </c>
      <c r="F684" t="inlineStr">
        <is>
          <t>ÖSTERGÖTLANDS LÄN</t>
        </is>
      </c>
      <c r="G684" t="inlineStr">
        <is>
          <t>NORRKÖPING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31359-2023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45114</v>
      </c>
      <c r="E685" s="1" t="n">
        <v>46316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45114</v>
      </c>
      <c r="E686" s="1" t="n">
        <v>46316</v>
      </c>
      <c r="F686" t="inlineStr">
        <is>
          <t>ÖSTERGÖTLANDS LÄN</t>
        </is>
      </c>
      <c r="G686" t="inlineStr">
        <is>
          <t>NORRKÖPING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11140-2025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45723</v>
      </c>
      <c r="E687" s="1" t="n">
        <v>46316</v>
      </c>
      <c r="F687" t="inlineStr">
        <is>
          <t>ÖSTERGÖTLANDS LÄN</t>
        </is>
      </c>
      <c r="G687" t="inlineStr">
        <is>
          <t>NORRKÖPING</t>
        </is>
      </c>
      <c r="I687" t="n">
        <v>13.9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17503-2022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44679</v>
      </c>
      <c r="E688" s="1" t="n">
        <v>46316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9528-2024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45359</v>
      </c>
      <c r="E689" s="1" t="n">
        <v>46316</v>
      </c>
      <c r="F689" t="inlineStr">
        <is>
          <t>ÖSTERGÖTLANDS LÄN</t>
        </is>
      </c>
      <c r="G689" t="inlineStr">
        <is>
          <t>NORRKÖPING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53747-2022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44880</v>
      </c>
      <c r="E690" s="1" t="n">
        <v>46316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46316</v>
      </c>
      <c r="F691" t="inlineStr">
        <is>
          <t>ÖSTERGÖTLANDS LÄN</t>
        </is>
      </c>
      <c r="G691" t="inlineStr">
        <is>
          <t>NORRKÖPING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1277-2023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44936</v>
      </c>
      <c r="E692" s="1" t="n">
        <v>46316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44936</v>
      </c>
      <c r="E693" s="1" t="n">
        <v>46316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45763</v>
      </c>
      <c r="E694" s="1" t="n">
        <v>46316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40724-2026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46294</v>
      </c>
      <c r="E695" s="1" t="n">
        <v>46316</v>
      </c>
      <c r="F695" t="inlineStr">
        <is>
          <t>ÖSTERGÖTLANDS LÄN</t>
        </is>
      </c>
      <c r="G695" t="inlineStr">
        <is>
          <t>NORRKÖPING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19324-2025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46316</v>
      </c>
      <c r="F696" t="inlineStr">
        <is>
          <t>ÖSTERGÖTLANDS LÄN</t>
        </is>
      </c>
      <c r="G696" t="inlineStr">
        <is>
          <t>NORRKÖPING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11612-2023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44994</v>
      </c>
      <c r="E697" s="1" t="n">
        <v>46316</v>
      </c>
      <c r="F697" t="inlineStr">
        <is>
          <t>ÖSTERGÖTLANDS LÄN</t>
        </is>
      </c>
      <c r="G697" t="inlineStr">
        <is>
          <t>NORRKÖPING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16253-2023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45028</v>
      </c>
      <c r="E698" s="1" t="n">
        <v>46316</v>
      </c>
      <c r="F698" t="inlineStr">
        <is>
          <t>ÖSTERGÖTLANDS LÄN</t>
        </is>
      </c>
      <c r="G698" t="inlineStr">
        <is>
          <t>NORRKÖPING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21664-2024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45442</v>
      </c>
      <c r="E699" s="1" t="n">
        <v>46316</v>
      </c>
      <c r="F699" t="inlineStr">
        <is>
          <t>ÖSTERGÖTLANDS LÄN</t>
        </is>
      </c>
      <c r="G699" t="inlineStr">
        <is>
          <t>NORRKÖPING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16590-2024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45408</v>
      </c>
      <c r="E700" s="1" t="n">
        <v>46316</v>
      </c>
      <c r="F700" t="inlineStr">
        <is>
          <t>ÖSTERGÖTLANDS LÄN</t>
        </is>
      </c>
      <c r="G700" t="inlineStr">
        <is>
          <t>NORRKÖPING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31844-2023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45106</v>
      </c>
      <c r="E701" s="1" t="n">
        <v>46316</v>
      </c>
      <c r="F701" t="inlineStr">
        <is>
          <t>ÖSTERGÖTLANDS LÄN</t>
        </is>
      </c>
      <c r="G701" t="inlineStr">
        <is>
          <t>NORRKÖPING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46316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Kyrkan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34815-2026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46258</v>
      </c>
      <c r="E703" s="1" t="n">
        <v>46316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34809-2026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46258</v>
      </c>
      <c r="E704" s="1" t="n">
        <v>46316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46258</v>
      </c>
      <c r="E705" s="1" t="n">
        <v>46316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49799-2022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44862</v>
      </c>
      <c r="E706" s="1" t="n">
        <v>46316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46316</v>
      </c>
      <c r="F707" t="inlineStr">
        <is>
          <t>ÖSTERGÖTLANDS LÄN</t>
        </is>
      </c>
      <c r="G707" t="inlineStr">
        <is>
          <t>NORRKÖPING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46316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44805</v>
      </c>
      <c r="E709" s="1" t="n">
        <v>46316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46258</v>
      </c>
      <c r="E710" s="1" t="n">
        <v>46316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47051-2023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46316</v>
      </c>
      <c r="F711" t="inlineStr">
        <is>
          <t>ÖSTERGÖTLANDS LÄN</t>
        </is>
      </c>
      <c r="G711" t="inlineStr">
        <is>
          <t>NORRKÖPING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46316</v>
      </c>
      <c r="F712" t="inlineStr">
        <is>
          <t>ÖSTERGÖTLANDS LÄN</t>
        </is>
      </c>
      <c r="G712" t="inlineStr">
        <is>
          <t>NORRKÖPING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11261-2023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44992</v>
      </c>
      <c r="E713" s="1" t="n">
        <v>46316</v>
      </c>
      <c r="F713" t="inlineStr">
        <is>
          <t>ÖSTERGÖTLANDS LÄN</t>
        </is>
      </c>
      <c r="G713" t="inlineStr">
        <is>
          <t>NORRKÖPING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58936-2023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46316</v>
      </c>
      <c r="F714" t="inlineStr">
        <is>
          <t>ÖSTERGÖTLANDS LÄN</t>
        </is>
      </c>
      <c r="G714" t="inlineStr">
        <is>
          <t>NORRKÖPING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10796-2024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45369</v>
      </c>
      <c r="E715" s="1" t="n">
        <v>46316</v>
      </c>
      <c r="F715" t="inlineStr">
        <is>
          <t>ÖSTERGÖTLANDS LÄN</t>
        </is>
      </c>
      <c r="G715" t="inlineStr">
        <is>
          <t>NORRKÖPING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2287-2025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45673</v>
      </c>
      <c r="E716" s="1" t="n">
        <v>46316</v>
      </c>
      <c r="F716" t="inlineStr">
        <is>
          <t>ÖSTERGÖTLANDS LÄN</t>
        </is>
      </c>
      <c r="G716" t="inlineStr">
        <is>
          <t>NORRKÖPING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33341-2023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45128</v>
      </c>
      <c r="E717" s="1" t="n">
        <v>46316</v>
      </c>
      <c r="F717" t="inlineStr">
        <is>
          <t>ÖSTERGÖTLANDS LÄN</t>
        </is>
      </c>
      <c r="G717" t="inlineStr">
        <is>
          <t>NORRKÖPING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11136-2025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45723</v>
      </c>
      <c r="E718" s="1" t="n">
        <v>46316</v>
      </c>
      <c r="F718" t="inlineStr">
        <is>
          <t>ÖSTERGÖTLANDS LÄN</t>
        </is>
      </c>
      <c r="G718" t="inlineStr">
        <is>
          <t>NORRKÖPING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14441-2025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45741</v>
      </c>
      <c r="E719" s="1" t="n">
        <v>46316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46260</v>
      </c>
      <c r="E720" s="1" t="n">
        <v>46316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35202-2026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46260</v>
      </c>
      <c r="E721" s="1" t="n">
        <v>46316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29010-2023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45096</v>
      </c>
      <c r="E722" s="1" t="n">
        <v>46316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19191-2025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45769</v>
      </c>
      <c r="E723" s="1" t="n">
        <v>46316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57492-2023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45246</v>
      </c>
      <c r="E724" s="1" t="n">
        <v>46316</v>
      </c>
      <c r="F724" t="inlineStr">
        <is>
          <t>ÖSTERGÖTLANDS LÄN</t>
        </is>
      </c>
      <c r="G724" t="inlineStr">
        <is>
          <t>NORRKÖPING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45246</v>
      </c>
      <c r="E725" s="1" t="n">
        <v>46316</v>
      </c>
      <c r="F725" t="inlineStr">
        <is>
          <t>ÖSTERGÖTLANDS LÄN</t>
        </is>
      </c>
      <c r="G725" t="inlineStr">
        <is>
          <t>NORRKÖPING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41381-2023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46316</v>
      </c>
      <c r="F726" t="inlineStr">
        <is>
          <t>ÖSTERGÖTLANDS LÄN</t>
        </is>
      </c>
      <c r="G726" t="inlineStr">
        <is>
          <t>NORRKÖPING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41382-2023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46316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46307</v>
      </c>
      <c r="E728" s="1" t="n">
        <v>46316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45457</v>
      </c>
      <c r="E729" s="1" t="n">
        <v>46316</v>
      </c>
      <c r="F729" t="inlineStr">
        <is>
          <t>ÖSTERGÖTLANDS LÄN</t>
        </is>
      </c>
      <c r="G729" t="inlineStr">
        <is>
          <t>NORRKÖPING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26407-2023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45092</v>
      </c>
      <c r="E730" s="1" t="n">
        <v>46316</v>
      </c>
      <c r="F730" t="inlineStr">
        <is>
          <t>ÖSTERGÖTLANDS LÄN</t>
        </is>
      </c>
      <c r="G730" t="inlineStr">
        <is>
          <t>NORRKÖPING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59964-2023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45254</v>
      </c>
      <c r="E731" s="1" t="n">
        <v>46316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16594-2023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45027</v>
      </c>
      <c r="E732" s="1" t="n">
        <v>46316</v>
      </c>
      <c r="F732" t="inlineStr">
        <is>
          <t>ÖSTERGÖTLANDS LÄN</t>
        </is>
      </c>
      <c r="G732" t="inlineStr">
        <is>
          <t>NORRKÖPING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45425</v>
      </c>
      <c r="E733" s="1" t="n">
        <v>46316</v>
      </c>
      <c r="F733" t="inlineStr">
        <is>
          <t>ÖSTERGÖTLANDS LÄN</t>
        </is>
      </c>
      <c r="G733" t="inlineStr">
        <is>
          <t>NORRKÖPING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45581</v>
      </c>
      <c r="E734" s="1" t="n">
        <v>46316</v>
      </c>
      <c r="F734" t="inlineStr">
        <is>
          <t>ÖSTERGÖTLANDS LÄN</t>
        </is>
      </c>
      <c r="G734" t="inlineStr">
        <is>
          <t>NORRKÖPING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26977-2023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45091</v>
      </c>
      <c r="E735" s="1" t="n">
        <v>46316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10798-2024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45369</v>
      </c>
      <c r="E736" s="1" t="n">
        <v>46316</v>
      </c>
      <c r="F736" t="inlineStr">
        <is>
          <t>ÖSTERGÖTLANDS LÄN</t>
        </is>
      </c>
      <c r="G736" t="inlineStr">
        <is>
          <t>NORRKÖPING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45043</v>
      </c>
      <c r="E737" s="1" t="n">
        <v>46316</v>
      </c>
      <c r="F737" t="inlineStr">
        <is>
          <t>ÖSTERGÖTLANDS LÄN</t>
        </is>
      </c>
      <c r="G737" t="inlineStr">
        <is>
          <t>NORRKÖPING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21772-2024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45442</v>
      </c>
      <c r="E738" s="1" t="n">
        <v>46316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45008</v>
      </c>
      <c r="E739" s="1" t="n">
        <v>46316</v>
      </c>
      <c r="F739" t="inlineStr">
        <is>
          <t>ÖSTERGÖTLANDS LÄN</t>
        </is>
      </c>
      <c r="G739" t="inlineStr">
        <is>
          <t>NORRKÖPING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45339</v>
      </c>
      <c r="E740" s="1" t="n">
        <v>46316</v>
      </c>
      <c r="F740" t="inlineStr">
        <is>
          <t>ÖSTERGÖTLANDS LÄN</t>
        </is>
      </c>
      <c r="G740" t="inlineStr">
        <is>
          <t>NORRKÖPING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26834-2023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46316</v>
      </c>
      <c r="F741" t="inlineStr">
        <is>
          <t>ÖSTERGÖTLANDS LÄN</t>
        </is>
      </c>
      <c r="G741" t="inlineStr">
        <is>
          <t>NORRKÖPING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11587-2023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44992</v>
      </c>
      <c r="E742" s="1" t="n">
        <v>46316</v>
      </c>
      <c r="F742" t="inlineStr">
        <is>
          <t>ÖSTERGÖTLANDS LÄN</t>
        </is>
      </c>
      <c r="G742" t="inlineStr">
        <is>
          <t>NORRKÖPING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46265</v>
      </c>
      <c r="E743" s="1" t="n">
        <v>46316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9233-2023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46316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35669-2026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46265</v>
      </c>
      <c r="E745" s="1" t="n">
        <v>46316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46308</v>
      </c>
      <c r="E746" s="1" t="n">
        <v>46316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23349-2024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45453</v>
      </c>
      <c r="E747" s="1" t="n">
        <v>46316</v>
      </c>
      <c r="F747" t="inlineStr">
        <is>
          <t>ÖSTERGÖTLANDS LÄN</t>
        </is>
      </c>
      <c r="G747" t="inlineStr">
        <is>
          <t>NORRKÖPING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59077-2023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45252</v>
      </c>
      <c r="E748" s="1" t="n">
        <v>46316</v>
      </c>
      <c r="F748" t="inlineStr">
        <is>
          <t>ÖSTERGÖTLANDS LÄN</t>
        </is>
      </c>
      <c r="G748" t="inlineStr">
        <is>
          <t>NORRKÖPING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58884-2024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45636</v>
      </c>
      <c r="E749" s="1" t="n">
        <v>46316</v>
      </c>
      <c r="F749" t="inlineStr">
        <is>
          <t>ÖSTERGÖTLANDS LÄN</t>
        </is>
      </c>
      <c r="G749" t="inlineStr">
        <is>
          <t>NORRKÖPING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58901-2024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45636</v>
      </c>
      <c r="E750" s="1" t="n">
        <v>46316</v>
      </c>
      <c r="F750" t="inlineStr">
        <is>
          <t>ÖSTERGÖTLANDS LÄN</t>
        </is>
      </c>
      <c r="G750" t="inlineStr">
        <is>
          <t>NORRKÖPING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46316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BillerudKorsnäs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43071-2026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46311</v>
      </c>
      <c r="E752" s="1" t="n">
        <v>46316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46240</v>
      </c>
      <c r="E753" s="1" t="n">
        <v>46316</v>
      </c>
      <c r="F753" t="inlineStr">
        <is>
          <t>ÖSTERGÖTLANDS LÄN</t>
        </is>
      </c>
      <c r="G753" t="inlineStr">
        <is>
          <t>NORRKÖPING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44573</v>
      </c>
      <c r="E754" s="1" t="n">
        <v>46316</v>
      </c>
      <c r="F754" t="inlineStr">
        <is>
          <t>ÖSTERGÖTLANDS LÄN</t>
        </is>
      </c>
      <c r="G754" t="inlineStr">
        <is>
          <t>NORRKÖPING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43144-2026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46311</v>
      </c>
      <c r="E755" s="1" t="n">
        <v>46316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5116-2024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45330</v>
      </c>
      <c r="E756" s="1" t="n">
        <v>46316</v>
      </c>
      <c r="F756" t="inlineStr">
        <is>
          <t>ÖSTERGÖTLANDS LÄN</t>
        </is>
      </c>
      <c r="G756" t="inlineStr">
        <is>
          <t>NORRKÖPING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49617-2022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44862</v>
      </c>
      <c r="E757" s="1" t="n">
        <v>46316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1383-2022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44573</v>
      </c>
      <c r="E758" s="1" t="n">
        <v>46316</v>
      </c>
      <c r="F758" t="inlineStr">
        <is>
          <t>ÖSTERGÖTLANDS LÄN</t>
        </is>
      </c>
      <c r="G758" t="inlineStr">
        <is>
          <t>NORRKÖPING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46316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43638-2026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46315</v>
      </c>
      <c r="E760" s="1" t="n">
        <v>46316</v>
      </c>
      <c r="F760" t="inlineStr">
        <is>
          <t>ÖSTERGÖTLANDS LÄN</t>
        </is>
      </c>
      <c r="G760" t="inlineStr">
        <is>
          <t>NORRKÖPING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43639-2026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46315</v>
      </c>
      <c r="E761" s="1" t="n">
        <v>46316</v>
      </c>
      <c r="F761" t="inlineStr">
        <is>
          <t>ÖSTERGÖTLANDS LÄN</t>
        </is>
      </c>
      <c r="G761" t="inlineStr">
        <is>
          <t>NORRKÖPING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46316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22470-2022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44713</v>
      </c>
      <c r="E763" s="1" t="n">
        <v>46316</v>
      </c>
      <c r="F763" t="inlineStr">
        <is>
          <t>ÖSTERGÖTLANDS LÄN</t>
        </is>
      </c>
      <c r="G763" t="inlineStr">
        <is>
          <t>NORRKÖPING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45112</v>
      </c>
      <c r="E764" s="1" t="n">
        <v>46316</v>
      </c>
      <c r="F764" t="inlineStr">
        <is>
          <t>ÖSTERGÖTLANDS LÄN</t>
        </is>
      </c>
      <c r="G764" t="inlineStr">
        <is>
          <t>NORRKÖPING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18686-2023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45043</v>
      </c>
      <c r="E765" s="1" t="n">
        <v>46316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26583-2022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44739</v>
      </c>
      <c r="E766" s="1" t="n">
        <v>46316</v>
      </c>
      <c r="F766" t="inlineStr">
        <is>
          <t>ÖSTERGÖTLANDS LÄN</t>
        </is>
      </c>
      <c r="G766" t="inlineStr">
        <is>
          <t>NORRKÖPING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45317</v>
      </c>
      <c r="E767" s="1" t="n">
        <v>46316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19702-2024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45432</v>
      </c>
      <c r="E768" s="1" t="n">
        <v>46316</v>
      </c>
      <c r="F768" t="inlineStr">
        <is>
          <t>ÖSTERGÖTLANDS LÄN</t>
        </is>
      </c>
      <c r="G768" t="inlineStr">
        <is>
          <t>NORRKÖPING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9542-2025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45715</v>
      </c>
      <c r="E769" s="1" t="n">
        <v>46316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11519-2025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45726</v>
      </c>
      <c r="E770" s="1" t="n">
        <v>46316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11144-2025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45723</v>
      </c>
      <c r="E771" s="1" t="n">
        <v>46316</v>
      </c>
      <c r="F771" t="inlineStr">
        <is>
          <t>ÖSTERGÖTLANDS LÄN</t>
        </is>
      </c>
      <c r="G771" t="inlineStr">
        <is>
          <t>NORRKÖPING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46316</v>
      </c>
      <c r="F772" t="inlineStr">
        <is>
          <t>ÖSTERGÖTLANDS LÄN</t>
        </is>
      </c>
      <c r="G772" t="inlineStr">
        <is>
          <t>NORRKÖPING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16698-2023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45030</v>
      </c>
      <c r="E773" s="1" t="n">
        <v>46316</v>
      </c>
      <c r="F773" t="inlineStr">
        <is>
          <t>ÖSTERGÖTLANDS LÄN</t>
        </is>
      </c>
      <c r="G773" t="inlineStr">
        <is>
          <t>NORRKÖPING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59520-2023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45254</v>
      </c>
      <c r="E774" s="1" t="n">
        <v>46316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BillerudKorsnäs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48091-2023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46316</v>
      </c>
      <c r="F775" t="inlineStr">
        <is>
          <t>ÖSTERGÖTLANDS LÄN</t>
        </is>
      </c>
      <c r="G775" t="inlineStr">
        <is>
          <t>NORRKÖPING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44851</v>
      </c>
      <c r="E776" s="1" t="n">
        <v>46316</v>
      </c>
      <c r="F776" t="inlineStr">
        <is>
          <t>ÖSTERGÖTLANDS LÄN</t>
        </is>
      </c>
      <c r="G776" t="inlineStr">
        <is>
          <t>NORRKÖPING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45129</v>
      </c>
      <c r="E777" s="1" t="n">
        <v>46316</v>
      </c>
      <c r="F777" t="inlineStr">
        <is>
          <t>ÖSTERGÖTLANDS LÄN</t>
        </is>
      </c>
      <c r="G777" t="inlineStr">
        <is>
          <t>NORRKÖPING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28663-2024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46316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44957</v>
      </c>
      <c r="E779" s="1" t="n">
        <v>46316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15640-2024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45403</v>
      </c>
      <c r="E780" s="1" t="n">
        <v>46316</v>
      </c>
      <c r="F780" t="inlineStr">
        <is>
          <t>ÖSTERGÖTLANDS LÄN</t>
        </is>
      </c>
      <c r="G780" t="inlineStr">
        <is>
          <t>NORRKÖPING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45033</v>
      </c>
      <c r="E781" s="1" t="n">
        <v>46316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48758-2024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45593</v>
      </c>
      <c r="E782" s="1" t="n">
        <v>46316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17714-2023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46316</v>
      </c>
      <c r="F783" t="inlineStr">
        <is>
          <t>ÖSTERGÖTLANDS LÄN</t>
        </is>
      </c>
      <c r="G783" t="inlineStr">
        <is>
          <t>NORRKÖPING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16689-2023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45030</v>
      </c>
      <c r="E784" s="1" t="n">
        <v>46316</v>
      </c>
      <c r="F784" t="inlineStr">
        <is>
          <t>ÖSTERGÖTLANDS LÄN</t>
        </is>
      </c>
      <c r="G784" t="inlineStr">
        <is>
          <t>NORRKÖPING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19114-2023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45048</v>
      </c>
      <c r="E785" s="1" t="n">
        <v>46316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46316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21770-2025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45783</v>
      </c>
      <c r="E787" s="1" t="n">
        <v>46316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21542-2025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45782</v>
      </c>
      <c r="E788" s="1" t="n">
        <v>46316</v>
      </c>
      <c r="F788" t="inlineStr">
        <is>
          <t>ÖSTERGÖTLANDS LÄN</t>
        </is>
      </c>
      <c r="G788" t="inlineStr">
        <is>
          <t>NORRKÖPING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1884-2025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45671</v>
      </c>
      <c r="E789" s="1" t="n">
        <v>46316</v>
      </c>
      <c r="F789" t="inlineStr">
        <is>
          <t>ÖSTERGÖTLANDS LÄN</t>
        </is>
      </c>
      <c r="G789" t="inlineStr">
        <is>
          <t>NORRKÖPING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21909-2025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45784</v>
      </c>
      <c r="E790" s="1" t="n">
        <v>46316</v>
      </c>
      <c r="F790" t="inlineStr">
        <is>
          <t>ÖSTERGÖTLANDS LÄN</t>
        </is>
      </c>
      <c r="G790" t="inlineStr">
        <is>
          <t>NORRKÖPING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21967-2025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45784</v>
      </c>
      <c r="E791" s="1" t="n">
        <v>46316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46316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Naturvårdsverket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46316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44565</v>
      </c>
      <c r="E794" s="1" t="n">
        <v>46316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Allmännings- och besparingsskogar</t>
        </is>
      </c>
      <c r="I794" t="n">
        <v>9.300000000000001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45092</v>
      </c>
      <c r="E795" s="1" t="n">
        <v>46316</v>
      </c>
      <c r="F795" t="inlineStr">
        <is>
          <t>ÖSTERGÖTLANDS LÄN</t>
        </is>
      </c>
      <c r="G795" t="inlineStr">
        <is>
          <t>NORRKÖPING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23366-2024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46316</v>
      </c>
      <c r="F796" t="inlineStr">
        <is>
          <t>ÖSTERGÖTLANDS LÄN</t>
        </is>
      </c>
      <c r="G796" t="inlineStr">
        <is>
          <t>NORRKÖPING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45453</v>
      </c>
      <c r="E797" s="1" t="n">
        <v>46316</v>
      </c>
      <c r="F797" t="inlineStr">
        <is>
          <t>ÖSTERGÖTLANDS LÄN</t>
        </is>
      </c>
      <c r="G797" t="inlineStr">
        <is>
          <t>NORRKÖPING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45310</v>
      </c>
      <c r="E798" s="1" t="n">
        <v>46316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2289-2020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44130</v>
      </c>
      <c r="E799" s="1" t="n">
        <v>46316</v>
      </c>
      <c r="F799" t="inlineStr">
        <is>
          <t>ÖSTERGÖTLANDS LÄN</t>
        </is>
      </c>
      <c r="G799" t="inlineStr">
        <is>
          <t>NORRKÖPING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1519-2021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44313</v>
      </c>
      <c r="E800" s="1" t="n">
        <v>46316</v>
      </c>
      <c r="F800" t="inlineStr">
        <is>
          <t>ÖSTERGÖTLANDS LÄN</t>
        </is>
      </c>
      <c r="G800" t="inlineStr">
        <is>
          <t>NORRKÖPING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161-2021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44230</v>
      </c>
      <c r="E801" s="1" t="n">
        <v>46316</v>
      </c>
      <c r="F801" t="inlineStr">
        <is>
          <t>ÖSTERGÖTLANDS LÄN</t>
        </is>
      </c>
      <c r="G801" t="inlineStr">
        <is>
          <t>NORRKÖPING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211-2024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45316</v>
      </c>
      <c r="E802" s="1" t="n">
        <v>46316</v>
      </c>
      <c r="F802" t="inlineStr">
        <is>
          <t>ÖSTERGÖTLANDS LÄN</t>
        </is>
      </c>
      <c r="G802" t="inlineStr">
        <is>
          <t>NORRKÖPING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1484-2022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44638</v>
      </c>
      <c r="E803" s="1" t="n">
        <v>46316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1678-2022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44649</v>
      </c>
      <c r="E804" s="1" t="n">
        <v>46316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10364-2021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44551</v>
      </c>
      <c r="E805" s="1" t="n">
        <v>46316</v>
      </c>
      <c r="F805" t="inlineStr">
        <is>
          <t>ÖSTERGÖTLANDS LÄN</t>
        </is>
      </c>
      <c r="G805" t="inlineStr">
        <is>
          <t>NORRKÖPING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4973-2024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45629</v>
      </c>
      <c r="E806" s="1" t="n">
        <v>46316</v>
      </c>
      <c r="F806" t="inlineStr">
        <is>
          <t>ÖSTERGÖTLANDS LÄN</t>
        </is>
      </c>
      <c r="G806" t="inlineStr">
        <is>
          <t>NORRKÖPING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4011-2024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45571</v>
      </c>
      <c r="E807" s="1" t="n">
        <v>46316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1663-2024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45432</v>
      </c>
      <c r="E808" s="1" t="n">
        <v>46316</v>
      </c>
      <c r="F808" t="inlineStr">
        <is>
          <t>ÖSTERGÖTLANDS LÄN</t>
        </is>
      </c>
      <c r="G808" t="inlineStr">
        <is>
          <t>NORRKÖPING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2481-2022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44692</v>
      </c>
      <c r="E809" s="1" t="n">
        <v>46316</v>
      </c>
      <c r="F809" t="inlineStr">
        <is>
          <t>ÖSTERGÖTLANDS LÄN</t>
        </is>
      </c>
      <c r="G809" t="inlineStr">
        <is>
          <t>NORRKÖPING</t>
        </is>
      </c>
      <c r="I809" t="n">
        <v>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4012-2024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45571</v>
      </c>
      <c r="E810" s="1" t="n">
        <v>46316</v>
      </c>
      <c r="F810" t="inlineStr">
        <is>
          <t>ÖSTERGÖTLANDS LÄN</t>
        </is>
      </c>
      <c r="G810" t="inlineStr">
        <is>
          <t>NORRKÖPING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1486-2025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45789</v>
      </c>
      <c r="E811" s="1" t="n">
        <v>46316</v>
      </c>
      <c r="F811" t="inlineStr">
        <is>
          <t>ÖSTERGÖTLANDS LÄN</t>
        </is>
      </c>
      <c r="G811" t="inlineStr">
        <is>
          <t>NORRKÖPING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>
      <c r="A812" t="inlineStr">
        <is>
          <t>S 1433-2025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45784</v>
      </c>
      <c r="E812" s="1" t="n">
        <v>46316</v>
      </c>
      <c r="F812" t="inlineStr">
        <is>
          <t>ÖSTERGÖTLANDS LÄN</t>
        </is>
      </c>
      <c r="G812" t="inlineStr">
        <is>
          <t>NORRKÖPING</t>
        </is>
      </c>
      <c r="I812" t="n">
        <v>7.9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2026-10-21T02:04:07Z</dcterms:created>
  <dcterms:modified xmlns:dcterms="http://purl.org/dc/terms/" xmlns:xsi="http://www.w3.org/2001/XMLSchema-instance" xsi:type="dcterms:W3CDTF">2026-10-21T02:04:07Z</dcterms:modified>
</cp:coreProperties>
</file>