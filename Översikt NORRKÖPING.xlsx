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45738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45738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45738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45738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45738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45738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45738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45738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45738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45738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45738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45738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45738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45738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45738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45738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45738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45738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45738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45738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45738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45738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45738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45738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45738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45738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45738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45738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45738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45738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45738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45738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45738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45738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45738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45738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45738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45738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45738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45738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45738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45738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45738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45738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45738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45738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45738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45738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45738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45738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45738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45738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45738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45738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45738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45738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45738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45738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45738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45738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45738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45738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45738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45738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45738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45738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45738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45738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45738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45738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45738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45738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45738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45738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45738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45738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45738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45738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45738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45738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45738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45738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45738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45738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45738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45738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45738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45738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45738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45738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45738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45738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45738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45738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45738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45738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45738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45738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45738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45738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45738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45738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45738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45738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45738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45738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45738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45738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11077-2025</t>
        </is>
      </c>
      <c r="B129" s="1" t="n">
        <v>45723</v>
      </c>
      <c r="C129" s="1" t="n">
        <v>45738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HYPERLINK("https://klasma.github.io/Logging_0581/artfynd/A 11077-2025 artfynd.xlsx", "A 11077-2025")</f>
        <v/>
      </c>
      <c r="T129">
        <f>HYPERLINK("https://klasma.github.io/Logging_0581/kartor/A 11077-2025 karta.png", "A 11077-2025")</f>
        <v/>
      </c>
      <c r="U129">
        <f>HYPERLINK("https://klasma.github.io/Logging_0581/knärot/A 11077-2025 karta knärot.png", "A 11077-2025")</f>
        <v/>
      </c>
      <c r="V129">
        <f>HYPERLINK("https://klasma.github.io/Logging_0581/klagomål/A 11077-2025 FSC-klagomål.docx", "A 11077-2025")</f>
        <v/>
      </c>
      <c r="W129">
        <f>HYPERLINK("https://klasma.github.io/Logging_0581/klagomålsmail/A 11077-2025 FSC-klagomål mail.docx", "A 11077-2025")</f>
        <v/>
      </c>
      <c r="X129">
        <f>HYPERLINK("https://klasma.github.io/Logging_0581/tillsyn/A 11077-2025 tillsynsbegäran.docx", "A 11077-2025")</f>
        <v/>
      </c>
      <c r="Y129">
        <f>HYPERLINK("https://klasma.github.io/Logging_0581/tillsynsmail/A 11077-2025 tillsynsbegäran mail.docx", "A 11077-2025")</f>
        <v/>
      </c>
    </row>
    <row r="130" ht="15" customHeight="1">
      <c r="A130" t="inlineStr">
        <is>
          <t>A 11085-2025</t>
        </is>
      </c>
      <c r="B130" s="1" t="n">
        <v>45723</v>
      </c>
      <c r="C130" s="1" t="n">
        <v>45738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HYPERLINK("https://klasma.github.io/Logging_0581/artfynd/A 11085-2025 artfynd.xlsx", "A 11085-2025")</f>
        <v/>
      </c>
      <c r="T130">
        <f>HYPERLINK("https://klasma.github.io/Logging_0581/kartor/A 11085-2025 karta.png", "A 11085-2025")</f>
        <v/>
      </c>
      <c r="V130">
        <f>HYPERLINK("https://klasma.github.io/Logging_0581/klagomål/A 11085-2025 FSC-klagomål.docx", "A 11085-2025")</f>
        <v/>
      </c>
      <c r="W130">
        <f>HYPERLINK("https://klasma.github.io/Logging_0581/klagomålsmail/A 11085-2025 FSC-klagomål mail.docx", "A 11085-2025")</f>
        <v/>
      </c>
      <c r="X130">
        <f>HYPERLINK("https://klasma.github.io/Logging_0581/tillsyn/A 11085-2025 tillsynsbegäran.docx", "A 11085-2025")</f>
        <v/>
      </c>
      <c r="Y130">
        <f>HYPERLINK("https://klasma.github.io/Logging_0581/tillsynsmail/A 11085-2025 tillsynsbegäran mail.docx", "A 11085-2025")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45738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HYPERLINK("https://klasma.github.io/Logging_0581/artfynd/A 11142-2025 artfynd.xlsx", "A 11142-2025")</f>
        <v/>
      </c>
      <c r="T131">
        <f>HYPERLINK("https://klasma.github.io/Logging_0581/kartor/A 11142-2025 karta.png", "A 11142-2025")</f>
        <v/>
      </c>
      <c r="V131">
        <f>HYPERLINK("https://klasma.github.io/Logging_0581/klagomål/A 11142-2025 FSC-klagomål.docx", "A 11142-2025")</f>
        <v/>
      </c>
      <c r="W131">
        <f>HYPERLINK("https://klasma.github.io/Logging_0581/klagomålsmail/A 11142-2025 FSC-klagomål mail.docx", "A 11142-2025")</f>
        <v/>
      </c>
      <c r="X131">
        <f>HYPERLINK("https://klasma.github.io/Logging_0581/tillsyn/A 11142-2025 tillsynsbegäran.docx", "A 11142-2025")</f>
        <v/>
      </c>
      <c r="Y131">
        <f>HYPERLINK("https://klasma.github.io/Logging_0581/tillsynsmail/A 11142-2025 tillsynsbegäran mail.docx", "A 11142-2025")</f>
        <v/>
      </c>
    </row>
    <row r="132" ht="15" customHeight="1">
      <c r="A132" t="inlineStr">
        <is>
          <t>A 12567-2025</t>
        </is>
      </c>
      <c r="B132" s="1" t="n">
        <v>45731</v>
      </c>
      <c r="C132" s="1" t="n">
        <v>45738</v>
      </c>
      <c r="D132" t="inlineStr">
        <is>
          <t>ÖSTERGÖTLANDS LÄN</t>
        </is>
      </c>
      <c r="E132" t="inlineStr">
        <is>
          <t>NORRKÖPING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HYPERLINK("https://klasma.github.io/Logging_0581/artfynd/A 12567-2025 artfynd.xlsx", "A 12567-2025")</f>
        <v/>
      </c>
      <c r="T132">
        <f>HYPERLINK("https://klasma.github.io/Logging_0581/kartor/A 12567-2025 karta.png", "A 12567-2025")</f>
        <v/>
      </c>
      <c r="V132">
        <f>HYPERLINK("https://klasma.github.io/Logging_0581/klagomål/A 12567-2025 FSC-klagomål.docx", "A 12567-2025")</f>
        <v/>
      </c>
      <c r="W132">
        <f>HYPERLINK("https://klasma.github.io/Logging_0581/klagomålsmail/A 12567-2025 FSC-klagomål mail.docx", "A 12567-2025")</f>
        <v/>
      </c>
      <c r="X132">
        <f>HYPERLINK("https://klasma.github.io/Logging_0581/tillsyn/A 12567-2025 tillsynsbegäran.docx", "A 12567-2025")</f>
        <v/>
      </c>
      <c r="Y132">
        <f>HYPERLINK("https://klasma.github.io/Logging_0581/tillsynsmail/A 12567-2025 tillsynsbegäran mail.docx", "A 12567-2025")</f>
        <v/>
      </c>
    </row>
    <row r="133" ht="15" customHeight="1">
      <c r="A133" t="inlineStr">
        <is>
          <t>A 18315-2019</t>
        </is>
      </c>
      <c r="B133" s="1" t="n">
        <v>43558</v>
      </c>
      <c r="C133" s="1" t="n">
        <v>45738</v>
      </c>
      <c r="D133" t="inlineStr">
        <is>
          <t>ÖSTERGÖTLANDS LÄN</t>
        </is>
      </c>
      <c r="E133" t="inlineStr">
        <is>
          <t>NORRKÖPING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18343-2019</t>
        </is>
      </c>
      <c r="B134" s="1" t="n">
        <v>43558</v>
      </c>
      <c r="C134" s="1" t="n">
        <v>45738</v>
      </c>
      <c r="D134" t="inlineStr">
        <is>
          <t>ÖSTERGÖTLANDS LÄN</t>
        </is>
      </c>
      <c r="E134" t="inlineStr">
        <is>
          <t>NORRKÖPING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18369-2019</t>
        </is>
      </c>
      <c r="B135" s="1" t="n">
        <v>43558</v>
      </c>
      <c r="C135" s="1" t="n">
        <v>45738</v>
      </c>
      <c r="D135" t="inlineStr">
        <is>
          <t>ÖSTERGÖTLANDS LÄN</t>
        </is>
      </c>
      <c r="E135" t="inlineStr">
        <is>
          <t>NORRKÖPING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18970-2019</t>
        </is>
      </c>
      <c r="B136" s="1" t="n">
        <v>43563</v>
      </c>
      <c r="C136" s="1" t="n">
        <v>45738</v>
      </c>
      <c r="D136" t="inlineStr">
        <is>
          <t>ÖSTERGÖTLANDS LÄN</t>
        </is>
      </c>
      <c r="E136" t="inlineStr">
        <is>
          <t>NORRKÖPING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19139-2019</t>
        </is>
      </c>
      <c r="B137" s="1" t="n">
        <v>43564</v>
      </c>
      <c r="C137" s="1" t="n">
        <v>45738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19888-2019</t>
        </is>
      </c>
      <c r="B138" s="1" t="n">
        <v>43567</v>
      </c>
      <c r="C138" s="1" t="n">
        <v>45738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22133-2019</t>
        </is>
      </c>
      <c r="B139" s="1" t="n">
        <v>43584</v>
      </c>
      <c r="C139" s="1" t="n">
        <v>45738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22699-2019</t>
        </is>
      </c>
      <c r="B140" s="1" t="n">
        <v>43588</v>
      </c>
      <c r="C140" s="1" t="n">
        <v>45738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22704-2019</t>
        </is>
      </c>
      <c r="B141" s="1" t="n">
        <v>43588</v>
      </c>
      <c r="C141" s="1" t="n">
        <v>45738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23027-2019</t>
        </is>
      </c>
      <c r="B142" s="1" t="n">
        <v>43591</v>
      </c>
      <c r="C142" s="1" t="n">
        <v>45738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24056-2019</t>
        </is>
      </c>
      <c r="B143" s="1" t="n">
        <v>43598</v>
      </c>
      <c r="C143" s="1" t="n">
        <v>45738</v>
      </c>
      <c r="D143" t="inlineStr">
        <is>
          <t>ÖSTERGÖTLANDS LÄN</t>
        </is>
      </c>
      <c r="E143" t="inlineStr">
        <is>
          <t>NORRKÖPING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24854-2019</t>
        </is>
      </c>
      <c r="B144" s="1" t="n">
        <v>43602</v>
      </c>
      <c r="C144" s="1" t="n">
        <v>45738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25567-2019</t>
        </is>
      </c>
      <c r="B145" s="1" t="n">
        <v>43607</v>
      </c>
      <c r="C145" s="1" t="n">
        <v>45738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25815-2019</t>
        </is>
      </c>
      <c r="B146" s="1" t="n">
        <v>43608</v>
      </c>
      <c r="C146" s="1" t="n">
        <v>45738</v>
      </c>
      <c r="D146" t="inlineStr">
        <is>
          <t>ÖSTERGÖTLANDS LÄN</t>
        </is>
      </c>
      <c r="E146" t="inlineStr">
        <is>
          <t>NORRKÖPING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26283-2019</t>
        </is>
      </c>
      <c r="B147" s="1" t="n">
        <v>43611</v>
      </c>
      <c r="C147" s="1" t="n">
        <v>45738</v>
      </c>
      <c r="D147" t="inlineStr">
        <is>
          <t>ÖSTERGÖTLANDS LÄN</t>
        </is>
      </c>
      <c r="E147" t="inlineStr">
        <is>
          <t>NORRKÖPING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29181-2019</t>
        </is>
      </c>
      <c r="B148" s="1" t="n">
        <v>43628</v>
      </c>
      <c r="C148" s="1" t="n">
        <v>45738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29673-2019</t>
        </is>
      </c>
      <c r="B149" s="1" t="n">
        <v>43630</v>
      </c>
      <c r="C149" s="1" t="n">
        <v>45738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30998-2019</t>
        </is>
      </c>
      <c r="B150" s="1" t="n">
        <v>43640</v>
      </c>
      <c r="C150" s="1" t="n">
        <v>45738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32292-2019</t>
        </is>
      </c>
      <c r="B151" s="1" t="n">
        <v>43644</v>
      </c>
      <c r="C151" s="1" t="n">
        <v>45738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34300-2019</t>
        </is>
      </c>
      <c r="B152" s="1" t="n">
        <v>43655</v>
      </c>
      <c r="C152" s="1" t="n">
        <v>45738</v>
      </c>
      <c r="D152" t="inlineStr">
        <is>
          <t>ÖSTERGÖTLANDS LÄN</t>
        </is>
      </c>
      <c r="E152" t="inlineStr">
        <is>
          <t>NORRKÖPING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36319-2019</t>
        </is>
      </c>
      <c r="B153" s="1" t="n">
        <v>43661</v>
      </c>
      <c r="C153" s="1" t="n">
        <v>45738</v>
      </c>
      <c r="D153" t="inlineStr">
        <is>
          <t>ÖSTERGÖTLANDS LÄN</t>
        </is>
      </c>
      <c r="E153" t="inlineStr">
        <is>
          <t>NORRKÖPING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36869-2019</t>
        </is>
      </c>
      <c r="B154" s="1" t="n">
        <v>43675</v>
      </c>
      <c r="C154" s="1" t="n">
        <v>45738</v>
      </c>
      <c r="D154" t="inlineStr">
        <is>
          <t>ÖSTERGÖTLANDS LÄN</t>
        </is>
      </c>
      <c r="E154" t="inlineStr">
        <is>
          <t>NORRKÖPING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38361-2019</t>
        </is>
      </c>
      <c r="B155" s="1" t="n">
        <v>43685</v>
      </c>
      <c r="C155" s="1" t="n">
        <v>45738</v>
      </c>
      <c r="D155" t="inlineStr">
        <is>
          <t>ÖSTERGÖTLANDS LÄN</t>
        </is>
      </c>
      <c r="E155" t="inlineStr">
        <is>
          <t>NORRKÖPING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39413-2019</t>
        </is>
      </c>
      <c r="B156" s="1" t="n">
        <v>43691</v>
      </c>
      <c r="C156" s="1" t="n">
        <v>45738</v>
      </c>
      <c r="D156" t="inlineStr">
        <is>
          <t>ÖSTERGÖTLANDS LÄN</t>
        </is>
      </c>
      <c r="E156" t="inlineStr">
        <is>
          <t>NORRKÖPING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39437-2019</t>
        </is>
      </c>
      <c r="B157" s="1" t="n">
        <v>43691</v>
      </c>
      <c r="C157" s="1" t="n">
        <v>45738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39640-2019</t>
        </is>
      </c>
      <c r="B158" s="1" t="n">
        <v>43691</v>
      </c>
      <c r="C158" s="1" t="n">
        <v>45738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40375-2019</t>
        </is>
      </c>
      <c r="B159" s="1" t="n">
        <v>43696</v>
      </c>
      <c r="C159" s="1" t="n">
        <v>45738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40928-2019</t>
        </is>
      </c>
      <c r="B160" s="1" t="n">
        <v>43697</v>
      </c>
      <c r="C160" s="1" t="n">
        <v>45738</v>
      </c>
      <c r="D160" t="inlineStr">
        <is>
          <t>ÖSTERGÖTLANDS LÄN</t>
        </is>
      </c>
      <c r="E160" t="inlineStr">
        <is>
          <t>NORRKÖPING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40889-2019</t>
        </is>
      </c>
      <c r="B161" s="1" t="n">
        <v>43697</v>
      </c>
      <c r="C161" s="1" t="n">
        <v>45738</v>
      </c>
      <c r="D161" t="inlineStr">
        <is>
          <t>ÖSTERGÖTLANDS LÄN</t>
        </is>
      </c>
      <c r="E161" t="inlineStr">
        <is>
          <t>NORRKÖPING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40908-2019</t>
        </is>
      </c>
      <c r="B162" s="1" t="n">
        <v>43697</v>
      </c>
      <c r="C162" s="1" t="n">
        <v>45738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41800-2019</t>
        </is>
      </c>
      <c r="B163" s="1" t="n">
        <v>43700</v>
      </c>
      <c r="C163" s="1" t="n">
        <v>45738</v>
      </c>
      <c r="D163" t="inlineStr">
        <is>
          <t>ÖSTERGÖTLANDS LÄN</t>
        </is>
      </c>
      <c r="E163" t="inlineStr">
        <is>
          <t>NORRKÖPING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43114-2019</t>
        </is>
      </c>
      <c r="B164" s="1" t="n">
        <v>43705</v>
      </c>
      <c r="C164" s="1" t="n">
        <v>45738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42901-2019</t>
        </is>
      </c>
      <c r="B165" s="1" t="n">
        <v>43705</v>
      </c>
      <c r="C165" s="1" t="n">
        <v>45738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43813-2019</t>
        </is>
      </c>
      <c r="B166" s="1" t="n">
        <v>43707</v>
      </c>
      <c r="C166" s="1" t="n">
        <v>45738</v>
      </c>
      <c r="D166" t="inlineStr">
        <is>
          <t>ÖSTERGÖTLANDS LÄN</t>
        </is>
      </c>
      <c r="E166" t="inlineStr">
        <is>
          <t>NORRKÖPING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43918-2019</t>
        </is>
      </c>
      <c r="B167" s="1" t="n">
        <v>43707</v>
      </c>
      <c r="C167" s="1" t="n">
        <v>45738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46123-2019</t>
        </is>
      </c>
      <c r="B168" s="1" t="n">
        <v>43713</v>
      </c>
      <c r="C168" s="1" t="n">
        <v>45738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46595-2019</t>
        </is>
      </c>
      <c r="B169" s="1" t="n">
        <v>43719</v>
      </c>
      <c r="C169" s="1" t="n">
        <v>45738</v>
      </c>
      <c r="D169" t="inlineStr">
        <is>
          <t>ÖSTERGÖTLANDS LÄN</t>
        </is>
      </c>
      <c r="E169" t="inlineStr">
        <is>
          <t>NORRKÖPING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46757-2019</t>
        </is>
      </c>
      <c r="B170" s="1" t="n">
        <v>43720</v>
      </c>
      <c r="C170" s="1" t="n">
        <v>45738</v>
      </c>
      <c r="D170" t="inlineStr">
        <is>
          <t>ÖSTERGÖTLANDS LÄN</t>
        </is>
      </c>
      <c r="E170" t="inlineStr">
        <is>
          <t>NORRKÖPING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47024-2019</t>
        </is>
      </c>
      <c r="B171" s="1" t="n">
        <v>43720</v>
      </c>
      <c r="C171" s="1" t="n">
        <v>45738</v>
      </c>
      <c r="D171" t="inlineStr">
        <is>
          <t>ÖSTERGÖTLANDS LÄN</t>
        </is>
      </c>
      <c r="E171" t="inlineStr">
        <is>
          <t>NORRKÖPING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47555-2019</t>
        </is>
      </c>
      <c r="B172" s="1" t="n">
        <v>43724</v>
      </c>
      <c r="C172" s="1" t="n">
        <v>45738</v>
      </c>
      <c r="D172" t="inlineStr">
        <is>
          <t>ÖSTERGÖTLANDS LÄN</t>
        </is>
      </c>
      <c r="E172" t="inlineStr">
        <is>
          <t>NORRKÖPING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47726-2019</t>
        </is>
      </c>
      <c r="B173" s="1" t="n">
        <v>43724</v>
      </c>
      <c r="C173" s="1" t="n">
        <v>45738</v>
      </c>
      <c r="D173" t="inlineStr">
        <is>
          <t>ÖSTERGÖTLANDS LÄN</t>
        </is>
      </c>
      <c r="E173" t="inlineStr">
        <is>
          <t>NORRKÖPING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51924-2019</t>
        </is>
      </c>
      <c r="B174" s="1" t="n">
        <v>43741</v>
      </c>
      <c r="C174" s="1" t="n">
        <v>45738</v>
      </c>
      <c r="D174" t="inlineStr">
        <is>
          <t>ÖSTERGÖTLANDS LÄN</t>
        </is>
      </c>
      <c r="E174" t="inlineStr">
        <is>
          <t>NORRKÖPING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52468-2019</t>
        </is>
      </c>
      <c r="B175" s="1" t="n">
        <v>43745</v>
      </c>
      <c r="C175" s="1" t="n">
        <v>45738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54265-2019</t>
        </is>
      </c>
      <c r="B176" s="1" t="n">
        <v>43745</v>
      </c>
      <c r="C176" s="1" t="n">
        <v>45738</v>
      </c>
      <c r="D176" t="inlineStr">
        <is>
          <t>ÖSTERGÖTLANDS LÄN</t>
        </is>
      </c>
      <c r="E176" t="inlineStr">
        <is>
          <t>NORRKÖPING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53675-2019</t>
        </is>
      </c>
      <c r="B177" s="1" t="n">
        <v>43749</v>
      </c>
      <c r="C177" s="1" t="n">
        <v>45738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53869-2019</t>
        </is>
      </c>
      <c r="B178" s="1" t="n">
        <v>43752</v>
      </c>
      <c r="C178" s="1" t="n">
        <v>45738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53871-2019</t>
        </is>
      </c>
      <c r="B179" s="1" t="n">
        <v>43752</v>
      </c>
      <c r="C179" s="1" t="n">
        <v>45738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54287-2019</t>
        </is>
      </c>
      <c r="B180" s="1" t="n">
        <v>43753</v>
      </c>
      <c r="C180" s="1" t="n">
        <v>45738</v>
      </c>
      <c r="D180" t="inlineStr">
        <is>
          <t>ÖSTERGÖTLANDS LÄN</t>
        </is>
      </c>
      <c r="E180" t="inlineStr">
        <is>
          <t>NORRKÖPING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54420-2019</t>
        </is>
      </c>
      <c r="B181" s="1" t="n">
        <v>43754</v>
      </c>
      <c r="C181" s="1" t="n">
        <v>45738</v>
      </c>
      <c r="D181" t="inlineStr">
        <is>
          <t>ÖSTERGÖTLANDS LÄN</t>
        </is>
      </c>
      <c r="E181" t="inlineStr">
        <is>
          <t>NORRKÖPING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55086-2019</t>
        </is>
      </c>
      <c r="B182" s="1" t="n">
        <v>43756</v>
      </c>
      <c r="C182" s="1" t="n">
        <v>45738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55339-2019</t>
        </is>
      </c>
      <c r="B183" s="1" t="n">
        <v>43756</v>
      </c>
      <c r="C183" s="1" t="n">
        <v>45738</v>
      </c>
      <c r="D183" t="inlineStr">
        <is>
          <t>ÖSTERGÖTLANDS LÄN</t>
        </is>
      </c>
      <c r="E183" t="inlineStr">
        <is>
          <t>NORRKÖPING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55097-2019</t>
        </is>
      </c>
      <c r="B184" s="1" t="n">
        <v>43756</v>
      </c>
      <c r="C184" s="1" t="n">
        <v>45738</v>
      </c>
      <c r="D184" t="inlineStr">
        <is>
          <t>ÖSTERGÖTLANDS LÄN</t>
        </is>
      </c>
      <c r="E184" t="inlineStr">
        <is>
          <t>NORRKÖPING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55547-2019</t>
        </is>
      </c>
      <c r="B185" s="1" t="n">
        <v>43757</v>
      </c>
      <c r="C185" s="1" t="n">
        <v>45738</v>
      </c>
      <c r="D185" t="inlineStr">
        <is>
          <t>ÖSTERGÖTLANDS LÄN</t>
        </is>
      </c>
      <c r="E185" t="inlineStr">
        <is>
          <t>NORRKÖPING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55511-2019</t>
        </is>
      </c>
      <c r="B186" s="1" t="n">
        <v>43759</v>
      </c>
      <c r="C186" s="1" t="n">
        <v>45738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57000-2019</t>
        </is>
      </c>
      <c r="B187" s="1" t="n">
        <v>43766</v>
      </c>
      <c r="C187" s="1" t="n">
        <v>45738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56995-2019</t>
        </is>
      </c>
      <c r="B188" s="1" t="n">
        <v>43766</v>
      </c>
      <c r="C188" s="1" t="n">
        <v>45738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57263-2019</t>
        </is>
      </c>
      <c r="B189" s="1" t="n">
        <v>43767</v>
      </c>
      <c r="C189" s="1" t="n">
        <v>45738</v>
      </c>
      <c r="D189" t="inlineStr">
        <is>
          <t>ÖSTERGÖTLANDS LÄN</t>
        </is>
      </c>
      <c r="E189" t="inlineStr">
        <is>
          <t>NORRKÖPING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57496-2019</t>
        </is>
      </c>
      <c r="B190" s="1" t="n">
        <v>43767</v>
      </c>
      <c r="C190" s="1" t="n">
        <v>45738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59720-2019</t>
        </is>
      </c>
      <c r="B191" s="1" t="n">
        <v>43776</v>
      </c>
      <c r="C191" s="1" t="n">
        <v>45738</v>
      </c>
      <c r="D191" t="inlineStr">
        <is>
          <t>ÖSTERGÖTLANDS LÄN</t>
        </is>
      </c>
      <c r="E191" t="inlineStr">
        <is>
          <t>NORRKÖPING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59939-2019</t>
        </is>
      </c>
      <c r="B192" s="1" t="n">
        <v>43777</v>
      </c>
      <c r="C192" s="1" t="n">
        <v>45738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60610-2019</t>
        </is>
      </c>
      <c r="B193" s="1" t="n">
        <v>43781</v>
      </c>
      <c r="C193" s="1" t="n">
        <v>45738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60984-2019</t>
        </is>
      </c>
      <c r="B194" s="1" t="n">
        <v>43782</v>
      </c>
      <c r="C194" s="1" t="n">
        <v>45738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60987-2019</t>
        </is>
      </c>
      <c r="B195" s="1" t="n">
        <v>43782</v>
      </c>
      <c r="C195" s="1" t="n">
        <v>45738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61913-2019</t>
        </is>
      </c>
      <c r="B196" s="1" t="n">
        <v>43787</v>
      </c>
      <c r="C196" s="1" t="n">
        <v>45738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63984-2019</t>
        </is>
      </c>
      <c r="B197" s="1" t="n">
        <v>43796</v>
      </c>
      <c r="C197" s="1" t="n">
        <v>45738</v>
      </c>
      <c r="D197" t="inlineStr">
        <is>
          <t>ÖSTERGÖTLANDS LÄN</t>
        </is>
      </c>
      <c r="E197" t="inlineStr">
        <is>
          <t>NORRKÖPING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64360-2019</t>
        </is>
      </c>
      <c r="B198" s="1" t="n">
        <v>43797</v>
      </c>
      <c r="C198" s="1" t="n">
        <v>45738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64731-2019</t>
        </is>
      </c>
      <c r="B199" s="1" t="n">
        <v>43800</v>
      </c>
      <c r="C199" s="1" t="n">
        <v>45738</v>
      </c>
      <c r="D199" t="inlineStr">
        <is>
          <t>ÖSTERGÖTLANDS LÄN</t>
        </is>
      </c>
      <c r="E199" t="inlineStr">
        <is>
          <t>NORRKÖPING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64734-2019</t>
        </is>
      </c>
      <c r="B200" s="1" t="n">
        <v>43800</v>
      </c>
      <c r="C200" s="1" t="n">
        <v>45738</v>
      </c>
      <c r="D200" t="inlineStr">
        <is>
          <t>ÖSTERGÖTLANDS LÄN</t>
        </is>
      </c>
      <c r="E200" t="inlineStr">
        <is>
          <t>NORRKÖPING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64815-2019</t>
        </is>
      </c>
      <c r="B201" s="1" t="n">
        <v>43801</v>
      </c>
      <c r="C201" s="1" t="n">
        <v>45738</v>
      </c>
      <c r="D201" t="inlineStr">
        <is>
          <t>ÖSTERGÖTLANDS LÄN</t>
        </is>
      </c>
      <c r="E201" t="inlineStr">
        <is>
          <t>NORRKÖPING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66996-2019</t>
        </is>
      </c>
      <c r="B202" s="1" t="n">
        <v>43805</v>
      </c>
      <c r="C202" s="1" t="n">
        <v>45738</v>
      </c>
      <c r="D202" t="inlineStr">
        <is>
          <t>ÖSTERGÖTLANDS LÄN</t>
        </is>
      </c>
      <c r="E202" t="inlineStr">
        <is>
          <t>NORRKÖPING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66245-2019</t>
        </is>
      </c>
      <c r="B203" s="1" t="n">
        <v>43808</v>
      </c>
      <c r="C203" s="1" t="n">
        <v>45738</v>
      </c>
      <c r="D203" t="inlineStr">
        <is>
          <t>ÖSTERGÖTLANDS LÄN</t>
        </is>
      </c>
      <c r="E203" t="inlineStr">
        <is>
          <t>NORRKÖPING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68428-2019</t>
        </is>
      </c>
      <c r="B204" s="1" t="n">
        <v>43809</v>
      </c>
      <c r="C204" s="1" t="n">
        <v>45738</v>
      </c>
      <c r="D204" t="inlineStr">
        <is>
          <t>ÖSTERGÖTLANDS LÄN</t>
        </is>
      </c>
      <c r="E204" t="inlineStr">
        <is>
          <t>NORRKÖPING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67090-2019</t>
        </is>
      </c>
      <c r="B205" s="1" t="n">
        <v>43811</v>
      </c>
      <c r="C205" s="1" t="n">
        <v>45738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67452-2019</t>
        </is>
      </c>
      <c r="B206" s="1" t="n">
        <v>43812</v>
      </c>
      <c r="C206" s="1" t="n">
        <v>45738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67451-2019</t>
        </is>
      </c>
      <c r="B207" s="1" t="n">
        <v>43812</v>
      </c>
      <c r="C207" s="1" t="n">
        <v>45738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68465-2019</t>
        </is>
      </c>
      <c r="B208" s="1" t="n">
        <v>43818</v>
      </c>
      <c r="C208" s="1" t="n">
        <v>45738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69105-2019</t>
        </is>
      </c>
      <c r="B209" s="1" t="n">
        <v>43826</v>
      </c>
      <c r="C209" s="1" t="n">
        <v>45738</v>
      </c>
      <c r="D209" t="inlineStr">
        <is>
          <t>ÖSTERGÖTLANDS LÄN</t>
        </is>
      </c>
      <c r="E209" t="inlineStr">
        <is>
          <t>NORRKÖPING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69103-2019</t>
        </is>
      </c>
      <c r="B210" s="1" t="n">
        <v>43826</v>
      </c>
      <c r="C210" s="1" t="n">
        <v>45738</v>
      </c>
      <c r="D210" t="inlineStr">
        <is>
          <t>ÖSTERGÖTLANDS LÄN</t>
        </is>
      </c>
      <c r="E210" t="inlineStr">
        <is>
          <t>NORRKÖPING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4207-2020</t>
        </is>
      </c>
      <c r="B211" s="1" t="n">
        <v>43857</v>
      </c>
      <c r="C211" s="1" t="n">
        <v>45738</v>
      </c>
      <c r="D211" t="inlineStr">
        <is>
          <t>ÖSTERGÖTLANDS LÄN</t>
        </is>
      </c>
      <c r="E211" t="inlineStr">
        <is>
          <t>NORRKÖPING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4247-2020</t>
        </is>
      </c>
      <c r="B212" s="1" t="n">
        <v>43857</v>
      </c>
      <c r="C212" s="1" t="n">
        <v>45738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4199-2020</t>
        </is>
      </c>
      <c r="B213" s="1" t="n">
        <v>43857</v>
      </c>
      <c r="C213" s="1" t="n">
        <v>45738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4195-2020</t>
        </is>
      </c>
      <c r="B214" s="1" t="n">
        <v>43857</v>
      </c>
      <c r="C214" s="1" t="n">
        <v>45738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4250-2020</t>
        </is>
      </c>
      <c r="B215" s="1" t="n">
        <v>43857</v>
      </c>
      <c r="C215" s="1" t="n">
        <v>45738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4248-2020</t>
        </is>
      </c>
      <c r="B216" s="1" t="n">
        <v>43857</v>
      </c>
      <c r="C216" s="1" t="n">
        <v>45738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5294-2020</t>
        </is>
      </c>
      <c r="B217" s="1" t="n">
        <v>43860</v>
      </c>
      <c r="C217" s="1" t="n">
        <v>45738</v>
      </c>
      <c r="D217" t="inlineStr">
        <is>
          <t>ÖSTERGÖTLANDS LÄN</t>
        </is>
      </c>
      <c r="E217" t="inlineStr">
        <is>
          <t>NORRKÖPING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5412-2020</t>
        </is>
      </c>
      <c r="B218" s="1" t="n">
        <v>43860</v>
      </c>
      <c r="C218" s="1" t="n">
        <v>45738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5305-2020</t>
        </is>
      </c>
      <c r="B219" s="1" t="n">
        <v>43860</v>
      </c>
      <c r="C219" s="1" t="n">
        <v>45738</v>
      </c>
      <c r="D219" t="inlineStr">
        <is>
          <t>ÖSTERGÖTLANDS LÄN</t>
        </is>
      </c>
      <c r="E219" t="inlineStr">
        <is>
          <t>NORRKÖPING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6000-2020</t>
        </is>
      </c>
      <c r="B220" s="1" t="n">
        <v>43864</v>
      </c>
      <c r="C220" s="1" t="n">
        <v>45738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6414-2020</t>
        </is>
      </c>
      <c r="B221" s="1" t="n">
        <v>43866</v>
      </c>
      <c r="C221" s="1" t="n">
        <v>45738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6338-2020</t>
        </is>
      </c>
      <c r="B222" s="1" t="n">
        <v>43866</v>
      </c>
      <c r="C222" s="1" t="n">
        <v>45738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6900-2020</t>
        </is>
      </c>
      <c r="B223" s="1" t="n">
        <v>43868</v>
      </c>
      <c r="C223" s="1" t="n">
        <v>45738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6951-2020</t>
        </is>
      </c>
      <c r="B224" s="1" t="n">
        <v>43868</v>
      </c>
      <c r="C224" s="1" t="n">
        <v>45738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8499-2020</t>
        </is>
      </c>
      <c r="B225" s="1" t="n">
        <v>43875</v>
      </c>
      <c r="C225" s="1" t="n">
        <v>45738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9143-2020</t>
        </is>
      </c>
      <c r="B226" s="1" t="n">
        <v>43879</v>
      </c>
      <c r="C226" s="1" t="n">
        <v>45738</v>
      </c>
      <c r="D226" t="inlineStr">
        <is>
          <t>ÖSTERGÖTLANDS LÄN</t>
        </is>
      </c>
      <c r="E226" t="inlineStr">
        <is>
          <t>NORRKÖPING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9374-2020</t>
        </is>
      </c>
      <c r="B227" s="1" t="n">
        <v>43880</v>
      </c>
      <c r="C227" s="1" t="n">
        <v>45738</v>
      </c>
      <c r="D227" t="inlineStr">
        <is>
          <t>ÖSTERGÖTLANDS LÄN</t>
        </is>
      </c>
      <c r="E227" t="inlineStr">
        <is>
          <t>NORRKÖPING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10274-2020</t>
        </is>
      </c>
      <c r="B228" s="1" t="n">
        <v>43885</v>
      </c>
      <c r="C228" s="1" t="n">
        <v>45738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10329-2020</t>
        </is>
      </c>
      <c r="B229" s="1" t="n">
        <v>43885</v>
      </c>
      <c r="C229" s="1" t="n">
        <v>45738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10355-2020</t>
        </is>
      </c>
      <c r="B230" s="1" t="n">
        <v>43885</v>
      </c>
      <c r="C230" s="1" t="n">
        <v>45738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10936-2020</t>
        </is>
      </c>
      <c r="B231" s="1" t="n">
        <v>43888</v>
      </c>
      <c r="C231" s="1" t="n">
        <v>45738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11644-2020</t>
        </is>
      </c>
      <c r="B232" s="1" t="n">
        <v>43893</v>
      </c>
      <c r="C232" s="1" t="n">
        <v>45738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11714-2020</t>
        </is>
      </c>
      <c r="B233" s="1" t="n">
        <v>43894</v>
      </c>
      <c r="C233" s="1" t="n">
        <v>45738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13697-2020</t>
        </is>
      </c>
      <c r="B234" s="1" t="n">
        <v>43895</v>
      </c>
      <c r="C234" s="1" t="n">
        <v>45738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14631-2020</t>
        </is>
      </c>
      <c r="B235" s="1" t="n">
        <v>43901</v>
      </c>
      <c r="C235" s="1" t="n">
        <v>45738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13450-2020</t>
        </is>
      </c>
      <c r="B236" s="1" t="n">
        <v>43902</v>
      </c>
      <c r="C236" s="1" t="n">
        <v>45738</v>
      </c>
      <c r="D236" t="inlineStr">
        <is>
          <t>ÖSTERGÖTLANDS LÄN</t>
        </is>
      </c>
      <c r="E236" t="inlineStr">
        <is>
          <t>NORRKÖPING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14493-2020</t>
        </is>
      </c>
      <c r="B237" s="1" t="n">
        <v>43908</v>
      </c>
      <c r="C237" s="1" t="n">
        <v>45738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14942-2020</t>
        </is>
      </c>
      <c r="B238" s="1" t="n">
        <v>43910</v>
      </c>
      <c r="C238" s="1" t="n">
        <v>45738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17251-2020</t>
        </is>
      </c>
      <c r="B239" s="1" t="n">
        <v>43915</v>
      </c>
      <c r="C239" s="1" t="n">
        <v>45738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16015-2020</t>
        </is>
      </c>
      <c r="B240" s="1" t="n">
        <v>43916</v>
      </c>
      <c r="C240" s="1" t="n">
        <v>45738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16462-2020</t>
        </is>
      </c>
      <c r="B241" s="1" t="n">
        <v>43920</v>
      </c>
      <c r="C241" s="1" t="n">
        <v>45738</v>
      </c>
      <c r="D241" t="inlineStr">
        <is>
          <t>ÖSTERGÖTLANDS LÄN</t>
        </is>
      </c>
      <c r="E241" t="inlineStr">
        <is>
          <t>NORRKÖPING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16463-2020</t>
        </is>
      </c>
      <c r="B242" s="1" t="n">
        <v>43920</v>
      </c>
      <c r="C242" s="1" t="n">
        <v>45738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16465-2020</t>
        </is>
      </c>
      <c r="B243" s="1" t="n">
        <v>43920</v>
      </c>
      <c r="C243" s="1" t="n">
        <v>45738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24468-2020</t>
        </is>
      </c>
      <c r="B244" s="1" t="n">
        <v>43976</v>
      </c>
      <c r="C244" s="1" t="n">
        <v>45738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24905-2020</t>
        </is>
      </c>
      <c r="B245" s="1" t="n">
        <v>43979</v>
      </c>
      <c r="C245" s="1" t="n">
        <v>45738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25521-2020</t>
        </is>
      </c>
      <c r="B246" s="1" t="n">
        <v>43983</v>
      </c>
      <c r="C246" s="1" t="n">
        <v>45738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25685-2020</t>
        </is>
      </c>
      <c r="B247" s="1" t="n">
        <v>43984</v>
      </c>
      <c r="C247" s="1" t="n">
        <v>45738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27170-2020</t>
        </is>
      </c>
      <c r="B248" s="1" t="n">
        <v>43991</v>
      </c>
      <c r="C248" s="1" t="n">
        <v>45738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27088-2020</t>
        </is>
      </c>
      <c r="B249" s="1" t="n">
        <v>43991</v>
      </c>
      <c r="C249" s="1" t="n">
        <v>45738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27160-2020</t>
        </is>
      </c>
      <c r="B250" s="1" t="n">
        <v>43991</v>
      </c>
      <c r="C250" s="1" t="n">
        <v>45738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27446-2020</t>
        </is>
      </c>
      <c r="B251" s="1" t="n">
        <v>43993</v>
      </c>
      <c r="C251" s="1" t="n">
        <v>45738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27542-2020</t>
        </is>
      </c>
      <c r="B252" s="1" t="n">
        <v>43993</v>
      </c>
      <c r="C252" s="1" t="n">
        <v>45738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27649-2020</t>
        </is>
      </c>
      <c r="B253" s="1" t="n">
        <v>43993</v>
      </c>
      <c r="C253" s="1" t="n">
        <v>45738</v>
      </c>
      <c r="D253" t="inlineStr">
        <is>
          <t>ÖSTERGÖTLANDS LÄN</t>
        </is>
      </c>
      <c r="E253" t="inlineStr">
        <is>
          <t>NORRKÖPING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27779-2020</t>
        </is>
      </c>
      <c r="B254" s="1" t="n">
        <v>43994</v>
      </c>
      <c r="C254" s="1" t="n">
        <v>45738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27851-2020</t>
        </is>
      </c>
      <c r="B255" s="1" t="n">
        <v>43994</v>
      </c>
      <c r="C255" s="1" t="n">
        <v>45738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27871-2020</t>
        </is>
      </c>
      <c r="B256" s="1" t="n">
        <v>43994</v>
      </c>
      <c r="C256" s="1" t="n">
        <v>45738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28044-2020</t>
        </is>
      </c>
      <c r="B257" s="1" t="n">
        <v>43997</v>
      </c>
      <c r="C257" s="1" t="n">
        <v>45738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28364-2020</t>
        </is>
      </c>
      <c r="B258" s="1" t="n">
        <v>43998</v>
      </c>
      <c r="C258" s="1" t="n">
        <v>45738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28677-2020</t>
        </is>
      </c>
      <c r="B259" s="1" t="n">
        <v>43999</v>
      </c>
      <c r="C259" s="1" t="n">
        <v>45738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30057-2020</t>
        </is>
      </c>
      <c r="B260" s="1" t="n">
        <v>44006</v>
      </c>
      <c r="C260" s="1" t="n">
        <v>45738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30034-2020</t>
        </is>
      </c>
      <c r="B261" s="1" t="n">
        <v>44006</v>
      </c>
      <c r="C261" s="1" t="n">
        <v>45738</v>
      </c>
      <c r="D261" t="inlineStr">
        <is>
          <t>ÖSTERGÖTLANDS LÄN</t>
        </is>
      </c>
      <c r="E261" t="inlineStr">
        <is>
          <t>NORRKÖPING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30042-2020</t>
        </is>
      </c>
      <c r="B262" s="1" t="n">
        <v>44006</v>
      </c>
      <c r="C262" s="1" t="n">
        <v>45738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30045-2020</t>
        </is>
      </c>
      <c r="B263" s="1" t="n">
        <v>44006</v>
      </c>
      <c r="C263" s="1" t="n">
        <v>45738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30055-2020</t>
        </is>
      </c>
      <c r="B264" s="1" t="n">
        <v>44006</v>
      </c>
      <c r="C264" s="1" t="n">
        <v>45738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30040-2020</t>
        </is>
      </c>
      <c r="B265" s="1" t="n">
        <v>44006</v>
      </c>
      <c r="C265" s="1" t="n">
        <v>45738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30036-2020</t>
        </is>
      </c>
      <c r="B266" s="1" t="n">
        <v>44006</v>
      </c>
      <c r="C266" s="1" t="n">
        <v>45738</v>
      </c>
      <c r="D266" t="inlineStr">
        <is>
          <t>ÖSTERGÖTLANDS LÄN</t>
        </is>
      </c>
      <c r="E266" t="inlineStr">
        <is>
          <t>NORRKÖPING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30647-2020</t>
        </is>
      </c>
      <c r="B267" s="1" t="n">
        <v>44008</v>
      </c>
      <c r="C267" s="1" t="n">
        <v>45738</v>
      </c>
      <c r="D267" t="inlineStr">
        <is>
          <t>ÖSTERGÖTLANDS LÄN</t>
        </is>
      </c>
      <c r="E267" t="inlineStr">
        <is>
          <t>NORRKÖPING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30615-2020</t>
        </is>
      </c>
      <c r="B268" s="1" t="n">
        <v>44008</v>
      </c>
      <c r="C268" s="1" t="n">
        <v>45738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30643-2020</t>
        </is>
      </c>
      <c r="B269" s="1" t="n">
        <v>44008</v>
      </c>
      <c r="C269" s="1" t="n">
        <v>45738</v>
      </c>
      <c r="D269" t="inlineStr">
        <is>
          <t>ÖSTERGÖTLANDS LÄN</t>
        </is>
      </c>
      <c r="E269" t="inlineStr">
        <is>
          <t>NORRKÖPING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30717-2020</t>
        </is>
      </c>
      <c r="B270" s="1" t="n">
        <v>44008</v>
      </c>
      <c r="C270" s="1" t="n">
        <v>45738</v>
      </c>
      <c r="D270" t="inlineStr">
        <is>
          <t>ÖSTERGÖTLANDS LÄN</t>
        </is>
      </c>
      <c r="E270" t="inlineStr">
        <is>
          <t>NORRKÖPING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31047-2020</t>
        </is>
      </c>
      <c r="B271" s="1" t="n">
        <v>44011</v>
      </c>
      <c r="C271" s="1" t="n">
        <v>45738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31046-2020</t>
        </is>
      </c>
      <c r="B272" s="1" t="n">
        <v>44011</v>
      </c>
      <c r="C272" s="1" t="n">
        <v>45738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31461-2020</t>
        </is>
      </c>
      <c r="B273" s="1" t="n">
        <v>44012</v>
      </c>
      <c r="C273" s="1" t="n">
        <v>45738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31954-2020</t>
        </is>
      </c>
      <c r="B274" s="1" t="n">
        <v>44014</v>
      </c>
      <c r="C274" s="1" t="n">
        <v>45738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32102-2020</t>
        </is>
      </c>
      <c r="B275" s="1" t="n">
        <v>44015</v>
      </c>
      <c r="C275" s="1" t="n">
        <v>45738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32545-2020</t>
        </is>
      </c>
      <c r="B276" s="1" t="n">
        <v>44018</v>
      </c>
      <c r="C276" s="1" t="n">
        <v>45738</v>
      </c>
      <c r="D276" t="inlineStr">
        <is>
          <t>ÖSTERGÖTLANDS LÄN</t>
        </is>
      </c>
      <c r="E276" t="inlineStr">
        <is>
          <t>NORRKÖPING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32637-2020</t>
        </is>
      </c>
      <c r="B277" s="1" t="n">
        <v>44018</v>
      </c>
      <c r="C277" s="1" t="n">
        <v>45738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32641-2020</t>
        </is>
      </c>
      <c r="B278" s="1" t="n">
        <v>44018</v>
      </c>
      <c r="C278" s="1" t="n">
        <v>45738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32555-2020</t>
        </is>
      </c>
      <c r="B279" s="1" t="n">
        <v>44018</v>
      </c>
      <c r="C279" s="1" t="n">
        <v>45738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32642-2020</t>
        </is>
      </c>
      <c r="B280" s="1" t="n">
        <v>44018</v>
      </c>
      <c r="C280" s="1" t="n">
        <v>45738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33857-2020</t>
        </is>
      </c>
      <c r="B281" s="1" t="n">
        <v>44027</v>
      </c>
      <c r="C281" s="1" t="n">
        <v>45738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34250-2020</t>
        </is>
      </c>
      <c r="B282" s="1" t="n">
        <v>44029</v>
      </c>
      <c r="C282" s="1" t="n">
        <v>45738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36237-2020</t>
        </is>
      </c>
      <c r="B283" s="1" t="n">
        <v>44048</v>
      </c>
      <c r="C283" s="1" t="n">
        <v>45738</v>
      </c>
      <c r="D283" t="inlineStr">
        <is>
          <t>ÖSTERGÖTLANDS LÄN</t>
        </is>
      </c>
      <c r="E283" t="inlineStr">
        <is>
          <t>NORRKÖPING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36779-2020</t>
        </is>
      </c>
      <c r="B284" s="1" t="n">
        <v>44053</v>
      </c>
      <c r="C284" s="1" t="n">
        <v>45738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37524-2020</t>
        </is>
      </c>
      <c r="B285" s="1" t="n">
        <v>44055</v>
      </c>
      <c r="C285" s="1" t="n">
        <v>45738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37821-2020</t>
        </is>
      </c>
      <c r="B286" s="1" t="n">
        <v>44057</v>
      </c>
      <c r="C286" s="1" t="n">
        <v>45738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38566-2020</t>
        </is>
      </c>
      <c r="B287" s="1" t="n">
        <v>44061</v>
      </c>
      <c r="C287" s="1" t="n">
        <v>45738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39164-2020</t>
        </is>
      </c>
      <c r="B288" s="1" t="n">
        <v>44063</v>
      </c>
      <c r="C288" s="1" t="n">
        <v>45738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39294-2020</t>
        </is>
      </c>
      <c r="B289" s="1" t="n">
        <v>44063</v>
      </c>
      <c r="C289" s="1" t="n">
        <v>45738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39496-2020</t>
        </is>
      </c>
      <c r="B290" s="1" t="n">
        <v>44064</v>
      </c>
      <c r="C290" s="1" t="n">
        <v>45738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39954-2020</t>
        </is>
      </c>
      <c r="B291" s="1" t="n">
        <v>44067</v>
      </c>
      <c r="C291" s="1" t="n">
        <v>45738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39970-2020</t>
        </is>
      </c>
      <c r="B292" s="1" t="n">
        <v>44067</v>
      </c>
      <c r="C292" s="1" t="n">
        <v>45738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39957-2020</t>
        </is>
      </c>
      <c r="B293" s="1" t="n">
        <v>44067</v>
      </c>
      <c r="C293" s="1" t="n">
        <v>45738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39966-2020</t>
        </is>
      </c>
      <c r="B294" s="1" t="n">
        <v>44067</v>
      </c>
      <c r="C294" s="1" t="n">
        <v>45738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44040-2020</t>
        </is>
      </c>
      <c r="B295" s="1" t="n">
        <v>44083</v>
      </c>
      <c r="C295" s="1" t="n">
        <v>45738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44467-2020</t>
        </is>
      </c>
      <c r="B296" s="1" t="n">
        <v>44084</v>
      </c>
      <c r="C296" s="1" t="n">
        <v>45738</v>
      </c>
      <c r="D296" t="inlineStr">
        <is>
          <t>ÖSTERGÖTLANDS LÄN</t>
        </is>
      </c>
      <c r="E296" t="inlineStr">
        <is>
          <t>NORRKÖPING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46571-2020</t>
        </is>
      </c>
      <c r="B297" s="1" t="n">
        <v>44095</v>
      </c>
      <c r="C297" s="1" t="n">
        <v>45738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47067-2020</t>
        </is>
      </c>
      <c r="B298" s="1" t="n">
        <v>44096</v>
      </c>
      <c r="C298" s="1" t="n">
        <v>45738</v>
      </c>
      <c r="D298" t="inlineStr">
        <is>
          <t>ÖSTERGÖTLANDS LÄN</t>
        </is>
      </c>
      <c r="E298" t="inlineStr">
        <is>
          <t>NORRKÖPING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46841-2020</t>
        </is>
      </c>
      <c r="B299" s="1" t="n">
        <v>44096</v>
      </c>
      <c r="C299" s="1" t="n">
        <v>45738</v>
      </c>
      <c r="D299" t="inlineStr">
        <is>
          <t>ÖSTERGÖTLANDS LÄN</t>
        </is>
      </c>
      <c r="E299" t="inlineStr">
        <is>
          <t>NORRKÖPING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47552-2020</t>
        </is>
      </c>
      <c r="B300" s="1" t="n">
        <v>44096</v>
      </c>
      <c r="C300" s="1" t="n">
        <v>45738</v>
      </c>
      <c r="D300" t="inlineStr">
        <is>
          <t>ÖSTERGÖTLANDS LÄN</t>
        </is>
      </c>
      <c r="E300" t="inlineStr">
        <is>
          <t>NORRKÖPING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47651-2020</t>
        </is>
      </c>
      <c r="B301" s="1" t="n">
        <v>44098</v>
      </c>
      <c r="C301" s="1" t="n">
        <v>45738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48655-2020</t>
        </is>
      </c>
      <c r="B302" s="1" t="n">
        <v>44103</v>
      </c>
      <c r="C302" s="1" t="n">
        <v>45738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49238-2020</t>
        </is>
      </c>
      <c r="B303" s="1" t="n">
        <v>44105</v>
      </c>
      <c r="C303" s="1" t="n">
        <v>45738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49867-2020</t>
        </is>
      </c>
      <c r="B304" s="1" t="n">
        <v>44107</v>
      </c>
      <c r="C304" s="1" t="n">
        <v>45738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53728-2020</t>
        </is>
      </c>
      <c r="B305" s="1" t="n">
        <v>44124</v>
      </c>
      <c r="C305" s="1" t="n">
        <v>45738</v>
      </c>
      <c r="D305" t="inlineStr">
        <is>
          <t>ÖSTERGÖTLANDS LÄN</t>
        </is>
      </c>
      <c r="E305" t="inlineStr">
        <is>
          <t>NORRKÖPING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53724-2020</t>
        </is>
      </c>
      <c r="B306" s="1" t="n">
        <v>44124</v>
      </c>
      <c r="C306" s="1" t="n">
        <v>45738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54973-2020</t>
        </is>
      </c>
      <c r="B307" s="1" t="n">
        <v>44130</v>
      </c>
      <c r="C307" s="1" t="n">
        <v>45738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55467-2020</t>
        </is>
      </c>
      <c r="B308" s="1" t="n">
        <v>44131</v>
      </c>
      <c r="C308" s="1" t="n">
        <v>45738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56313-2020</t>
        </is>
      </c>
      <c r="B309" s="1" t="n">
        <v>44134</v>
      </c>
      <c r="C309" s="1" t="n">
        <v>45738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56530-2020</t>
        </is>
      </c>
      <c r="B310" s="1" t="n">
        <v>44137</v>
      </c>
      <c r="C310" s="1" t="n">
        <v>45738</v>
      </c>
      <c r="D310" t="inlineStr">
        <is>
          <t>ÖSTERGÖTLANDS LÄN</t>
        </is>
      </c>
      <c r="E310" t="inlineStr">
        <is>
          <t>NORRKÖPING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56465-2020</t>
        </is>
      </c>
      <c r="B311" s="1" t="n">
        <v>44137</v>
      </c>
      <c r="C311" s="1" t="n">
        <v>45738</v>
      </c>
      <c r="D311" t="inlineStr">
        <is>
          <t>ÖSTERGÖTLANDS LÄN</t>
        </is>
      </c>
      <c r="E311" t="inlineStr">
        <is>
          <t>NORRKÖPING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56528-2020</t>
        </is>
      </c>
      <c r="B312" s="1" t="n">
        <v>44137</v>
      </c>
      <c r="C312" s="1" t="n">
        <v>45738</v>
      </c>
      <c r="D312" t="inlineStr">
        <is>
          <t>ÖSTERGÖTLANDS LÄN</t>
        </is>
      </c>
      <c r="E312" t="inlineStr">
        <is>
          <t>NORRKÖPING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56511-2020</t>
        </is>
      </c>
      <c r="B313" s="1" t="n">
        <v>44137</v>
      </c>
      <c r="C313" s="1" t="n">
        <v>45738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57965-2020</t>
        </is>
      </c>
      <c r="B314" s="1" t="n">
        <v>44143</v>
      </c>
      <c r="C314" s="1" t="n">
        <v>45738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58829-2020</t>
        </is>
      </c>
      <c r="B315" s="1" t="n">
        <v>44146</v>
      </c>
      <c r="C315" s="1" t="n">
        <v>45738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58963-2020</t>
        </is>
      </c>
      <c r="B316" s="1" t="n">
        <v>44146</v>
      </c>
      <c r="C316" s="1" t="n">
        <v>45738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59023-2020</t>
        </is>
      </c>
      <c r="B317" s="1" t="n">
        <v>44147</v>
      </c>
      <c r="C317" s="1" t="n">
        <v>45738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59847-2020</t>
        </is>
      </c>
      <c r="B318" s="1" t="n">
        <v>44151</v>
      </c>
      <c r="C318" s="1" t="n">
        <v>45738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59899-2020</t>
        </is>
      </c>
      <c r="B319" s="1" t="n">
        <v>44151</v>
      </c>
      <c r="C319" s="1" t="n">
        <v>45738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60210-2020</t>
        </is>
      </c>
      <c r="B320" s="1" t="n">
        <v>44152</v>
      </c>
      <c r="C320" s="1" t="n">
        <v>45738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61707-2020</t>
        </is>
      </c>
      <c r="B321" s="1" t="n">
        <v>44158</v>
      </c>
      <c r="C321" s="1" t="n">
        <v>45738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61785-2020</t>
        </is>
      </c>
      <c r="B322" s="1" t="n">
        <v>44158</v>
      </c>
      <c r="C322" s="1" t="n">
        <v>45738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61860-2020</t>
        </is>
      </c>
      <c r="B323" s="1" t="n">
        <v>44159</v>
      </c>
      <c r="C323" s="1" t="n">
        <v>45738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61869-2020</t>
        </is>
      </c>
      <c r="B324" s="1" t="n">
        <v>44159</v>
      </c>
      <c r="C324" s="1" t="n">
        <v>45738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62800-2020</t>
        </is>
      </c>
      <c r="B325" s="1" t="n">
        <v>44161</v>
      </c>
      <c r="C325" s="1" t="n">
        <v>45738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63102-2020</t>
        </is>
      </c>
      <c r="B326" s="1" t="n">
        <v>44162</v>
      </c>
      <c r="C326" s="1" t="n">
        <v>45738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63208-2020</t>
        </is>
      </c>
      <c r="B327" s="1" t="n">
        <v>44163</v>
      </c>
      <c r="C327" s="1" t="n">
        <v>45738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63371-2020</t>
        </is>
      </c>
      <c r="B328" s="1" t="n">
        <v>44165</v>
      </c>
      <c r="C328" s="1" t="n">
        <v>45738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64573-2020</t>
        </is>
      </c>
      <c r="B329" s="1" t="n">
        <v>44166</v>
      </c>
      <c r="C329" s="1" t="n">
        <v>45738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64366-2020</t>
        </is>
      </c>
      <c r="B330" s="1" t="n">
        <v>44168</v>
      </c>
      <c r="C330" s="1" t="n">
        <v>45738</v>
      </c>
      <c r="D330" t="inlineStr">
        <is>
          <t>ÖSTERGÖTLANDS LÄN</t>
        </is>
      </c>
      <c r="E330" t="inlineStr">
        <is>
          <t>NORRKÖPING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64561-2020</t>
        </is>
      </c>
      <c r="B331" s="1" t="n">
        <v>44169</v>
      </c>
      <c r="C331" s="1" t="n">
        <v>45738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64576-2020</t>
        </is>
      </c>
      <c r="B332" s="1" t="n">
        <v>44169</v>
      </c>
      <c r="C332" s="1" t="n">
        <v>45738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64549-2020</t>
        </is>
      </c>
      <c r="B333" s="1" t="n">
        <v>44169</v>
      </c>
      <c r="C333" s="1" t="n">
        <v>45738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64788-2020</t>
        </is>
      </c>
      <c r="B334" s="1" t="n">
        <v>44169</v>
      </c>
      <c r="C334" s="1" t="n">
        <v>45738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66381-2020</t>
        </is>
      </c>
      <c r="B335" s="1" t="n">
        <v>44176</v>
      </c>
      <c r="C335" s="1" t="n">
        <v>45738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66403-2020</t>
        </is>
      </c>
      <c r="B336" s="1" t="n">
        <v>44176</v>
      </c>
      <c r="C336" s="1" t="n">
        <v>45738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66476-2020</t>
        </is>
      </c>
      <c r="B337" s="1" t="n">
        <v>44177</v>
      </c>
      <c r="C337" s="1" t="n">
        <v>45738</v>
      </c>
      <c r="D337" t="inlineStr">
        <is>
          <t>ÖSTERGÖTLANDS LÄN</t>
        </is>
      </c>
      <c r="E337" t="inlineStr">
        <is>
          <t>NORRKÖPING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66475-2020</t>
        </is>
      </c>
      <c r="B338" s="1" t="n">
        <v>44177</v>
      </c>
      <c r="C338" s="1" t="n">
        <v>45738</v>
      </c>
      <c r="D338" t="inlineStr">
        <is>
          <t>ÖSTERGÖTLANDS LÄN</t>
        </is>
      </c>
      <c r="E338" t="inlineStr">
        <is>
          <t>NORRKÖPING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66478-2020</t>
        </is>
      </c>
      <c r="B339" s="1" t="n">
        <v>44177</v>
      </c>
      <c r="C339" s="1" t="n">
        <v>45738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67358-2020</t>
        </is>
      </c>
      <c r="B340" s="1" t="n">
        <v>44181</v>
      </c>
      <c r="C340" s="1" t="n">
        <v>45738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67557-2020</t>
        </is>
      </c>
      <c r="B341" s="1" t="n">
        <v>44181</v>
      </c>
      <c r="C341" s="1" t="n">
        <v>45738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69227-2020</t>
        </is>
      </c>
      <c r="B342" s="1" t="n">
        <v>44192</v>
      </c>
      <c r="C342" s="1" t="n">
        <v>45738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1248-2021</t>
        </is>
      </c>
      <c r="B343" s="1" t="n">
        <v>44208</v>
      </c>
      <c r="C343" s="1" t="n">
        <v>45738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1217-2021</t>
        </is>
      </c>
      <c r="B344" s="1" t="n">
        <v>44208</v>
      </c>
      <c r="C344" s="1" t="n">
        <v>45738</v>
      </c>
      <c r="D344" t="inlineStr">
        <is>
          <t>ÖSTERGÖTLANDS LÄN</t>
        </is>
      </c>
      <c r="E344" t="inlineStr">
        <is>
          <t>NORRKÖPING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1660-2021</t>
        </is>
      </c>
      <c r="B345" s="1" t="n">
        <v>44209</v>
      </c>
      <c r="C345" s="1" t="n">
        <v>45738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2265-2021</t>
        </is>
      </c>
      <c r="B346" s="1" t="n">
        <v>44211</v>
      </c>
      <c r="C346" s="1" t="n">
        <v>45738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2266-2021</t>
        </is>
      </c>
      <c r="B347" s="1" t="n">
        <v>44211</v>
      </c>
      <c r="C347" s="1" t="n">
        <v>45738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2261-2021</t>
        </is>
      </c>
      <c r="B348" s="1" t="n">
        <v>44211</v>
      </c>
      <c r="C348" s="1" t="n">
        <v>45738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2267-2021</t>
        </is>
      </c>
      <c r="B349" s="1" t="n">
        <v>44211</v>
      </c>
      <c r="C349" s="1" t="n">
        <v>45738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2264-2021</t>
        </is>
      </c>
      <c r="B350" s="1" t="n">
        <v>44211</v>
      </c>
      <c r="C350" s="1" t="n">
        <v>45738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2268-2021</t>
        </is>
      </c>
      <c r="B351" s="1" t="n">
        <v>44211</v>
      </c>
      <c r="C351" s="1" t="n">
        <v>45738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2300-2021</t>
        </is>
      </c>
      <c r="B352" s="1" t="n">
        <v>44212</v>
      </c>
      <c r="C352" s="1" t="n">
        <v>45738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2582-2021</t>
        </is>
      </c>
      <c r="B353" s="1" t="n">
        <v>44214</v>
      </c>
      <c r="C353" s="1" t="n">
        <v>45738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2592-2021</t>
        </is>
      </c>
      <c r="B354" s="1" t="n">
        <v>44214</v>
      </c>
      <c r="C354" s="1" t="n">
        <v>45738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2581-2021</t>
        </is>
      </c>
      <c r="B355" s="1" t="n">
        <v>44214</v>
      </c>
      <c r="C355" s="1" t="n">
        <v>45738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2638-2021</t>
        </is>
      </c>
      <c r="B356" s="1" t="n">
        <v>44215</v>
      </c>
      <c r="C356" s="1" t="n">
        <v>45738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3040-2021</t>
        </is>
      </c>
      <c r="B357" s="1" t="n">
        <v>44216</v>
      </c>
      <c r="C357" s="1" t="n">
        <v>45738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3153-2021</t>
        </is>
      </c>
      <c r="B358" s="1" t="n">
        <v>44217</v>
      </c>
      <c r="C358" s="1" t="n">
        <v>45738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3484-2021</t>
        </is>
      </c>
      <c r="B359" s="1" t="n">
        <v>44218</v>
      </c>
      <c r="C359" s="1" t="n">
        <v>45738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3558-2021</t>
        </is>
      </c>
      <c r="B360" s="1" t="n">
        <v>44218</v>
      </c>
      <c r="C360" s="1" t="n">
        <v>45738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3556-2021</t>
        </is>
      </c>
      <c r="B361" s="1" t="n">
        <v>44218</v>
      </c>
      <c r="C361" s="1" t="n">
        <v>45738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3577-2021</t>
        </is>
      </c>
      <c r="B362" s="1" t="n">
        <v>44219</v>
      </c>
      <c r="C362" s="1" t="n">
        <v>45738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3578-2021</t>
        </is>
      </c>
      <c r="B363" s="1" t="n">
        <v>44219</v>
      </c>
      <c r="C363" s="1" t="n">
        <v>45738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4210-2021</t>
        </is>
      </c>
      <c r="B364" s="1" t="n">
        <v>44221</v>
      </c>
      <c r="C364" s="1" t="n">
        <v>45738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4271-2021</t>
        </is>
      </c>
      <c r="B365" s="1" t="n">
        <v>44221</v>
      </c>
      <c r="C365" s="1" t="n">
        <v>45738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4852-2021</t>
        </is>
      </c>
      <c r="B366" s="1" t="n">
        <v>44225</v>
      </c>
      <c r="C366" s="1" t="n">
        <v>45738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6614-2021</t>
        </is>
      </c>
      <c r="B367" s="1" t="n">
        <v>44236</v>
      </c>
      <c r="C367" s="1" t="n">
        <v>45738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6833-2021</t>
        </is>
      </c>
      <c r="B368" s="1" t="n">
        <v>44237</v>
      </c>
      <c r="C368" s="1" t="n">
        <v>45738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6844-2021</t>
        </is>
      </c>
      <c r="B369" s="1" t="n">
        <v>44237</v>
      </c>
      <c r="C369" s="1" t="n">
        <v>45738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7918-2021</t>
        </is>
      </c>
      <c r="B370" s="1" t="n">
        <v>44243</v>
      </c>
      <c r="C370" s="1" t="n">
        <v>45738</v>
      </c>
      <c r="D370" t="inlineStr">
        <is>
          <t>ÖSTERGÖTLANDS LÄN</t>
        </is>
      </c>
      <c r="E370" t="inlineStr">
        <is>
          <t>NORRKÖPING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9278-2021</t>
        </is>
      </c>
      <c r="B371" s="1" t="n">
        <v>44249</v>
      </c>
      <c r="C371" s="1" t="n">
        <v>45738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9281-2021</t>
        </is>
      </c>
      <c r="B372" s="1" t="n">
        <v>44249</v>
      </c>
      <c r="C372" s="1" t="n">
        <v>45738</v>
      </c>
      <c r="D372" t="inlineStr">
        <is>
          <t>ÖSTERGÖTLANDS LÄN</t>
        </is>
      </c>
      <c r="E372" t="inlineStr">
        <is>
          <t>NORRKÖPING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9764-2021</t>
        </is>
      </c>
      <c r="B373" s="1" t="n">
        <v>44252</v>
      </c>
      <c r="C373" s="1" t="n">
        <v>45738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10597-2021</t>
        </is>
      </c>
      <c r="B374" s="1" t="n">
        <v>44258</v>
      </c>
      <c r="C374" s="1" t="n">
        <v>45738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12685-2021</t>
        </is>
      </c>
      <c r="B375" s="1" t="n">
        <v>44270</v>
      </c>
      <c r="C375" s="1" t="n">
        <v>45738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13021-2021</t>
        </is>
      </c>
      <c r="B376" s="1" t="n">
        <v>44271</v>
      </c>
      <c r="C376" s="1" t="n">
        <v>45738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13022-2021</t>
        </is>
      </c>
      <c r="B377" s="1" t="n">
        <v>44271</v>
      </c>
      <c r="C377" s="1" t="n">
        <v>45738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13163-2021</t>
        </is>
      </c>
      <c r="B378" s="1" t="n">
        <v>44272</v>
      </c>
      <c r="C378" s="1" t="n">
        <v>45738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13262-2021</t>
        </is>
      </c>
      <c r="B379" s="1" t="n">
        <v>44272</v>
      </c>
      <c r="C379" s="1" t="n">
        <v>45738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13275-2021</t>
        </is>
      </c>
      <c r="B380" s="1" t="n">
        <v>44272</v>
      </c>
      <c r="C380" s="1" t="n">
        <v>45738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14480-2021</t>
        </is>
      </c>
      <c r="B381" s="1" t="n">
        <v>44279</v>
      </c>
      <c r="C381" s="1" t="n">
        <v>45738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14484-2021</t>
        </is>
      </c>
      <c r="B382" s="1" t="n">
        <v>44279</v>
      </c>
      <c r="C382" s="1" t="n">
        <v>45738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14483-2021</t>
        </is>
      </c>
      <c r="B383" s="1" t="n">
        <v>44279</v>
      </c>
      <c r="C383" s="1" t="n">
        <v>45738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15870-2021</t>
        </is>
      </c>
      <c r="B384" s="1" t="n">
        <v>44286</v>
      </c>
      <c r="C384" s="1" t="n">
        <v>45738</v>
      </c>
      <c r="D384" t="inlineStr">
        <is>
          <t>ÖSTERGÖTLANDS LÄN</t>
        </is>
      </c>
      <c r="E384" t="inlineStr">
        <is>
          <t>NORRKÖPING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15866-2021</t>
        </is>
      </c>
      <c r="B385" s="1" t="n">
        <v>44286</v>
      </c>
      <c r="C385" s="1" t="n">
        <v>45738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15872-2021</t>
        </is>
      </c>
      <c r="B386" s="1" t="n">
        <v>44286</v>
      </c>
      <c r="C386" s="1" t="n">
        <v>45738</v>
      </c>
      <c r="D386" t="inlineStr">
        <is>
          <t>ÖSTERGÖTLANDS LÄN</t>
        </is>
      </c>
      <c r="E386" t="inlineStr">
        <is>
          <t>NORRKÖPING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16626-2021</t>
        </is>
      </c>
      <c r="B387" s="1" t="n">
        <v>44294</v>
      </c>
      <c r="C387" s="1" t="n">
        <v>45738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16737-2021</t>
        </is>
      </c>
      <c r="B388" s="1" t="n">
        <v>44294</v>
      </c>
      <c r="C388" s="1" t="n">
        <v>45738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17233-2021</t>
        </is>
      </c>
      <c r="B389" s="1" t="n">
        <v>44298</v>
      </c>
      <c r="C389" s="1" t="n">
        <v>45738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17636-2021</t>
        </is>
      </c>
      <c r="B390" s="1" t="n">
        <v>44300</v>
      </c>
      <c r="C390" s="1" t="n">
        <v>45738</v>
      </c>
      <c r="D390" t="inlineStr">
        <is>
          <t>ÖSTERGÖTLANDS LÄN</t>
        </is>
      </c>
      <c r="E390" t="inlineStr">
        <is>
          <t>NORRKÖPING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17633-2021</t>
        </is>
      </c>
      <c r="B391" s="1" t="n">
        <v>44300</v>
      </c>
      <c r="C391" s="1" t="n">
        <v>45738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17890-2021</t>
        </is>
      </c>
      <c r="B392" s="1" t="n">
        <v>44301</v>
      </c>
      <c r="C392" s="1" t="n">
        <v>45738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17523-2021</t>
        </is>
      </c>
      <c r="B393" s="1" t="n">
        <v>44301</v>
      </c>
      <c r="C393" s="1" t="n">
        <v>45738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17901-2021</t>
        </is>
      </c>
      <c r="B394" s="1" t="n">
        <v>44301</v>
      </c>
      <c r="C394" s="1" t="n">
        <v>45738</v>
      </c>
      <c r="D394" t="inlineStr">
        <is>
          <t>ÖSTERGÖTLANDS LÄN</t>
        </is>
      </c>
      <c r="E394" t="inlineStr">
        <is>
          <t>NORRKÖPING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18177-2021</t>
        </is>
      </c>
      <c r="B395" s="1" t="n">
        <v>44302</v>
      </c>
      <c r="C395" s="1" t="n">
        <v>45738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18009-2021</t>
        </is>
      </c>
      <c r="B396" s="1" t="n">
        <v>44302</v>
      </c>
      <c r="C396" s="1" t="n">
        <v>45738</v>
      </c>
      <c r="D396" t="inlineStr">
        <is>
          <t>ÖSTERGÖTLANDS LÄN</t>
        </is>
      </c>
      <c r="E396" t="inlineStr">
        <is>
          <t>NORRKÖPING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18549-2021</t>
        </is>
      </c>
      <c r="B397" s="1" t="n">
        <v>44306</v>
      </c>
      <c r="C397" s="1" t="n">
        <v>45738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18765-2021</t>
        </is>
      </c>
      <c r="B398" s="1" t="n">
        <v>44307</v>
      </c>
      <c r="C398" s="1" t="n">
        <v>45738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19119-2021</t>
        </is>
      </c>
      <c r="B399" s="1" t="n">
        <v>44308</v>
      </c>
      <c r="C399" s="1" t="n">
        <v>45738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19582-2021</t>
        </is>
      </c>
      <c r="B400" s="1" t="n">
        <v>44312</v>
      </c>
      <c r="C400" s="1" t="n">
        <v>45738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19631-2021</t>
        </is>
      </c>
      <c r="B401" s="1" t="n">
        <v>44312</v>
      </c>
      <c r="C401" s="1" t="n">
        <v>45738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19610-2021</t>
        </is>
      </c>
      <c r="B402" s="1" t="n">
        <v>44312</v>
      </c>
      <c r="C402" s="1" t="n">
        <v>45738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19785-2021</t>
        </is>
      </c>
      <c r="B403" s="1" t="n">
        <v>44313</v>
      </c>
      <c r="C403" s="1" t="n">
        <v>45738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19827-2021</t>
        </is>
      </c>
      <c r="B404" s="1" t="n">
        <v>44313</v>
      </c>
      <c r="C404" s="1" t="n">
        <v>45738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19838-2021</t>
        </is>
      </c>
      <c r="B405" s="1" t="n">
        <v>44313</v>
      </c>
      <c r="C405" s="1" t="n">
        <v>45738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21575-2021</t>
        </is>
      </c>
      <c r="B406" s="1" t="n">
        <v>44321</v>
      </c>
      <c r="C406" s="1" t="n">
        <v>45738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21577-2021</t>
        </is>
      </c>
      <c r="B407" s="1" t="n">
        <v>44321</v>
      </c>
      <c r="C407" s="1" t="n">
        <v>45738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21863-2021</t>
        </is>
      </c>
      <c r="B408" s="1" t="n">
        <v>44322</v>
      </c>
      <c r="C408" s="1" t="n">
        <v>45738</v>
      </c>
      <c r="D408" t="inlineStr">
        <is>
          <t>ÖSTERGÖTLANDS LÄN</t>
        </is>
      </c>
      <c r="E408" t="inlineStr">
        <is>
          <t>NORRKÖPING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22244-2021</t>
        </is>
      </c>
      <c r="B409" s="1" t="n">
        <v>44326</v>
      </c>
      <c r="C409" s="1" t="n">
        <v>45738</v>
      </c>
      <c r="D409" t="inlineStr">
        <is>
          <t>ÖSTERGÖTLANDS LÄN</t>
        </is>
      </c>
      <c r="E409" t="inlineStr">
        <is>
          <t>NORRKÖPING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22272-2021</t>
        </is>
      </c>
      <c r="B410" s="1" t="n">
        <v>44326</v>
      </c>
      <c r="C410" s="1" t="n">
        <v>45738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22492-2021</t>
        </is>
      </c>
      <c r="B411" s="1" t="n">
        <v>44326</v>
      </c>
      <c r="C411" s="1" t="n">
        <v>45738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22491-2021</t>
        </is>
      </c>
      <c r="B412" s="1" t="n">
        <v>44326</v>
      </c>
      <c r="C412" s="1" t="n">
        <v>45738</v>
      </c>
      <c r="D412" t="inlineStr">
        <is>
          <t>ÖSTERGÖTLANDS LÄN</t>
        </is>
      </c>
      <c r="E412" t="inlineStr">
        <is>
          <t>NORRKÖPING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22489-2021</t>
        </is>
      </c>
      <c r="B413" s="1" t="n">
        <v>44326</v>
      </c>
      <c r="C413" s="1" t="n">
        <v>45738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22493-2021</t>
        </is>
      </c>
      <c r="B414" s="1" t="n">
        <v>44326</v>
      </c>
      <c r="C414" s="1" t="n">
        <v>45738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22886-2021</t>
        </is>
      </c>
      <c r="B415" s="1" t="n">
        <v>44328</v>
      </c>
      <c r="C415" s="1" t="n">
        <v>45738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23438-2021</t>
        </is>
      </c>
      <c r="B416" s="1" t="n">
        <v>44333</v>
      </c>
      <c r="C416" s="1" t="n">
        <v>45738</v>
      </c>
      <c r="D416" t="inlineStr">
        <is>
          <t>ÖSTERGÖTLANDS LÄN</t>
        </is>
      </c>
      <c r="E416" t="inlineStr">
        <is>
          <t>NORRKÖPING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23569-2021</t>
        </is>
      </c>
      <c r="B417" s="1" t="n">
        <v>44333</v>
      </c>
      <c r="C417" s="1" t="n">
        <v>45738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23886-2021</t>
        </is>
      </c>
      <c r="B418" s="1" t="n">
        <v>44335</v>
      </c>
      <c r="C418" s="1" t="n">
        <v>45738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24766-2021</t>
        </is>
      </c>
      <c r="B419" s="1" t="n">
        <v>44340</v>
      </c>
      <c r="C419" s="1" t="n">
        <v>45738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24839-2021</t>
        </is>
      </c>
      <c r="B420" s="1" t="n">
        <v>44340</v>
      </c>
      <c r="C420" s="1" t="n">
        <v>45738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25951-2021</t>
        </is>
      </c>
      <c r="B421" s="1" t="n">
        <v>44344</v>
      </c>
      <c r="C421" s="1" t="n">
        <v>45738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26464-2021</t>
        </is>
      </c>
      <c r="B422" s="1" t="n">
        <v>44348</v>
      </c>
      <c r="C422" s="1" t="n">
        <v>45738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26497-2021</t>
        </is>
      </c>
      <c r="B423" s="1" t="n">
        <v>44348</v>
      </c>
      <c r="C423" s="1" t="n">
        <v>45738</v>
      </c>
      <c r="D423" t="inlineStr">
        <is>
          <t>ÖSTERGÖTLANDS LÄN</t>
        </is>
      </c>
      <c r="E423" t="inlineStr">
        <is>
          <t>NORRKÖPING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27694-2021</t>
        </is>
      </c>
      <c r="B424" s="1" t="n">
        <v>44354</v>
      </c>
      <c r="C424" s="1" t="n">
        <v>45738</v>
      </c>
      <c r="D424" t="inlineStr">
        <is>
          <t>ÖSTERGÖTLANDS LÄN</t>
        </is>
      </c>
      <c r="E424" t="inlineStr">
        <is>
          <t>NORRKÖPING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27708-2021</t>
        </is>
      </c>
      <c r="B425" s="1" t="n">
        <v>44354</v>
      </c>
      <c r="C425" s="1" t="n">
        <v>45738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27785-2021</t>
        </is>
      </c>
      <c r="B426" s="1" t="n">
        <v>44354</v>
      </c>
      <c r="C426" s="1" t="n">
        <v>45738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27798-2021</t>
        </is>
      </c>
      <c r="B427" s="1" t="n">
        <v>44354</v>
      </c>
      <c r="C427" s="1" t="n">
        <v>45738</v>
      </c>
      <c r="D427" t="inlineStr">
        <is>
          <t>ÖSTERGÖTLANDS LÄN</t>
        </is>
      </c>
      <c r="E427" t="inlineStr">
        <is>
          <t>NORRKÖPING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29079-2021</t>
        </is>
      </c>
      <c r="B428" s="1" t="n">
        <v>44358</v>
      </c>
      <c r="C428" s="1" t="n">
        <v>45738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29128-2021</t>
        </is>
      </c>
      <c r="B429" s="1" t="n">
        <v>44358</v>
      </c>
      <c r="C429" s="1" t="n">
        <v>45738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29485-2021</t>
        </is>
      </c>
      <c r="B430" s="1" t="n">
        <v>44361</v>
      </c>
      <c r="C430" s="1" t="n">
        <v>45738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29489-2021</t>
        </is>
      </c>
      <c r="B431" s="1" t="n">
        <v>44361</v>
      </c>
      <c r="C431" s="1" t="n">
        <v>45738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29871-2021</t>
        </is>
      </c>
      <c r="B432" s="1" t="n">
        <v>44362</v>
      </c>
      <c r="C432" s="1" t="n">
        <v>45738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29846-2021</t>
        </is>
      </c>
      <c r="B433" s="1" t="n">
        <v>44362</v>
      </c>
      <c r="C433" s="1" t="n">
        <v>45738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30236-2021</t>
        </is>
      </c>
      <c r="B434" s="1" t="n">
        <v>44363</v>
      </c>
      <c r="C434" s="1" t="n">
        <v>45738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30232-2021</t>
        </is>
      </c>
      <c r="B435" s="1" t="n">
        <v>44363</v>
      </c>
      <c r="C435" s="1" t="n">
        <v>45738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30564-2021</t>
        </is>
      </c>
      <c r="B436" s="1" t="n">
        <v>44364</v>
      </c>
      <c r="C436" s="1" t="n">
        <v>45738</v>
      </c>
      <c r="D436" t="inlineStr">
        <is>
          <t>ÖSTERGÖTLANDS LÄN</t>
        </is>
      </c>
      <c r="E436" t="inlineStr">
        <is>
          <t>NORRKÖPING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31253-2021</t>
        </is>
      </c>
      <c r="B437" s="1" t="n">
        <v>44368</v>
      </c>
      <c r="C437" s="1" t="n">
        <v>45738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31303-2021</t>
        </is>
      </c>
      <c r="B438" s="1" t="n">
        <v>44368</v>
      </c>
      <c r="C438" s="1" t="n">
        <v>45738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31269-2021</t>
        </is>
      </c>
      <c r="B439" s="1" t="n">
        <v>44368</v>
      </c>
      <c r="C439" s="1" t="n">
        <v>45738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32192-2021</t>
        </is>
      </c>
      <c r="B440" s="1" t="n">
        <v>44371</v>
      </c>
      <c r="C440" s="1" t="n">
        <v>45738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32177-2021</t>
        </is>
      </c>
      <c r="B441" s="1" t="n">
        <v>44371</v>
      </c>
      <c r="C441" s="1" t="n">
        <v>45738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32190-2021</t>
        </is>
      </c>
      <c r="B442" s="1" t="n">
        <v>44371</v>
      </c>
      <c r="C442" s="1" t="n">
        <v>45738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35293-2021</t>
        </is>
      </c>
      <c r="B443" s="1" t="n">
        <v>44384</v>
      </c>
      <c r="C443" s="1" t="n">
        <v>45738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35512-2021</t>
        </is>
      </c>
      <c r="B444" s="1" t="n">
        <v>44385</v>
      </c>
      <c r="C444" s="1" t="n">
        <v>45738</v>
      </c>
      <c r="D444" t="inlineStr">
        <is>
          <t>ÖSTERGÖTLANDS LÄN</t>
        </is>
      </c>
      <c r="E444" t="inlineStr">
        <is>
          <t>NORRKÖPING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36281-2021</t>
        </is>
      </c>
      <c r="B445" s="1" t="n">
        <v>44390</v>
      </c>
      <c r="C445" s="1" t="n">
        <v>45738</v>
      </c>
      <c r="D445" t="inlineStr">
        <is>
          <t>ÖSTERGÖTLANDS LÄN</t>
        </is>
      </c>
      <c r="E445" t="inlineStr">
        <is>
          <t>NORRKÖPING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36283-2021</t>
        </is>
      </c>
      <c r="B446" s="1" t="n">
        <v>44390</v>
      </c>
      <c r="C446" s="1" t="n">
        <v>45738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36898-2021</t>
        </is>
      </c>
      <c r="B447" s="1" t="n">
        <v>44393</v>
      </c>
      <c r="C447" s="1" t="n">
        <v>45738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39401-2021</t>
        </is>
      </c>
      <c r="B448" s="1" t="n">
        <v>44414</v>
      </c>
      <c r="C448" s="1" t="n">
        <v>45738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42390-2021</t>
        </is>
      </c>
      <c r="B449" s="1" t="n">
        <v>44427</v>
      </c>
      <c r="C449" s="1" t="n">
        <v>45738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43270-2021</t>
        </is>
      </c>
      <c r="B450" s="1" t="n">
        <v>44432</v>
      </c>
      <c r="C450" s="1" t="n">
        <v>45738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43459-2021</t>
        </is>
      </c>
      <c r="B451" s="1" t="n">
        <v>44432</v>
      </c>
      <c r="C451" s="1" t="n">
        <v>45738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43559-2021</t>
        </is>
      </c>
      <c r="B452" s="1" t="n">
        <v>44433</v>
      </c>
      <c r="C452" s="1" t="n">
        <v>45738</v>
      </c>
      <c r="D452" t="inlineStr">
        <is>
          <t>ÖSTERGÖTLANDS LÄN</t>
        </is>
      </c>
      <c r="E452" t="inlineStr">
        <is>
          <t>NORRKÖPING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43502-2021</t>
        </is>
      </c>
      <c r="B453" s="1" t="n">
        <v>44433</v>
      </c>
      <c r="C453" s="1" t="n">
        <v>45738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43773-2021</t>
        </is>
      </c>
      <c r="B454" s="1" t="n">
        <v>44433</v>
      </c>
      <c r="C454" s="1" t="n">
        <v>45738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44937-2021</t>
        </is>
      </c>
      <c r="B455" s="1" t="n">
        <v>44438</v>
      </c>
      <c r="C455" s="1" t="n">
        <v>45738</v>
      </c>
      <c r="D455" t="inlineStr">
        <is>
          <t>ÖSTERGÖTLANDS LÄN</t>
        </is>
      </c>
      <c r="E455" t="inlineStr">
        <is>
          <t>NORRKÖPING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44936-2021</t>
        </is>
      </c>
      <c r="B456" s="1" t="n">
        <v>44438</v>
      </c>
      <c r="C456" s="1" t="n">
        <v>45738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45362-2021</t>
        </is>
      </c>
      <c r="B457" s="1" t="n">
        <v>44440</v>
      </c>
      <c r="C457" s="1" t="n">
        <v>45738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45381-2021</t>
        </is>
      </c>
      <c r="B458" s="1" t="n">
        <v>44440</v>
      </c>
      <c r="C458" s="1" t="n">
        <v>45738</v>
      </c>
      <c r="D458" t="inlineStr">
        <is>
          <t>ÖSTERGÖTLANDS LÄN</t>
        </is>
      </c>
      <c r="E458" t="inlineStr">
        <is>
          <t>NORRKÖPING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45956-2021</t>
        </is>
      </c>
      <c r="B459" s="1" t="n">
        <v>44441</v>
      </c>
      <c r="C459" s="1" t="n">
        <v>45738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45947-2021</t>
        </is>
      </c>
      <c r="B460" s="1" t="n">
        <v>44441</v>
      </c>
      <c r="C460" s="1" t="n">
        <v>45738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46332-2021</t>
        </is>
      </c>
      <c r="B461" s="1" t="n">
        <v>44442</v>
      </c>
      <c r="C461" s="1" t="n">
        <v>45738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46580-2021</t>
        </is>
      </c>
      <c r="B462" s="1" t="n">
        <v>44445</v>
      </c>
      <c r="C462" s="1" t="n">
        <v>45738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47125-2021</t>
        </is>
      </c>
      <c r="B463" s="1" t="n">
        <v>44446</v>
      </c>
      <c r="C463" s="1" t="n">
        <v>45738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47257-2021</t>
        </is>
      </c>
      <c r="B464" s="1" t="n">
        <v>44447</v>
      </c>
      <c r="C464" s="1" t="n">
        <v>45738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47252-2021</t>
        </is>
      </c>
      <c r="B465" s="1" t="n">
        <v>44447</v>
      </c>
      <c r="C465" s="1" t="n">
        <v>45738</v>
      </c>
      <c r="D465" t="inlineStr">
        <is>
          <t>ÖSTERGÖTLANDS LÄN</t>
        </is>
      </c>
      <c r="E465" t="inlineStr">
        <is>
          <t>NORRKÖPING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47895-2021</t>
        </is>
      </c>
      <c r="B466" s="1" t="n">
        <v>44448</v>
      </c>
      <c r="C466" s="1" t="n">
        <v>45738</v>
      </c>
      <c r="D466" t="inlineStr">
        <is>
          <t>ÖSTERGÖTLANDS LÄN</t>
        </is>
      </c>
      <c r="E466" t="inlineStr">
        <is>
          <t>NORRKÖPING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47899-2021</t>
        </is>
      </c>
      <c r="B467" s="1" t="n">
        <v>44448</v>
      </c>
      <c r="C467" s="1" t="n">
        <v>45738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48230-2021</t>
        </is>
      </c>
      <c r="B468" s="1" t="n">
        <v>44449</v>
      </c>
      <c r="C468" s="1" t="n">
        <v>45738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48492-2021</t>
        </is>
      </c>
      <c r="B469" s="1" t="n">
        <v>44452</v>
      </c>
      <c r="C469" s="1" t="n">
        <v>45738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48591-2021</t>
        </is>
      </c>
      <c r="B470" s="1" t="n">
        <v>44452</v>
      </c>
      <c r="C470" s="1" t="n">
        <v>45738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49452-2021</t>
        </is>
      </c>
      <c r="B471" s="1" t="n">
        <v>44454</v>
      </c>
      <c r="C471" s="1" t="n">
        <v>45738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49869-2021</t>
        </is>
      </c>
      <c r="B472" s="1" t="n">
        <v>44455</v>
      </c>
      <c r="C472" s="1" t="n">
        <v>45738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49873-2021</t>
        </is>
      </c>
      <c r="B473" s="1" t="n">
        <v>44455</v>
      </c>
      <c r="C473" s="1" t="n">
        <v>45738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49882-2021</t>
        </is>
      </c>
      <c r="B474" s="1" t="n">
        <v>44455</v>
      </c>
      <c r="C474" s="1" t="n">
        <v>45738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50136-2021</t>
        </is>
      </c>
      <c r="B475" s="1" t="n">
        <v>44456</v>
      </c>
      <c r="C475" s="1" t="n">
        <v>45738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50133-2021</t>
        </is>
      </c>
      <c r="B476" s="1" t="n">
        <v>44456</v>
      </c>
      <c r="C476" s="1" t="n">
        <v>45738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50306-2021</t>
        </is>
      </c>
      <c r="B477" s="1" t="n">
        <v>44459</v>
      </c>
      <c r="C477" s="1" t="n">
        <v>45738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50558-2021</t>
        </is>
      </c>
      <c r="B478" s="1" t="n">
        <v>44459</v>
      </c>
      <c r="C478" s="1" t="n">
        <v>45738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51838-2021</t>
        </is>
      </c>
      <c r="B479" s="1" t="n">
        <v>44462</v>
      </c>
      <c r="C479" s="1" t="n">
        <v>45738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51877-2021</t>
        </is>
      </c>
      <c r="B480" s="1" t="n">
        <v>44462</v>
      </c>
      <c r="C480" s="1" t="n">
        <v>45738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53177-2021</t>
        </is>
      </c>
      <c r="B481" s="1" t="n">
        <v>44468</v>
      </c>
      <c r="C481" s="1" t="n">
        <v>45738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53444-2021</t>
        </is>
      </c>
      <c r="B482" s="1" t="n">
        <v>44468</v>
      </c>
      <c r="C482" s="1" t="n">
        <v>45738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53899-2021</t>
        </is>
      </c>
      <c r="B483" s="1" t="n">
        <v>44469</v>
      </c>
      <c r="C483" s="1" t="n">
        <v>45738</v>
      </c>
      <c r="D483" t="inlineStr">
        <is>
          <t>ÖSTERGÖTLANDS LÄN</t>
        </is>
      </c>
      <c r="E483" t="inlineStr">
        <is>
          <t>NORRKÖPING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53900-2021</t>
        </is>
      </c>
      <c r="B484" s="1" t="n">
        <v>44469</v>
      </c>
      <c r="C484" s="1" t="n">
        <v>45738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55494-2021</t>
        </is>
      </c>
      <c r="B485" s="1" t="n">
        <v>44475</v>
      </c>
      <c r="C485" s="1" t="n">
        <v>45738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55412-2021</t>
        </is>
      </c>
      <c r="B486" s="1" t="n">
        <v>44475</v>
      </c>
      <c r="C486" s="1" t="n">
        <v>45738</v>
      </c>
      <c r="D486" t="inlineStr">
        <is>
          <t>ÖSTERGÖTLANDS LÄN</t>
        </is>
      </c>
      <c r="E486" t="inlineStr">
        <is>
          <t>NORRKÖPING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55429-2021</t>
        </is>
      </c>
      <c r="B487" s="1" t="n">
        <v>44475</v>
      </c>
      <c r="C487" s="1" t="n">
        <v>45738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58525-2021</t>
        </is>
      </c>
      <c r="B488" s="1" t="n">
        <v>44488</v>
      </c>
      <c r="C488" s="1" t="n">
        <v>45738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58791-2021</t>
        </is>
      </c>
      <c r="B489" s="1" t="n">
        <v>44489</v>
      </c>
      <c r="C489" s="1" t="n">
        <v>45738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59256-2021</t>
        </is>
      </c>
      <c r="B490" s="1" t="n">
        <v>44490</v>
      </c>
      <c r="C490" s="1" t="n">
        <v>45738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59768-2021</t>
        </is>
      </c>
      <c r="B491" s="1" t="n">
        <v>44494</v>
      </c>
      <c r="C491" s="1" t="n">
        <v>45738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59765-2021</t>
        </is>
      </c>
      <c r="B492" s="1" t="n">
        <v>44494</v>
      </c>
      <c r="C492" s="1" t="n">
        <v>45738</v>
      </c>
      <c r="D492" t="inlineStr">
        <is>
          <t>ÖSTERGÖTLANDS LÄN</t>
        </is>
      </c>
      <c r="E492" t="inlineStr">
        <is>
          <t>NORRKÖPING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60980-2021</t>
        </is>
      </c>
      <c r="B493" s="1" t="n">
        <v>44497</v>
      </c>
      <c r="C493" s="1" t="n">
        <v>45738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61973-2021</t>
        </is>
      </c>
      <c r="B494" s="1" t="n">
        <v>44502</v>
      </c>
      <c r="C494" s="1" t="n">
        <v>45738</v>
      </c>
      <c r="D494" t="inlineStr">
        <is>
          <t>ÖSTERGÖTLANDS LÄN</t>
        </is>
      </c>
      <c r="E494" t="inlineStr">
        <is>
          <t>NORRKÖPING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62406-2021</t>
        </is>
      </c>
      <c r="B495" s="1" t="n">
        <v>44502</v>
      </c>
      <c r="C495" s="1" t="n">
        <v>45738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62574-2021</t>
        </is>
      </c>
      <c r="B496" s="1" t="n">
        <v>44503</v>
      </c>
      <c r="C496" s="1" t="n">
        <v>45738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62771-2021</t>
        </is>
      </c>
      <c r="B497" s="1" t="n">
        <v>44503</v>
      </c>
      <c r="C497" s="1" t="n">
        <v>45738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62746-2021</t>
        </is>
      </c>
      <c r="B498" s="1" t="n">
        <v>44503</v>
      </c>
      <c r="C498" s="1" t="n">
        <v>45738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62973-2021</t>
        </is>
      </c>
      <c r="B499" s="1" t="n">
        <v>44504</v>
      </c>
      <c r="C499" s="1" t="n">
        <v>45738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62808-2021</t>
        </is>
      </c>
      <c r="B500" s="1" t="n">
        <v>44504</v>
      </c>
      <c r="C500" s="1" t="n">
        <v>45738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64898-2021</t>
        </is>
      </c>
      <c r="B501" s="1" t="n">
        <v>44512</v>
      </c>
      <c r="C501" s="1" t="n">
        <v>45738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65336-2021</t>
        </is>
      </c>
      <c r="B502" s="1" t="n">
        <v>44515</v>
      </c>
      <c r="C502" s="1" t="n">
        <v>45738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65799-2021</t>
        </is>
      </c>
      <c r="B503" s="1" t="n">
        <v>44517</v>
      </c>
      <c r="C503" s="1" t="n">
        <v>45738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65801-2021</t>
        </is>
      </c>
      <c r="B504" s="1" t="n">
        <v>44517</v>
      </c>
      <c r="C504" s="1" t="n">
        <v>45738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67631-2021</t>
        </is>
      </c>
      <c r="B505" s="1" t="n">
        <v>44524</v>
      </c>
      <c r="C505" s="1" t="n">
        <v>45738</v>
      </c>
      <c r="D505" t="inlineStr">
        <is>
          <t>ÖSTERGÖTLANDS LÄN</t>
        </is>
      </c>
      <c r="E505" t="inlineStr">
        <is>
          <t>NORRKÖPING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67646-2021</t>
        </is>
      </c>
      <c r="B506" s="1" t="n">
        <v>44524</v>
      </c>
      <c r="C506" s="1" t="n">
        <v>45738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67625-2021</t>
        </is>
      </c>
      <c r="B507" s="1" t="n">
        <v>44524</v>
      </c>
      <c r="C507" s="1" t="n">
        <v>45738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68936-2021</t>
        </is>
      </c>
      <c r="B508" s="1" t="n">
        <v>44530</v>
      </c>
      <c r="C508" s="1" t="n">
        <v>45738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69065-2021</t>
        </is>
      </c>
      <c r="B509" s="1" t="n">
        <v>44530</v>
      </c>
      <c r="C509" s="1" t="n">
        <v>45738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69038-2021</t>
        </is>
      </c>
      <c r="B510" s="1" t="n">
        <v>44530</v>
      </c>
      <c r="C510" s="1" t="n">
        <v>45738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70378-2021</t>
        </is>
      </c>
      <c r="B511" s="1" t="n">
        <v>44536</v>
      </c>
      <c r="C511" s="1" t="n">
        <v>45738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71093-2021</t>
        </is>
      </c>
      <c r="B512" s="1" t="n">
        <v>44537</v>
      </c>
      <c r="C512" s="1" t="n">
        <v>45738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71096-2021</t>
        </is>
      </c>
      <c r="B513" s="1" t="n">
        <v>44537</v>
      </c>
      <c r="C513" s="1" t="n">
        <v>45738</v>
      </c>
      <c r="D513" t="inlineStr">
        <is>
          <t>ÖSTERGÖTLANDS LÄN</t>
        </is>
      </c>
      <c r="E513" t="inlineStr">
        <is>
          <t>NORRKÖPING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71865-2021</t>
        </is>
      </c>
      <c r="B514" s="1" t="n">
        <v>44543</v>
      </c>
      <c r="C514" s="1" t="n">
        <v>45738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72381-2021</t>
        </is>
      </c>
      <c r="B515" s="1" t="n">
        <v>44545</v>
      </c>
      <c r="C515" s="1" t="n">
        <v>45738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74010-2021</t>
        </is>
      </c>
      <c r="B516" s="1" t="n">
        <v>44557</v>
      </c>
      <c r="C516" s="1" t="n">
        <v>45738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74113-2021</t>
        </is>
      </c>
      <c r="B517" s="1" t="n">
        <v>44557</v>
      </c>
      <c r="C517" s="1" t="n">
        <v>45738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421-2022</t>
        </is>
      </c>
      <c r="B518" s="1" t="n">
        <v>44565</v>
      </c>
      <c r="C518" s="1" t="n">
        <v>45738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1041-2022</t>
        </is>
      </c>
      <c r="B519" s="1" t="n">
        <v>44571</v>
      </c>
      <c r="C519" s="1" t="n">
        <v>45738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1383-2022</t>
        </is>
      </c>
      <c r="B520" s="1" t="n">
        <v>44573</v>
      </c>
      <c r="C520" s="1" t="n">
        <v>45738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1389-2022</t>
        </is>
      </c>
      <c r="B521" s="1" t="n">
        <v>44573</v>
      </c>
      <c r="C521" s="1" t="n">
        <v>45738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1506-2022</t>
        </is>
      </c>
      <c r="B522" s="1" t="n">
        <v>44573</v>
      </c>
      <c r="C522" s="1" t="n">
        <v>45738</v>
      </c>
      <c r="D522" t="inlineStr">
        <is>
          <t>ÖSTERGÖTLANDS LÄN</t>
        </is>
      </c>
      <c r="E522" t="inlineStr">
        <is>
          <t>NORRKÖPING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1687-2022</t>
        </is>
      </c>
      <c r="B523" s="1" t="n">
        <v>44574</v>
      </c>
      <c r="C523" s="1" t="n">
        <v>45738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45738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2169-2022</t>
        </is>
      </c>
      <c r="B525" s="1" t="n">
        <v>44578</v>
      </c>
      <c r="C525" s="1" t="n">
        <v>45738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2176-2022</t>
        </is>
      </c>
      <c r="B526" s="1" t="n">
        <v>44578</v>
      </c>
      <c r="C526" s="1" t="n">
        <v>45738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3108-2022</t>
        </is>
      </c>
      <c r="B527" s="1" t="n">
        <v>44582</v>
      </c>
      <c r="C527" s="1" t="n">
        <v>45738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3164-2022</t>
        </is>
      </c>
      <c r="B528" s="1" t="n">
        <v>44582</v>
      </c>
      <c r="C528" s="1" t="n">
        <v>45738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3116-2022</t>
        </is>
      </c>
      <c r="B529" s="1" t="n">
        <v>44582</v>
      </c>
      <c r="C529" s="1" t="n">
        <v>45738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4127-2022</t>
        </is>
      </c>
      <c r="B530" s="1" t="n">
        <v>44588</v>
      </c>
      <c r="C530" s="1" t="n">
        <v>45738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4995-2022</t>
        </is>
      </c>
      <c r="B531" s="1" t="n">
        <v>44593</v>
      </c>
      <c r="C531" s="1" t="n">
        <v>45738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BillerudKorsnäs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5048-2022</t>
        </is>
      </c>
      <c r="B532" s="1" t="n">
        <v>44593</v>
      </c>
      <c r="C532" s="1" t="n">
        <v>45738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5725-2022</t>
        </is>
      </c>
      <c r="B533" s="1" t="n">
        <v>44596</v>
      </c>
      <c r="C533" s="1" t="n">
        <v>45738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5717-2022</t>
        </is>
      </c>
      <c r="B534" s="1" t="n">
        <v>44596</v>
      </c>
      <c r="C534" s="1" t="n">
        <v>45738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5868-2022</t>
        </is>
      </c>
      <c r="B535" s="1" t="n">
        <v>44596</v>
      </c>
      <c r="C535" s="1" t="n">
        <v>45738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5976-2022</t>
        </is>
      </c>
      <c r="B536" s="1" t="n">
        <v>44597</v>
      </c>
      <c r="C536" s="1" t="n">
        <v>45738</v>
      </c>
      <c r="D536" t="inlineStr">
        <is>
          <t>ÖSTERGÖTLANDS LÄN</t>
        </is>
      </c>
      <c r="E536" t="inlineStr">
        <is>
          <t>NORRKÖPING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5912-2022</t>
        </is>
      </c>
      <c r="B537" s="1" t="n">
        <v>44597</v>
      </c>
      <c r="C537" s="1" t="n">
        <v>45738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6067-2022</t>
        </is>
      </c>
      <c r="B538" s="1" t="n">
        <v>44599</v>
      </c>
      <c r="C538" s="1" t="n">
        <v>45738</v>
      </c>
      <c r="D538" t="inlineStr">
        <is>
          <t>ÖSTERGÖTLANDS LÄN</t>
        </is>
      </c>
      <c r="E538" t="inlineStr">
        <is>
          <t>NORRKÖPING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6868-2022</t>
        </is>
      </c>
      <c r="B539" s="1" t="n">
        <v>44602</v>
      </c>
      <c r="C539" s="1" t="n">
        <v>45738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7709-2022</t>
        </is>
      </c>
      <c r="B540" s="1" t="n">
        <v>44607</v>
      </c>
      <c r="C540" s="1" t="n">
        <v>45738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7973-2022</t>
        </is>
      </c>
      <c r="B541" s="1" t="n">
        <v>44609</v>
      </c>
      <c r="C541" s="1" t="n">
        <v>45738</v>
      </c>
      <c r="D541" t="inlineStr">
        <is>
          <t>ÖSTERGÖTLANDS LÄN</t>
        </is>
      </c>
      <c r="E541" t="inlineStr">
        <is>
          <t>NORRKÖPING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8197-2022</t>
        </is>
      </c>
      <c r="B542" s="1" t="n">
        <v>44609</v>
      </c>
      <c r="C542" s="1" t="n">
        <v>45738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10282-2022</t>
        </is>
      </c>
      <c r="B543" s="1" t="n">
        <v>44622</v>
      </c>
      <c r="C543" s="1" t="n">
        <v>45738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11268-2022</t>
        </is>
      </c>
      <c r="B544" s="1" t="n">
        <v>44629</v>
      </c>
      <c r="C544" s="1" t="n">
        <v>45738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11346-2022</t>
        </is>
      </c>
      <c r="B545" s="1" t="n">
        <v>44630</v>
      </c>
      <c r="C545" s="1" t="n">
        <v>45738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11347-2022</t>
        </is>
      </c>
      <c r="B546" s="1" t="n">
        <v>44630</v>
      </c>
      <c r="C546" s="1" t="n">
        <v>45738</v>
      </c>
      <c r="D546" t="inlineStr">
        <is>
          <t>ÖSTERGÖTLANDS LÄN</t>
        </is>
      </c>
      <c r="E546" t="inlineStr">
        <is>
          <t>NORRKÖPING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11345-2022</t>
        </is>
      </c>
      <c r="B547" s="1" t="n">
        <v>44630</v>
      </c>
      <c r="C547" s="1" t="n">
        <v>45738</v>
      </c>
      <c r="D547" t="inlineStr">
        <is>
          <t>ÖSTERGÖTLANDS LÄN</t>
        </is>
      </c>
      <c r="E547" t="inlineStr">
        <is>
          <t>NORRKÖPING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11404-2022</t>
        </is>
      </c>
      <c r="B548" s="1" t="n">
        <v>44630</v>
      </c>
      <c r="C548" s="1" t="n">
        <v>45738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11344-2022</t>
        </is>
      </c>
      <c r="B549" s="1" t="n">
        <v>44630</v>
      </c>
      <c r="C549" s="1" t="n">
        <v>45738</v>
      </c>
      <c r="D549" t="inlineStr">
        <is>
          <t>ÖSTERGÖTLANDS LÄN</t>
        </is>
      </c>
      <c r="E549" t="inlineStr">
        <is>
          <t>NORRKÖPING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12727-2022</t>
        </is>
      </c>
      <c r="B550" s="1" t="n">
        <v>44641</v>
      </c>
      <c r="C550" s="1" t="n">
        <v>45738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13173-2022</t>
        </is>
      </c>
      <c r="B551" s="1" t="n">
        <v>44644</v>
      </c>
      <c r="C551" s="1" t="n">
        <v>45738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13814-2022</t>
        </is>
      </c>
      <c r="B552" s="1" t="n">
        <v>44649</v>
      </c>
      <c r="C552" s="1" t="n">
        <v>45738</v>
      </c>
      <c r="D552" t="inlineStr">
        <is>
          <t>ÖSTERGÖTLANDS LÄN</t>
        </is>
      </c>
      <c r="E552" t="inlineStr">
        <is>
          <t>NORRKÖPING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14138-2022</t>
        </is>
      </c>
      <c r="B553" s="1" t="n">
        <v>44651</v>
      </c>
      <c r="C553" s="1" t="n">
        <v>45738</v>
      </c>
      <c r="D553" t="inlineStr">
        <is>
          <t>ÖSTERGÖTLANDS LÄN</t>
        </is>
      </c>
      <c r="E553" t="inlineStr">
        <is>
          <t>NORRKÖPING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16055-2022</t>
        </is>
      </c>
      <c r="B554" s="1" t="n">
        <v>44665</v>
      </c>
      <c r="C554" s="1" t="n">
        <v>45738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16074-2022</t>
        </is>
      </c>
      <c r="B555" s="1" t="n">
        <v>44665</v>
      </c>
      <c r="C555" s="1" t="n">
        <v>45738</v>
      </c>
      <c r="D555" t="inlineStr">
        <is>
          <t>ÖSTERGÖTLANDS LÄN</t>
        </is>
      </c>
      <c r="E555" t="inlineStr">
        <is>
          <t>NORRKÖPING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16417-2022</t>
        </is>
      </c>
      <c r="B556" s="1" t="n">
        <v>44671</v>
      </c>
      <c r="C556" s="1" t="n">
        <v>45738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16829-2022</t>
        </is>
      </c>
      <c r="B557" s="1" t="n">
        <v>44673</v>
      </c>
      <c r="C557" s="1" t="n">
        <v>45738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17138-2022</t>
        </is>
      </c>
      <c r="B558" s="1" t="n">
        <v>44677</v>
      </c>
      <c r="C558" s="1" t="n">
        <v>45738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17503-2022</t>
        </is>
      </c>
      <c r="B559" s="1" t="n">
        <v>44679</v>
      </c>
      <c r="C559" s="1" t="n">
        <v>45738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18454-2022</t>
        </is>
      </c>
      <c r="B560" s="1" t="n">
        <v>44686</v>
      </c>
      <c r="C560" s="1" t="n">
        <v>45738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19838-2022</t>
        </is>
      </c>
      <c r="B561" s="1" t="n">
        <v>44696</v>
      </c>
      <c r="C561" s="1" t="n">
        <v>45738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19839-2022</t>
        </is>
      </c>
      <c r="B562" s="1" t="n">
        <v>44696</v>
      </c>
      <c r="C562" s="1" t="n">
        <v>45738</v>
      </c>
      <c r="D562" t="inlineStr">
        <is>
          <t>ÖSTERGÖTLANDS LÄN</t>
        </is>
      </c>
      <c r="E562" t="inlineStr">
        <is>
          <t>NORRKÖPING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19837-2022</t>
        </is>
      </c>
      <c r="B563" s="1" t="n">
        <v>44696</v>
      </c>
      <c r="C563" s="1" t="n">
        <v>45738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20385-2022</t>
        </is>
      </c>
      <c r="B564" s="1" t="n">
        <v>44699</v>
      </c>
      <c r="C564" s="1" t="n">
        <v>45738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22463-2022</t>
        </is>
      </c>
      <c r="B565" s="1" t="n">
        <v>44713</v>
      </c>
      <c r="C565" s="1" t="n">
        <v>45738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22470-2022</t>
        </is>
      </c>
      <c r="B566" s="1" t="n">
        <v>44713</v>
      </c>
      <c r="C566" s="1" t="n">
        <v>45738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23051-2022</t>
        </is>
      </c>
      <c r="B567" s="1" t="n">
        <v>44719</v>
      </c>
      <c r="C567" s="1" t="n">
        <v>45738</v>
      </c>
      <c r="D567" t="inlineStr">
        <is>
          <t>ÖSTERGÖTLANDS LÄN</t>
        </is>
      </c>
      <c r="E567" t="inlineStr">
        <is>
          <t>NORRKÖPING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23048-2022</t>
        </is>
      </c>
      <c r="B568" s="1" t="n">
        <v>44719</v>
      </c>
      <c r="C568" s="1" t="n">
        <v>45738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23175-2022</t>
        </is>
      </c>
      <c r="B569" s="1" t="n">
        <v>44719</v>
      </c>
      <c r="C569" s="1" t="n">
        <v>45738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23783-2022</t>
        </is>
      </c>
      <c r="B570" s="1" t="n">
        <v>44721</v>
      </c>
      <c r="C570" s="1" t="n">
        <v>45738</v>
      </c>
      <c r="D570" t="inlineStr">
        <is>
          <t>ÖSTERGÖTLANDS LÄN</t>
        </is>
      </c>
      <c r="E570" t="inlineStr">
        <is>
          <t>NORRKÖPING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23759-2022</t>
        </is>
      </c>
      <c r="B571" s="1" t="n">
        <v>44722</v>
      </c>
      <c r="C571" s="1" t="n">
        <v>45738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24498-2022</t>
        </is>
      </c>
      <c r="B572" s="1" t="n">
        <v>44726</v>
      </c>
      <c r="C572" s="1" t="n">
        <v>45738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24982-2022</t>
        </is>
      </c>
      <c r="B573" s="1" t="n">
        <v>44728</v>
      </c>
      <c r="C573" s="1" t="n">
        <v>45738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25288-2022</t>
        </is>
      </c>
      <c r="B574" s="1" t="n">
        <v>44730</v>
      </c>
      <c r="C574" s="1" t="n">
        <v>45738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25280-2022</t>
        </is>
      </c>
      <c r="B575" s="1" t="n">
        <v>44730</v>
      </c>
      <c r="C575" s="1" t="n">
        <v>45738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26481-2022</t>
        </is>
      </c>
      <c r="B576" s="1" t="n">
        <v>44739</v>
      </c>
      <c r="C576" s="1" t="n">
        <v>45738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26488-2022</t>
        </is>
      </c>
      <c r="B577" s="1" t="n">
        <v>44739</v>
      </c>
      <c r="C577" s="1" t="n">
        <v>45738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26502-2022</t>
        </is>
      </c>
      <c r="B578" s="1" t="n">
        <v>44739</v>
      </c>
      <c r="C578" s="1" t="n">
        <v>45738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26580-2022</t>
        </is>
      </c>
      <c r="B579" s="1" t="n">
        <v>44739</v>
      </c>
      <c r="C579" s="1" t="n">
        <v>45738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26583-2022</t>
        </is>
      </c>
      <c r="B580" s="1" t="n">
        <v>44739</v>
      </c>
      <c r="C580" s="1" t="n">
        <v>45738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26585-2022</t>
        </is>
      </c>
      <c r="B581" s="1" t="n">
        <v>44739</v>
      </c>
      <c r="C581" s="1" t="n">
        <v>45738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26492-2022</t>
        </is>
      </c>
      <c r="B582" s="1" t="n">
        <v>44739</v>
      </c>
      <c r="C582" s="1" t="n">
        <v>45738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26929-2022</t>
        </is>
      </c>
      <c r="B583" s="1" t="n">
        <v>44740</v>
      </c>
      <c r="C583" s="1" t="n">
        <v>45738</v>
      </c>
      <c r="D583" t="inlineStr">
        <is>
          <t>ÖSTERGÖTLANDS LÄN</t>
        </is>
      </c>
      <c r="E583" t="inlineStr">
        <is>
          <t>NORRKÖPING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27040-2022</t>
        </is>
      </c>
      <c r="B584" s="1" t="n">
        <v>44741</v>
      </c>
      <c r="C584" s="1" t="n">
        <v>45738</v>
      </c>
      <c r="D584" t="inlineStr">
        <is>
          <t>ÖSTERGÖTLANDS LÄN</t>
        </is>
      </c>
      <c r="E584" t="inlineStr">
        <is>
          <t>NORRKÖPING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27179-2022</t>
        </is>
      </c>
      <c r="B585" s="1" t="n">
        <v>44741</v>
      </c>
      <c r="C585" s="1" t="n">
        <v>45738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27503-2022</t>
        </is>
      </c>
      <c r="B586" s="1" t="n">
        <v>44742</v>
      </c>
      <c r="C586" s="1" t="n">
        <v>45738</v>
      </c>
      <c r="D586" t="inlineStr">
        <is>
          <t>ÖSTERGÖTLANDS LÄN</t>
        </is>
      </c>
      <c r="E586" t="inlineStr">
        <is>
          <t>NORRKÖPING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28076-2022</t>
        </is>
      </c>
      <c r="B587" s="1" t="n">
        <v>44746</v>
      </c>
      <c r="C587" s="1" t="n">
        <v>45738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28062-2022</t>
        </is>
      </c>
      <c r="B588" s="1" t="n">
        <v>44746</v>
      </c>
      <c r="C588" s="1" t="n">
        <v>45738</v>
      </c>
      <c r="D588" t="inlineStr">
        <is>
          <t>ÖSTERGÖTLANDS LÄN</t>
        </is>
      </c>
      <c r="E588" t="inlineStr">
        <is>
          <t>NORRKÖPING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28072-2022</t>
        </is>
      </c>
      <c r="B589" s="1" t="n">
        <v>44746</v>
      </c>
      <c r="C589" s="1" t="n">
        <v>45738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29622-2022</t>
        </is>
      </c>
      <c r="B590" s="1" t="n">
        <v>44754</v>
      </c>
      <c r="C590" s="1" t="n">
        <v>45738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30056-2022</t>
        </is>
      </c>
      <c r="B591" s="1" t="n">
        <v>44756</v>
      </c>
      <c r="C591" s="1" t="n">
        <v>45738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30834-2022</t>
        </is>
      </c>
      <c r="B592" s="1" t="n">
        <v>44767</v>
      </c>
      <c r="C592" s="1" t="n">
        <v>45738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31804-2022</t>
        </is>
      </c>
      <c r="B593" s="1" t="n">
        <v>44776</v>
      </c>
      <c r="C593" s="1" t="n">
        <v>45738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45738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32630-2022</t>
        </is>
      </c>
      <c r="B595" s="1" t="n">
        <v>44783</v>
      </c>
      <c r="C595" s="1" t="n">
        <v>45738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32626-2022</t>
        </is>
      </c>
      <c r="B596" s="1" t="n">
        <v>44783</v>
      </c>
      <c r="C596" s="1" t="n">
        <v>45738</v>
      </c>
      <c r="D596" t="inlineStr">
        <is>
          <t>ÖSTERGÖTLANDS LÄN</t>
        </is>
      </c>
      <c r="E596" t="inlineStr">
        <is>
          <t>NORRKÖPING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36258-2022</t>
        </is>
      </c>
      <c r="B597" s="1" t="n">
        <v>44803</v>
      </c>
      <c r="C597" s="1" t="n">
        <v>45738</v>
      </c>
      <c r="D597" t="inlineStr">
        <is>
          <t>ÖSTERGÖTLANDS LÄN</t>
        </is>
      </c>
      <c r="E597" t="inlineStr">
        <is>
          <t>NORRKÖPING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36408-2022</t>
        </is>
      </c>
      <c r="B598" s="1" t="n">
        <v>44804</v>
      </c>
      <c r="C598" s="1" t="n">
        <v>45738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36954-2022</t>
        </is>
      </c>
      <c r="B599" s="1" t="n">
        <v>44805</v>
      </c>
      <c r="C599" s="1" t="n">
        <v>45738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36887-2022</t>
        </is>
      </c>
      <c r="B600" s="1" t="n">
        <v>44805</v>
      </c>
      <c r="C600" s="1" t="n">
        <v>45738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38626-2022</t>
        </is>
      </c>
      <c r="B601" s="1" t="n">
        <v>44813</v>
      </c>
      <c r="C601" s="1" t="n">
        <v>45738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39197-2022</t>
        </is>
      </c>
      <c r="B602" s="1" t="n">
        <v>44817</v>
      </c>
      <c r="C602" s="1" t="n">
        <v>45738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39987-2022</t>
        </is>
      </c>
      <c r="B603" s="1" t="n">
        <v>44820</v>
      </c>
      <c r="C603" s="1" t="n">
        <v>45738</v>
      </c>
      <c r="D603" t="inlineStr">
        <is>
          <t>ÖSTERGÖTLANDS LÄN</t>
        </is>
      </c>
      <c r="E603" t="inlineStr">
        <is>
          <t>NORRKÖPING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40910-2022</t>
        </is>
      </c>
      <c r="B604" s="1" t="n">
        <v>44825</v>
      </c>
      <c r="C604" s="1" t="n">
        <v>45738</v>
      </c>
      <c r="D604" t="inlineStr">
        <is>
          <t>ÖSTERGÖTLANDS LÄN</t>
        </is>
      </c>
      <c r="E604" t="inlineStr">
        <is>
          <t>NORRKÖPING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41083-2022</t>
        </is>
      </c>
      <c r="B605" s="1" t="n">
        <v>44825</v>
      </c>
      <c r="C605" s="1" t="n">
        <v>45738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40975-2022</t>
        </is>
      </c>
      <c r="B606" s="1" t="n">
        <v>44825</v>
      </c>
      <c r="C606" s="1" t="n">
        <v>45738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40980-2022</t>
        </is>
      </c>
      <c r="B607" s="1" t="n">
        <v>44825</v>
      </c>
      <c r="C607" s="1" t="n">
        <v>45738</v>
      </c>
      <c r="D607" t="inlineStr">
        <is>
          <t>ÖSTERGÖTLANDS LÄN</t>
        </is>
      </c>
      <c r="E607" t="inlineStr">
        <is>
          <t>NORRKÖPING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41223-2022</t>
        </is>
      </c>
      <c r="B608" s="1" t="n">
        <v>44826</v>
      </c>
      <c r="C608" s="1" t="n">
        <v>45738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43322-2022</t>
        </is>
      </c>
      <c r="B609" s="1" t="n">
        <v>44834</v>
      </c>
      <c r="C609" s="1" t="n">
        <v>45738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43312-2022</t>
        </is>
      </c>
      <c r="B610" s="1" t="n">
        <v>44834</v>
      </c>
      <c r="C610" s="1" t="n">
        <v>45738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43629-2022</t>
        </is>
      </c>
      <c r="B611" s="1" t="n">
        <v>44837</v>
      </c>
      <c r="C611" s="1" t="n">
        <v>45738</v>
      </c>
      <c r="D611" t="inlineStr">
        <is>
          <t>ÖSTERGÖTLANDS LÄN</t>
        </is>
      </c>
      <c r="E611" t="inlineStr">
        <is>
          <t>NORRKÖPING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43605-2022</t>
        </is>
      </c>
      <c r="B612" s="1" t="n">
        <v>44837</v>
      </c>
      <c r="C612" s="1" t="n">
        <v>45738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43638-2022</t>
        </is>
      </c>
      <c r="B613" s="1" t="n">
        <v>44837</v>
      </c>
      <c r="C613" s="1" t="n">
        <v>45738</v>
      </c>
      <c r="D613" t="inlineStr">
        <is>
          <t>ÖSTERGÖTLANDS LÄN</t>
        </is>
      </c>
      <c r="E613" t="inlineStr">
        <is>
          <t>NORRKÖPING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43634-2022</t>
        </is>
      </c>
      <c r="B614" s="1" t="n">
        <v>44837</v>
      </c>
      <c r="C614" s="1" t="n">
        <v>45738</v>
      </c>
      <c r="D614" t="inlineStr">
        <is>
          <t>ÖSTERGÖTLANDS LÄN</t>
        </is>
      </c>
      <c r="E614" t="inlineStr">
        <is>
          <t>NORRKÖPING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46738-2022</t>
        </is>
      </c>
      <c r="B615" s="1" t="n">
        <v>44851</v>
      </c>
      <c r="C615" s="1" t="n">
        <v>45738</v>
      </c>
      <c r="D615" t="inlineStr">
        <is>
          <t>ÖSTERGÖTLANDS LÄN</t>
        </is>
      </c>
      <c r="E615" t="inlineStr">
        <is>
          <t>NORRKÖPING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47042-2022</t>
        </is>
      </c>
      <c r="B616" s="1" t="n">
        <v>44852</v>
      </c>
      <c r="C616" s="1" t="n">
        <v>45738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47477-2022</t>
        </is>
      </c>
      <c r="B617" s="1" t="n">
        <v>44853</v>
      </c>
      <c r="C617" s="1" t="n">
        <v>45738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48462-2022</t>
        </is>
      </c>
      <c r="B618" s="1" t="n">
        <v>44858</v>
      </c>
      <c r="C618" s="1" t="n">
        <v>45738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49060-2022</t>
        </is>
      </c>
      <c r="B619" s="1" t="n">
        <v>44860</v>
      </c>
      <c r="C619" s="1" t="n">
        <v>45738</v>
      </c>
      <c r="D619" t="inlineStr">
        <is>
          <t>ÖSTERGÖTLANDS LÄN</t>
        </is>
      </c>
      <c r="E619" t="inlineStr">
        <is>
          <t>NORRKÖPING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49062-2022</t>
        </is>
      </c>
      <c r="B620" s="1" t="n">
        <v>44860</v>
      </c>
      <c r="C620" s="1" t="n">
        <v>45738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49456-2022</t>
        </is>
      </c>
      <c r="B621" s="1" t="n">
        <v>44861</v>
      </c>
      <c r="C621" s="1" t="n">
        <v>45738</v>
      </c>
      <c r="D621" t="inlineStr">
        <is>
          <t>ÖSTERGÖTLANDS LÄN</t>
        </is>
      </c>
      <c r="E621" t="inlineStr">
        <is>
          <t>NORRKÖPING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49487-2022</t>
        </is>
      </c>
      <c r="B622" s="1" t="n">
        <v>44861</v>
      </c>
      <c r="C622" s="1" t="n">
        <v>45738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49617-2022</t>
        </is>
      </c>
      <c r="B623" s="1" t="n">
        <v>44862</v>
      </c>
      <c r="C623" s="1" t="n">
        <v>45738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49799-2022</t>
        </is>
      </c>
      <c r="B624" s="1" t="n">
        <v>44862</v>
      </c>
      <c r="C624" s="1" t="n">
        <v>45738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49778-2022</t>
        </is>
      </c>
      <c r="B625" s="1" t="n">
        <v>44862</v>
      </c>
      <c r="C625" s="1" t="n">
        <v>45738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49922-2022</t>
        </is>
      </c>
      <c r="B626" s="1" t="n">
        <v>44865</v>
      </c>
      <c r="C626" s="1" t="n">
        <v>45738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50212-2022</t>
        </is>
      </c>
      <c r="B627" s="1" t="n">
        <v>44865</v>
      </c>
      <c r="C627" s="1" t="n">
        <v>45738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50157-2022</t>
        </is>
      </c>
      <c r="B628" s="1" t="n">
        <v>44865</v>
      </c>
      <c r="C628" s="1" t="n">
        <v>45738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50156-2022</t>
        </is>
      </c>
      <c r="B629" s="1" t="n">
        <v>44865</v>
      </c>
      <c r="C629" s="1" t="n">
        <v>45738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50960-2022</t>
        </is>
      </c>
      <c r="B630" s="1" t="n">
        <v>44867</v>
      </c>
      <c r="C630" s="1" t="n">
        <v>45738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51419-2022</t>
        </is>
      </c>
      <c r="B631" s="1" t="n">
        <v>44869</v>
      </c>
      <c r="C631" s="1" t="n">
        <v>45738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53500-2022</t>
        </is>
      </c>
      <c r="B632" s="1" t="n">
        <v>44874</v>
      </c>
      <c r="C632" s="1" t="n">
        <v>45738</v>
      </c>
      <c r="D632" t="inlineStr">
        <is>
          <t>ÖSTERGÖTLANDS LÄN</t>
        </is>
      </c>
      <c r="E632" t="inlineStr">
        <is>
          <t>NORRKÖPING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53366-2022</t>
        </is>
      </c>
      <c r="B633" s="1" t="n">
        <v>44879</v>
      </c>
      <c r="C633" s="1" t="n">
        <v>45738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53747-2022</t>
        </is>
      </c>
      <c r="B634" s="1" t="n">
        <v>44880</v>
      </c>
      <c r="C634" s="1" t="n">
        <v>45738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53852-2022</t>
        </is>
      </c>
      <c r="B635" s="1" t="n">
        <v>44880</v>
      </c>
      <c r="C635" s="1" t="n">
        <v>45738</v>
      </c>
      <c r="D635" t="inlineStr">
        <is>
          <t>ÖSTERGÖTLANDS LÄN</t>
        </is>
      </c>
      <c r="E635" t="inlineStr">
        <is>
          <t>NORRKÖPING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54206-2022</t>
        </is>
      </c>
      <c r="B636" s="1" t="n">
        <v>44881</v>
      </c>
      <c r="C636" s="1" t="n">
        <v>45738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55034-2022</t>
        </is>
      </c>
      <c r="B637" s="1" t="n">
        <v>44881</v>
      </c>
      <c r="C637" s="1" t="n">
        <v>45738</v>
      </c>
      <c r="D637" t="inlineStr">
        <is>
          <t>ÖSTERGÖTLANDS LÄN</t>
        </is>
      </c>
      <c r="E637" t="inlineStr">
        <is>
          <t>NORRKÖPING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54697-2022</t>
        </is>
      </c>
      <c r="B638" s="1" t="n">
        <v>44883</v>
      </c>
      <c r="C638" s="1" t="n">
        <v>45738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54958-2022</t>
        </is>
      </c>
      <c r="B639" s="1" t="n">
        <v>44886</v>
      </c>
      <c r="C639" s="1" t="n">
        <v>45738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56032-2022</t>
        </is>
      </c>
      <c r="B640" s="1" t="n">
        <v>44889</v>
      </c>
      <c r="C640" s="1" t="n">
        <v>45738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55941-2022</t>
        </is>
      </c>
      <c r="B641" s="1" t="n">
        <v>44889</v>
      </c>
      <c r="C641" s="1" t="n">
        <v>45738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55945-2022</t>
        </is>
      </c>
      <c r="B642" s="1" t="n">
        <v>44889</v>
      </c>
      <c r="C642" s="1" t="n">
        <v>45738</v>
      </c>
      <c r="D642" t="inlineStr">
        <is>
          <t>ÖSTERGÖTLANDS LÄN</t>
        </is>
      </c>
      <c r="E642" t="inlineStr">
        <is>
          <t>NORRKÖPING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55954-2022</t>
        </is>
      </c>
      <c r="B643" s="1" t="n">
        <v>44889</v>
      </c>
      <c r="C643" s="1" t="n">
        <v>45738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56331-2022</t>
        </is>
      </c>
      <c r="B644" s="1" t="n">
        <v>44890</v>
      </c>
      <c r="C644" s="1" t="n">
        <v>45738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57493-2022</t>
        </is>
      </c>
      <c r="B645" s="1" t="n">
        <v>44896</v>
      </c>
      <c r="C645" s="1" t="n">
        <v>45738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57413-2022</t>
        </is>
      </c>
      <c r="B646" s="1" t="n">
        <v>44896</v>
      </c>
      <c r="C646" s="1" t="n">
        <v>45738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57520-2022</t>
        </is>
      </c>
      <c r="B647" s="1" t="n">
        <v>44896</v>
      </c>
      <c r="C647" s="1" t="n">
        <v>45738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57502-2022</t>
        </is>
      </c>
      <c r="B648" s="1" t="n">
        <v>44896</v>
      </c>
      <c r="C648" s="1" t="n">
        <v>45738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57772-2022</t>
        </is>
      </c>
      <c r="B649" s="1" t="n">
        <v>44897</v>
      </c>
      <c r="C649" s="1" t="n">
        <v>45738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57979-2022</t>
        </is>
      </c>
      <c r="B650" s="1" t="n">
        <v>44900</v>
      </c>
      <c r="C650" s="1" t="n">
        <v>45738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59586-2022</t>
        </is>
      </c>
      <c r="B651" s="1" t="n">
        <v>44907</v>
      </c>
      <c r="C651" s="1" t="n">
        <v>45738</v>
      </c>
      <c r="D651" t="inlineStr">
        <is>
          <t>ÖSTERGÖTLANDS LÄN</t>
        </is>
      </c>
      <c r="E651" t="inlineStr">
        <is>
          <t>NORRKÖPING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59813-2022</t>
        </is>
      </c>
      <c r="B652" s="1" t="n">
        <v>44908</v>
      </c>
      <c r="C652" s="1" t="n">
        <v>45738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59887-2022</t>
        </is>
      </c>
      <c r="B653" s="1" t="n">
        <v>44908</v>
      </c>
      <c r="C653" s="1" t="n">
        <v>45738</v>
      </c>
      <c r="D653" t="inlineStr">
        <is>
          <t>ÖSTERGÖTLANDS LÄN</t>
        </is>
      </c>
      <c r="E653" t="inlineStr">
        <is>
          <t>NORRKÖPING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45738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61003-2022</t>
        </is>
      </c>
      <c r="B655" s="1" t="n">
        <v>44914</v>
      </c>
      <c r="C655" s="1" t="n">
        <v>45738</v>
      </c>
      <c r="D655" t="inlineStr">
        <is>
          <t>ÖSTERGÖTLANDS LÄN</t>
        </is>
      </c>
      <c r="E655" t="inlineStr">
        <is>
          <t>NORRKÖPING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61812-2022</t>
        </is>
      </c>
      <c r="B656" s="1" t="n">
        <v>44917</v>
      </c>
      <c r="C656" s="1" t="n">
        <v>45738</v>
      </c>
      <c r="D656" t="inlineStr">
        <is>
          <t>ÖSTERGÖTLANDS LÄN</t>
        </is>
      </c>
      <c r="E656" t="inlineStr">
        <is>
          <t>NORRKÖPING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62373-2022</t>
        </is>
      </c>
      <c r="B657" s="1" t="n">
        <v>44923</v>
      </c>
      <c r="C657" s="1" t="n">
        <v>45738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62386-2022</t>
        </is>
      </c>
      <c r="B658" s="1" t="n">
        <v>44923</v>
      </c>
      <c r="C658" s="1" t="n">
        <v>45738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62376-2022</t>
        </is>
      </c>
      <c r="B659" s="1" t="n">
        <v>44923</v>
      </c>
      <c r="C659" s="1" t="n">
        <v>45738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62381-2022</t>
        </is>
      </c>
      <c r="B660" s="1" t="n">
        <v>44923</v>
      </c>
      <c r="C660" s="1" t="n">
        <v>45738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72-2023</t>
        </is>
      </c>
      <c r="B661" s="1" t="n">
        <v>44928</v>
      </c>
      <c r="C661" s="1" t="n">
        <v>45738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410-2023</t>
        </is>
      </c>
      <c r="B662" s="1" t="n">
        <v>44929</v>
      </c>
      <c r="C662" s="1" t="n">
        <v>45738</v>
      </c>
      <c r="D662" t="inlineStr">
        <is>
          <t>ÖSTERGÖTLANDS LÄN</t>
        </is>
      </c>
      <c r="E662" t="inlineStr">
        <is>
          <t>NORRKÖPING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407-2023</t>
        </is>
      </c>
      <c r="B663" s="1" t="n">
        <v>44929</v>
      </c>
      <c r="C663" s="1" t="n">
        <v>45738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1018-2023</t>
        </is>
      </c>
      <c r="B664" s="1" t="n">
        <v>44930</v>
      </c>
      <c r="C664" s="1" t="n">
        <v>45738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747-2023</t>
        </is>
      </c>
      <c r="B665" s="1" t="n">
        <v>44931</v>
      </c>
      <c r="C665" s="1" t="n">
        <v>45738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1056-2023</t>
        </is>
      </c>
      <c r="B666" s="1" t="n">
        <v>44935</v>
      </c>
      <c r="C666" s="1" t="n">
        <v>45738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1089-2023</t>
        </is>
      </c>
      <c r="B667" s="1" t="n">
        <v>44935</v>
      </c>
      <c r="C667" s="1" t="n">
        <v>45738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1072-2023</t>
        </is>
      </c>
      <c r="B668" s="1" t="n">
        <v>44935</v>
      </c>
      <c r="C668" s="1" t="n">
        <v>45738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1077-2023</t>
        </is>
      </c>
      <c r="B669" s="1" t="n">
        <v>44935</v>
      </c>
      <c r="C669" s="1" t="n">
        <v>45738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1115-2023</t>
        </is>
      </c>
      <c r="B670" s="1" t="n">
        <v>44935</v>
      </c>
      <c r="C670" s="1" t="n">
        <v>45738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1146-2023</t>
        </is>
      </c>
      <c r="B671" s="1" t="n">
        <v>44935</v>
      </c>
      <c r="C671" s="1" t="n">
        <v>45738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1277-2023</t>
        </is>
      </c>
      <c r="B672" s="1" t="n">
        <v>44936</v>
      </c>
      <c r="C672" s="1" t="n">
        <v>45738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1286-2023</t>
        </is>
      </c>
      <c r="B673" s="1" t="n">
        <v>44936</v>
      </c>
      <c r="C673" s="1" t="n">
        <v>45738</v>
      </c>
      <c r="D673" t="inlineStr">
        <is>
          <t>ÖSTERGÖTLANDS LÄN</t>
        </is>
      </c>
      <c r="E673" t="inlineStr">
        <is>
          <t>NORRKÖPING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1281-2023</t>
        </is>
      </c>
      <c r="B674" s="1" t="n">
        <v>44936</v>
      </c>
      <c r="C674" s="1" t="n">
        <v>45738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1811-2023</t>
        </is>
      </c>
      <c r="B675" s="1" t="n">
        <v>44936</v>
      </c>
      <c r="C675" s="1" t="n">
        <v>45738</v>
      </c>
      <c r="D675" t="inlineStr">
        <is>
          <t>ÖSTERGÖTLANDS LÄN</t>
        </is>
      </c>
      <c r="E675" t="inlineStr">
        <is>
          <t>NORRKÖPING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1923-2023</t>
        </is>
      </c>
      <c r="B676" s="1" t="n">
        <v>44936</v>
      </c>
      <c r="C676" s="1" t="n">
        <v>45738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1939-2023</t>
        </is>
      </c>
      <c r="B677" s="1" t="n">
        <v>44936</v>
      </c>
      <c r="C677" s="1" t="n">
        <v>45738</v>
      </c>
      <c r="D677" t="inlineStr">
        <is>
          <t>ÖSTERGÖTLANDS LÄN</t>
        </is>
      </c>
      <c r="E677" t="inlineStr">
        <is>
          <t>NORRKÖPING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1835-2023</t>
        </is>
      </c>
      <c r="B678" s="1" t="n">
        <v>44936</v>
      </c>
      <c r="C678" s="1" t="n">
        <v>45738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1914-2023</t>
        </is>
      </c>
      <c r="B679" s="1" t="n">
        <v>44939</v>
      </c>
      <c r="C679" s="1" t="n">
        <v>45738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2021-2023</t>
        </is>
      </c>
      <c r="B680" s="1" t="n">
        <v>44939</v>
      </c>
      <c r="C680" s="1" t="n">
        <v>45738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2468-2023</t>
        </is>
      </c>
      <c r="B681" s="1" t="n">
        <v>44943</v>
      </c>
      <c r="C681" s="1" t="n">
        <v>45738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2501-2023</t>
        </is>
      </c>
      <c r="B682" s="1" t="n">
        <v>44943</v>
      </c>
      <c r="C682" s="1" t="n">
        <v>45738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2495-2023</t>
        </is>
      </c>
      <c r="B683" s="1" t="n">
        <v>44943</v>
      </c>
      <c r="C683" s="1" t="n">
        <v>45738</v>
      </c>
      <c r="D683" t="inlineStr">
        <is>
          <t>ÖSTERGÖTLANDS LÄN</t>
        </is>
      </c>
      <c r="E683" t="inlineStr">
        <is>
          <t>NORRKÖPING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2473-2023</t>
        </is>
      </c>
      <c r="B684" s="1" t="n">
        <v>44943</v>
      </c>
      <c r="C684" s="1" t="n">
        <v>45738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2542-2023</t>
        </is>
      </c>
      <c r="B685" s="1" t="n">
        <v>44943</v>
      </c>
      <c r="C685" s="1" t="n">
        <v>45738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2545-2023</t>
        </is>
      </c>
      <c r="B686" s="1" t="n">
        <v>44943</v>
      </c>
      <c r="C686" s="1" t="n">
        <v>45738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2923-2023</t>
        </is>
      </c>
      <c r="B687" s="1" t="n">
        <v>44945</v>
      </c>
      <c r="C687" s="1" t="n">
        <v>45738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2875-2023</t>
        </is>
      </c>
      <c r="B688" s="1" t="n">
        <v>44945</v>
      </c>
      <c r="C688" s="1" t="n">
        <v>45738</v>
      </c>
      <c r="D688" t="inlineStr">
        <is>
          <t>ÖSTERGÖTLANDS LÄN</t>
        </is>
      </c>
      <c r="E688" t="inlineStr">
        <is>
          <t>NORRKÖPING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3650-2023</t>
        </is>
      </c>
      <c r="B689" s="1" t="n">
        <v>44950</v>
      </c>
      <c r="C689" s="1" t="n">
        <v>45738</v>
      </c>
      <c r="D689" t="inlineStr">
        <is>
          <t>ÖSTERGÖTLANDS LÄN</t>
        </is>
      </c>
      <c r="E689" t="inlineStr">
        <is>
          <t>NORRKÖPING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3706-2023</t>
        </is>
      </c>
      <c r="B690" s="1" t="n">
        <v>44951</v>
      </c>
      <c r="C690" s="1" t="n">
        <v>45738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4029-2023</t>
        </is>
      </c>
      <c r="B691" s="1" t="n">
        <v>44952</v>
      </c>
      <c r="C691" s="1" t="n">
        <v>45738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4494-2023</t>
        </is>
      </c>
      <c r="B692" s="1" t="n">
        <v>44956</v>
      </c>
      <c r="C692" s="1" t="n">
        <v>45738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4546-2023</t>
        </is>
      </c>
      <c r="B693" s="1" t="n">
        <v>44956</v>
      </c>
      <c r="C693" s="1" t="n">
        <v>45738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4460-2023</t>
        </is>
      </c>
      <c r="B694" s="1" t="n">
        <v>44956</v>
      </c>
      <c r="C694" s="1" t="n">
        <v>45738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4743-2023</t>
        </is>
      </c>
      <c r="B695" s="1" t="n">
        <v>44957</v>
      </c>
      <c r="C695" s="1" t="n">
        <v>45738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4770-2023</t>
        </is>
      </c>
      <c r="B696" s="1" t="n">
        <v>44957</v>
      </c>
      <c r="C696" s="1" t="n">
        <v>45738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4826-2023</t>
        </is>
      </c>
      <c r="B697" s="1" t="n">
        <v>44957</v>
      </c>
      <c r="C697" s="1" t="n">
        <v>45738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5516-2023</t>
        </is>
      </c>
      <c r="B698" s="1" t="n">
        <v>44957</v>
      </c>
      <c r="C698" s="1" t="n">
        <v>45738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5037-2023</t>
        </is>
      </c>
      <c r="B699" s="1" t="n">
        <v>44958</v>
      </c>
      <c r="C699" s="1" t="n">
        <v>45738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5605-2023</t>
        </is>
      </c>
      <c r="B700" s="1" t="n">
        <v>44958</v>
      </c>
      <c r="C700" s="1" t="n">
        <v>45738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5229-2023</t>
        </is>
      </c>
      <c r="B701" s="1" t="n">
        <v>44959</v>
      </c>
      <c r="C701" s="1" t="n">
        <v>45738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5323-2023</t>
        </is>
      </c>
      <c r="B702" s="1" t="n">
        <v>44959</v>
      </c>
      <c r="C702" s="1" t="n">
        <v>45738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6261-2023</t>
        </is>
      </c>
      <c r="B703" s="1" t="n">
        <v>44965</v>
      </c>
      <c r="C703" s="1" t="n">
        <v>45738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6636-2023</t>
        </is>
      </c>
      <c r="B704" s="1" t="n">
        <v>44966</v>
      </c>
      <c r="C704" s="1" t="n">
        <v>45738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6518-2023</t>
        </is>
      </c>
      <c r="B705" s="1" t="n">
        <v>44966</v>
      </c>
      <c r="C705" s="1" t="n">
        <v>45738</v>
      </c>
      <c r="D705" t="inlineStr">
        <is>
          <t>ÖSTERGÖTLANDS LÄN</t>
        </is>
      </c>
      <c r="E705" t="inlineStr">
        <is>
          <t>NORRKÖPING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7116-2023</t>
        </is>
      </c>
      <c r="B706" s="1" t="n">
        <v>44970</v>
      </c>
      <c r="C706" s="1" t="n">
        <v>45738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7132-2023</t>
        </is>
      </c>
      <c r="B707" s="1" t="n">
        <v>44970</v>
      </c>
      <c r="C707" s="1" t="n">
        <v>45738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7145-2023</t>
        </is>
      </c>
      <c r="B708" s="1" t="n">
        <v>44970</v>
      </c>
      <c r="C708" s="1" t="n">
        <v>45738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7268-2023</t>
        </is>
      </c>
      <c r="B709" s="1" t="n">
        <v>44970</v>
      </c>
      <c r="C709" s="1" t="n">
        <v>45738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7275-2023</t>
        </is>
      </c>
      <c r="B710" s="1" t="n">
        <v>44970</v>
      </c>
      <c r="C710" s="1" t="n">
        <v>45738</v>
      </c>
      <c r="D710" t="inlineStr">
        <is>
          <t>ÖSTERGÖTLANDS LÄN</t>
        </is>
      </c>
      <c r="E710" t="inlineStr">
        <is>
          <t>NORRKÖPING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7141-2023</t>
        </is>
      </c>
      <c r="B711" s="1" t="n">
        <v>44970</v>
      </c>
      <c r="C711" s="1" t="n">
        <v>45738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7265-2023</t>
        </is>
      </c>
      <c r="B712" s="1" t="n">
        <v>44970</v>
      </c>
      <c r="C712" s="1" t="n">
        <v>45738</v>
      </c>
      <c r="D712" t="inlineStr">
        <is>
          <t>ÖSTERGÖTLANDS LÄN</t>
        </is>
      </c>
      <c r="E712" t="inlineStr">
        <is>
          <t>NORRKÖPING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7271-2023</t>
        </is>
      </c>
      <c r="B713" s="1" t="n">
        <v>44970</v>
      </c>
      <c r="C713" s="1" t="n">
        <v>45738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8231-2023</t>
        </is>
      </c>
      <c r="B714" s="1" t="n">
        <v>44974</v>
      </c>
      <c r="C714" s="1" t="n">
        <v>45738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8220-2023</t>
        </is>
      </c>
      <c r="B715" s="1" t="n">
        <v>44974</v>
      </c>
      <c r="C715" s="1" t="n">
        <v>45738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8245-2023</t>
        </is>
      </c>
      <c r="B716" s="1" t="n">
        <v>44974</v>
      </c>
      <c r="C716" s="1" t="n">
        <v>45738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8292-2023</t>
        </is>
      </c>
      <c r="B717" s="1" t="n">
        <v>44974</v>
      </c>
      <c r="C717" s="1" t="n">
        <v>45738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8987-2023</t>
        </is>
      </c>
      <c r="B718" s="1" t="n">
        <v>44974</v>
      </c>
      <c r="C718" s="1" t="n">
        <v>45738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8398-2023</t>
        </is>
      </c>
      <c r="B719" s="1" t="n">
        <v>44977</v>
      </c>
      <c r="C719" s="1" t="n">
        <v>45738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8417-2023</t>
        </is>
      </c>
      <c r="B720" s="1" t="n">
        <v>44977</v>
      </c>
      <c r="C720" s="1" t="n">
        <v>45738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8368-2023</t>
        </is>
      </c>
      <c r="B721" s="1" t="n">
        <v>44977</v>
      </c>
      <c r="C721" s="1" t="n">
        <v>45738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8433-2023</t>
        </is>
      </c>
      <c r="B722" s="1" t="n">
        <v>44977</v>
      </c>
      <c r="C722" s="1" t="n">
        <v>45738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8444-2023</t>
        </is>
      </c>
      <c r="B723" s="1" t="n">
        <v>44977</v>
      </c>
      <c r="C723" s="1" t="n">
        <v>45738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8454-2023</t>
        </is>
      </c>
      <c r="B724" s="1" t="n">
        <v>44977</v>
      </c>
      <c r="C724" s="1" t="n">
        <v>45738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8526-2023</t>
        </is>
      </c>
      <c r="B725" s="1" t="n">
        <v>44977</v>
      </c>
      <c r="C725" s="1" t="n">
        <v>45738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8517-2023</t>
        </is>
      </c>
      <c r="B726" s="1" t="n">
        <v>44977</v>
      </c>
      <c r="C726" s="1" t="n">
        <v>45738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8569-2023</t>
        </is>
      </c>
      <c r="B727" s="1" t="n">
        <v>44977</v>
      </c>
      <c r="C727" s="1" t="n">
        <v>45738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8579-2023</t>
        </is>
      </c>
      <c r="B728" s="1" t="n">
        <v>44977</v>
      </c>
      <c r="C728" s="1" t="n">
        <v>45738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8582-2023</t>
        </is>
      </c>
      <c r="B729" s="1" t="n">
        <v>44977</v>
      </c>
      <c r="C729" s="1" t="n">
        <v>45738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8592-2023</t>
        </is>
      </c>
      <c r="B730" s="1" t="n">
        <v>44977</v>
      </c>
      <c r="C730" s="1" t="n">
        <v>45738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8596-2023</t>
        </is>
      </c>
      <c r="B731" s="1" t="n">
        <v>44977</v>
      </c>
      <c r="C731" s="1" t="n">
        <v>45738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8602-2023</t>
        </is>
      </c>
      <c r="B732" s="1" t="n">
        <v>44977</v>
      </c>
      <c r="C732" s="1" t="n">
        <v>45738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8942-2023</t>
        </is>
      </c>
      <c r="B733" s="1" t="n">
        <v>44979</v>
      </c>
      <c r="C733" s="1" t="n">
        <v>45738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9120-2023</t>
        </is>
      </c>
      <c r="B734" s="1" t="n">
        <v>44980</v>
      </c>
      <c r="C734" s="1" t="n">
        <v>45738</v>
      </c>
      <c r="D734" t="inlineStr">
        <is>
          <t>ÖSTERGÖTLANDS LÄN</t>
        </is>
      </c>
      <c r="E734" t="inlineStr">
        <is>
          <t>NORRKÖPING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9174-2023</t>
        </is>
      </c>
      <c r="B735" s="1" t="n">
        <v>44980</v>
      </c>
      <c r="C735" s="1" t="n">
        <v>45738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9233-2023</t>
        </is>
      </c>
      <c r="B736" s="1" t="n">
        <v>44980</v>
      </c>
      <c r="C736" s="1" t="n">
        <v>45738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9262-2023</t>
        </is>
      </c>
      <c r="B737" s="1" t="n">
        <v>44980</v>
      </c>
      <c r="C737" s="1" t="n">
        <v>45738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</v>
      </c>
      <c r="C738" s="1" t="n">
        <v>45738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9201-2023</t>
        </is>
      </c>
      <c r="B739" s="1" t="n">
        <v>44980</v>
      </c>
      <c r="C739" s="1" t="n">
        <v>45738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9457-2023</t>
        </is>
      </c>
      <c r="B740" s="1" t="n">
        <v>44981</v>
      </c>
      <c r="C740" s="1" t="n">
        <v>45738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9476-2023</t>
        </is>
      </c>
      <c r="B741" s="1" t="n">
        <v>44981</v>
      </c>
      <c r="C741" s="1" t="n">
        <v>45738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9512-2023</t>
        </is>
      </c>
      <c r="B742" s="1" t="n">
        <v>44981</v>
      </c>
      <c r="C742" s="1" t="n">
        <v>45738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9517-2023</t>
        </is>
      </c>
      <c r="B743" s="1" t="n">
        <v>44981</v>
      </c>
      <c r="C743" s="1" t="n">
        <v>45738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9593-2023</t>
        </is>
      </c>
      <c r="B744" s="1" t="n">
        <v>44983</v>
      </c>
      <c r="C744" s="1" t="n">
        <v>45738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9594-2023</t>
        </is>
      </c>
      <c r="B745" s="1" t="n">
        <v>44983</v>
      </c>
      <c r="C745" s="1" t="n">
        <v>45738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9592-2023</t>
        </is>
      </c>
      <c r="B746" s="1" t="n">
        <v>44983</v>
      </c>
      <c r="C746" s="1" t="n">
        <v>45738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9591-2023</t>
        </is>
      </c>
      <c r="B747" s="1" t="n">
        <v>44983</v>
      </c>
      <c r="C747" s="1" t="n">
        <v>45738</v>
      </c>
      <c r="D747" t="inlineStr">
        <is>
          <t>ÖSTERGÖTLANDS LÄN</t>
        </is>
      </c>
      <c r="E747" t="inlineStr">
        <is>
          <t>NORRKÖPING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9595-2023</t>
        </is>
      </c>
      <c r="B748" s="1" t="n">
        <v>44983</v>
      </c>
      <c r="C748" s="1" t="n">
        <v>45738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9702-2023</t>
        </is>
      </c>
      <c r="B749" s="1" t="n">
        <v>44984</v>
      </c>
      <c r="C749" s="1" t="n">
        <v>45738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10427-2023</t>
        </is>
      </c>
      <c r="B750" s="1" t="n">
        <v>44987</v>
      </c>
      <c r="C750" s="1" t="n">
        <v>45738</v>
      </c>
      <c r="D750" t="inlineStr">
        <is>
          <t>ÖSTERGÖTLANDS LÄN</t>
        </is>
      </c>
      <c r="E750" t="inlineStr">
        <is>
          <t>NORRKÖPING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10518-2023</t>
        </is>
      </c>
      <c r="B751" s="1" t="n">
        <v>44987</v>
      </c>
      <c r="C751" s="1" t="n">
        <v>45738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10721-2023</t>
        </is>
      </c>
      <c r="B752" s="1" t="n">
        <v>44988</v>
      </c>
      <c r="C752" s="1" t="n">
        <v>45738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10692-2023</t>
        </is>
      </c>
      <c r="B753" s="1" t="n">
        <v>44988</v>
      </c>
      <c r="C753" s="1" t="n">
        <v>45738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10704-2023</t>
        </is>
      </c>
      <c r="B754" s="1" t="n">
        <v>44988</v>
      </c>
      <c r="C754" s="1" t="n">
        <v>45738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10880-2023</t>
        </is>
      </c>
      <c r="B755" s="1" t="n">
        <v>44991</v>
      </c>
      <c r="C755" s="1" t="n">
        <v>45738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10841-2023</t>
        </is>
      </c>
      <c r="B756" s="1" t="n">
        <v>44991</v>
      </c>
      <c r="C756" s="1" t="n">
        <v>45738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10996-2023</t>
        </is>
      </c>
      <c r="B757" s="1" t="n">
        <v>44991</v>
      </c>
      <c r="C757" s="1" t="n">
        <v>45738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11587-2023</t>
        </is>
      </c>
      <c r="B758" s="1" t="n">
        <v>44992</v>
      </c>
      <c r="C758" s="1" t="n">
        <v>45738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11261-2023</t>
        </is>
      </c>
      <c r="B759" s="1" t="n">
        <v>44992</v>
      </c>
      <c r="C759" s="1" t="n">
        <v>45738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11593-2023</t>
        </is>
      </c>
      <c r="B760" s="1" t="n">
        <v>44992</v>
      </c>
      <c r="C760" s="1" t="n">
        <v>45738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11509-2023</t>
        </is>
      </c>
      <c r="B761" s="1" t="n">
        <v>44993</v>
      </c>
      <c r="C761" s="1" t="n">
        <v>45738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11490-2023</t>
        </is>
      </c>
      <c r="B762" s="1" t="n">
        <v>44993</v>
      </c>
      <c r="C762" s="1" t="n">
        <v>45738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11612-2023</t>
        </is>
      </c>
      <c r="B763" s="1" t="n">
        <v>44994</v>
      </c>
      <c r="C763" s="1" t="n">
        <v>45738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12176-2023</t>
        </is>
      </c>
      <c r="B764" s="1" t="n">
        <v>44998</v>
      </c>
      <c r="C764" s="1" t="n">
        <v>45738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12191-2023</t>
        </is>
      </c>
      <c r="B765" s="1" t="n">
        <v>44998</v>
      </c>
      <c r="C765" s="1" t="n">
        <v>45738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12189-2023</t>
        </is>
      </c>
      <c r="B766" s="1" t="n">
        <v>44998</v>
      </c>
      <c r="C766" s="1" t="n">
        <v>45738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12459-2023</t>
        </is>
      </c>
      <c r="B767" s="1" t="n">
        <v>44999</v>
      </c>
      <c r="C767" s="1" t="n">
        <v>45738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12461-2023</t>
        </is>
      </c>
      <c r="B768" s="1" t="n">
        <v>44999</v>
      </c>
      <c r="C768" s="1" t="n">
        <v>45738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12493-2023</t>
        </is>
      </c>
      <c r="B769" s="1" t="n">
        <v>44999</v>
      </c>
      <c r="C769" s="1" t="n">
        <v>45738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12511-2023</t>
        </is>
      </c>
      <c r="B770" s="1" t="n">
        <v>44999</v>
      </c>
      <c r="C770" s="1" t="n">
        <v>45738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12668-2023</t>
        </is>
      </c>
      <c r="B771" s="1" t="n">
        <v>45000</v>
      </c>
      <c r="C771" s="1" t="n">
        <v>45738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12549-2023</t>
        </is>
      </c>
      <c r="B772" s="1" t="n">
        <v>45000</v>
      </c>
      <c r="C772" s="1" t="n">
        <v>45738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13171-2023</t>
        </is>
      </c>
      <c r="B773" s="1" t="n">
        <v>45002</v>
      </c>
      <c r="C773" s="1" t="n">
        <v>45738</v>
      </c>
      <c r="D773" t="inlineStr">
        <is>
          <t>ÖSTERGÖTLANDS LÄN</t>
        </is>
      </c>
      <c r="E773" t="inlineStr">
        <is>
          <t>NORRKÖPING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13392-2023</t>
        </is>
      </c>
      <c r="B774" s="1" t="n">
        <v>45005</v>
      </c>
      <c r="C774" s="1" t="n">
        <v>45738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13443-2023</t>
        </is>
      </c>
      <c r="B775" s="1" t="n">
        <v>45005</v>
      </c>
      <c r="C775" s="1" t="n">
        <v>45738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13387-2023</t>
        </is>
      </c>
      <c r="B776" s="1" t="n">
        <v>45005</v>
      </c>
      <c r="C776" s="1" t="n">
        <v>45738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13517-2023</t>
        </is>
      </c>
      <c r="B777" s="1" t="n">
        <v>45006</v>
      </c>
      <c r="C777" s="1" t="n">
        <v>45738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13579-2023</t>
        </is>
      </c>
      <c r="B778" s="1" t="n">
        <v>45006</v>
      </c>
      <c r="C778" s="1" t="n">
        <v>45738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13516-2023</t>
        </is>
      </c>
      <c r="B779" s="1" t="n">
        <v>45006</v>
      </c>
      <c r="C779" s="1" t="n">
        <v>45738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13591-2023</t>
        </is>
      </c>
      <c r="B780" s="1" t="n">
        <v>45006</v>
      </c>
      <c r="C780" s="1" t="n">
        <v>45738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13944-2023</t>
        </is>
      </c>
      <c r="B781" s="1" t="n">
        <v>45008</v>
      </c>
      <c r="C781" s="1" t="n">
        <v>45738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13911-2023</t>
        </is>
      </c>
      <c r="B782" s="1" t="n">
        <v>45008</v>
      </c>
      <c r="C782" s="1" t="n">
        <v>45738</v>
      </c>
      <c r="D782" t="inlineStr">
        <is>
          <t>ÖSTERGÖTLANDS LÄN</t>
        </is>
      </c>
      <c r="E782" t="inlineStr">
        <is>
          <t>NORRKÖPING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13918-2023</t>
        </is>
      </c>
      <c r="B783" s="1" t="n">
        <v>45008</v>
      </c>
      <c r="C783" s="1" t="n">
        <v>45738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14037-2023</t>
        </is>
      </c>
      <c r="B784" s="1" t="n">
        <v>45008</v>
      </c>
      <c r="C784" s="1" t="n">
        <v>45738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14019-2023</t>
        </is>
      </c>
      <c r="B785" s="1" t="n">
        <v>45008</v>
      </c>
      <c r="C785" s="1" t="n">
        <v>45738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14044-2023</t>
        </is>
      </c>
      <c r="B786" s="1" t="n">
        <v>45008</v>
      </c>
      <c r="C786" s="1" t="n">
        <v>45738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14031-2023</t>
        </is>
      </c>
      <c r="B787" s="1" t="n">
        <v>45008</v>
      </c>
      <c r="C787" s="1" t="n">
        <v>45738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14182-2023</t>
        </is>
      </c>
      <c r="B788" s="1" t="n">
        <v>45009</v>
      </c>
      <c r="C788" s="1" t="n">
        <v>45738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14206-2023</t>
        </is>
      </c>
      <c r="B789" s="1" t="n">
        <v>45009</v>
      </c>
      <c r="C789" s="1" t="n">
        <v>45738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14093-2023</t>
        </is>
      </c>
      <c r="B790" s="1" t="n">
        <v>45009</v>
      </c>
      <c r="C790" s="1" t="n">
        <v>45738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14097-2023</t>
        </is>
      </c>
      <c r="B791" s="1" t="n">
        <v>45009</v>
      </c>
      <c r="C791" s="1" t="n">
        <v>45738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14486-2023</t>
        </is>
      </c>
      <c r="B792" s="1" t="n">
        <v>45012</v>
      </c>
      <c r="C792" s="1" t="n">
        <v>45738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14503-2023</t>
        </is>
      </c>
      <c r="B793" s="1" t="n">
        <v>45012</v>
      </c>
      <c r="C793" s="1" t="n">
        <v>45738</v>
      </c>
      <c r="D793" t="inlineStr">
        <is>
          <t>ÖSTERGÖTLANDS LÄN</t>
        </is>
      </c>
      <c r="E793" t="inlineStr">
        <is>
          <t>NORRKÖPING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14485-2023</t>
        </is>
      </c>
      <c r="B794" s="1" t="n">
        <v>45012</v>
      </c>
      <c r="C794" s="1" t="n">
        <v>45738</v>
      </c>
      <c r="D794" t="inlineStr">
        <is>
          <t>ÖSTERGÖTLANDS LÄN</t>
        </is>
      </c>
      <c r="E794" t="inlineStr">
        <is>
          <t>NORRKÖPING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14368-2023</t>
        </is>
      </c>
      <c r="B795" s="1" t="n">
        <v>45012</v>
      </c>
      <c r="C795" s="1" t="n">
        <v>45738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45738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45738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45738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45738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45738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45738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45738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45738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45738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45738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45738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45738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45738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45738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45738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45738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45738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45738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45738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45738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45738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45738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45738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45738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45738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45738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45738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45738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45738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45738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45738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45738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45738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45738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45738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45738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45738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45738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45738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45738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45738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45738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45738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45738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45738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45738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45738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45738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45738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45738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45738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45738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45738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45738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45738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45738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45738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45738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45738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45738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45738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45738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45738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45738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45738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45738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45738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45738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45738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45738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45738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45738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45738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45738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45738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45738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45738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45738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45738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45738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45738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45738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45738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45738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45738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45738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45738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45738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45738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45738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45738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45738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45738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45738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45738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45738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45738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45738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45738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45738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45738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45738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45738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45738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45738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45738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45738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45738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45738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45738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45738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45738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45738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45738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45738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45738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45738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45738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45738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45738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45738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45738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45738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HYPERLINK("https://klasma.github.io/Logging_0581/knärot/A 27517-2023 karta knärot.png", "A 27517-2023")</f>
        <v/>
      </c>
      <c r="V918">
        <f>HYPERLINK("https://klasma.github.io/Logging_0581/klagomål/A 27517-2023 FSC-klagomål.docx", "A 27517-2023")</f>
        <v/>
      </c>
      <c r="W918">
        <f>HYPERLINK("https://klasma.github.io/Logging_0581/klagomålsmail/A 27517-2023 FSC-klagomål mail.docx", "A 27517-2023")</f>
        <v/>
      </c>
      <c r="X918">
        <f>HYPERLINK("https://klasma.github.io/Logging_0581/tillsyn/A 27517-2023 tillsynsbegäran.docx", "A 27517-2023")</f>
        <v/>
      </c>
      <c r="Y918">
        <f>HYPERLINK("https://klasma.github.io/Logging_0581/tillsynsmail/A 27517-2023 tillsynsbegäran mail.docx", "A 27517-2023")</f>
        <v/>
      </c>
    </row>
    <row r="919" ht="15" customHeight="1">
      <c r="A919" t="inlineStr">
        <is>
          <t>A 27728-2023</t>
        </is>
      </c>
      <c r="B919" s="1" t="n">
        <v>45098</v>
      </c>
      <c r="C919" s="1" t="n">
        <v>45738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45738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45738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45738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45738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45738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45738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45738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45738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45738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45738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45738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45738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45738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45738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45738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45738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45738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45738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45738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45738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45738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45738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45738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45738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45738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45738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45738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45738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45738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45738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45738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45738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45738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45738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45738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45738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45738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45738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45738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45738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45738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45738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45738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45738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45738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45738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45738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45738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45738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45738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45738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45738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45738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45738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45738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45738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45738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45738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45738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45738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45738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45738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45738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45738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45738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45738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45738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45738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45738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45738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45738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45738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45738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45738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45738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45738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45738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39265-2023</t>
        </is>
      </c>
      <c r="B997" s="1" t="n">
        <v>45166</v>
      </c>
      <c r="C997" s="1" t="n">
        <v>45738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39346-2023</t>
        </is>
      </c>
      <c r="B998" s="1" t="n">
        <v>45166</v>
      </c>
      <c r="C998" s="1" t="n">
        <v>45738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39324-2023</t>
        </is>
      </c>
      <c r="B999" s="1" t="n">
        <v>45166</v>
      </c>
      <c r="C999" s="1" t="n">
        <v>45738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39889-2023</t>
        </is>
      </c>
      <c r="B1000" s="1" t="n">
        <v>45168</v>
      </c>
      <c r="C1000" s="1" t="n">
        <v>45738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39888-2023</t>
        </is>
      </c>
      <c r="B1001" s="1" t="n">
        <v>45168</v>
      </c>
      <c r="C1001" s="1" t="n">
        <v>45738</v>
      </c>
      <c r="D1001" t="inlineStr">
        <is>
          <t>ÖSTERGÖTLANDS LÄN</t>
        </is>
      </c>
      <c r="E1001" t="inlineStr">
        <is>
          <t>NORRKÖPING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40555-2023</t>
        </is>
      </c>
      <c r="B1002" s="1" t="n">
        <v>45170</v>
      </c>
      <c r="C1002" s="1" t="n">
        <v>45738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41381-2023</t>
        </is>
      </c>
      <c r="B1003" s="1" t="n">
        <v>45174</v>
      </c>
      <c r="C1003" s="1" t="n">
        <v>45738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41374-2023</t>
        </is>
      </c>
      <c r="B1004" s="1" t="n">
        <v>45174</v>
      </c>
      <c r="C1004" s="1" t="n">
        <v>45738</v>
      </c>
      <c r="D1004" t="inlineStr">
        <is>
          <t>ÖSTERGÖTLANDS LÄN</t>
        </is>
      </c>
      <c r="E1004" t="inlineStr">
        <is>
          <t>NORRKÖPING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41382-2023</t>
        </is>
      </c>
      <c r="B1005" s="1" t="n">
        <v>45174</v>
      </c>
      <c r="C1005" s="1" t="n">
        <v>45738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41380-2023</t>
        </is>
      </c>
      <c r="B1006" s="1" t="n">
        <v>45174</v>
      </c>
      <c r="C1006" s="1" t="n">
        <v>45738</v>
      </c>
      <c r="D1006" t="inlineStr">
        <is>
          <t>ÖSTERGÖTLANDS LÄN</t>
        </is>
      </c>
      <c r="E1006" t="inlineStr">
        <is>
          <t>NORRKÖPING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41367-2023</t>
        </is>
      </c>
      <c r="B1007" s="1" t="n">
        <v>45174</v>
      </c>
      <c r="C1007" s="1" t="n">
        <v>45738</v>
      </c>
      <c r="D1007" t="inlineStr">
        <is>
          <t>ÖSTERGÖTLANDS LÄN</t>
        </is>
      </c>
      <c r="E1007" t="inlineStr">
        <is>
          <t>NORRKÖPING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41375-2023</t>
        </is>
      </c>
      <c r="B1008" s="1" t="n">
        <v>45174</v>
      </c>
      <c r="C1008" s="1" t="n">
        <v>45738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42173-2023</t>
        </is>
      </c>
      <c r="B1009" s="1" t="n">
        <v>45178</v>
      </c>
      <c r="C1009" s="1" t="n">
        <v>45738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42175-2023</t>
        </is>
      </c>
      <c r="B1010" s="1" t="n">
        <v>45178</v>
      </c>
      <c r="C1010" s="1" t="n">
        <v>45738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43344-2023</t>
        </is>
      </c>
      <c r="B1011" s="1" t="n">
        <v>45183</v>
      </c>
      <c r="C1011" s="1" t="n">
        <v>45738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43277-2023</t>
        </is>
      </c>
      <c r="B1012" s="1" t="n">
        <v>45183</v>
      </c>
      <c r="C1012" s="1" t="n">
        <v>45738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43278-2023</t>
        </is>
      </c>
      <c r="B1013" s="1" t="n">
        <v>45183</v>
      </c>
      <c r="C1013" s="1" t="n">
        <v>45738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43355-2023</t>
        </is>
      </c>
      <c r="B1014" s="1" t="n">
        <v>45183</v>
      </c>
      <c r="C1014" s="1" t="n">
        <v>45738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43280-2023</t>
        </is>
      </c>
      <c r="B1015" s="1" t="n">
        <v>45183</v>
      </c>
      <c r="C1015" s="1" t="n">
        <v>45738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43346-2023</t>
        </is>
      </c>
      <c r="B1016" s="1" t="n">
        <v>45183</v>
      </c>
      <c r="C1016" s="1" t="n">
        <v>45738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43460-2023</t>
        </is>
      </c>
      <c r="B1017" s="1" t="n">
        <v>45184</v>
      </c>
      <c r="C1017" s="1" t="n">
        <v>45738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43476-2023</t>
        </is>
      </c>
      <c r="B1018" s="1" t="n">
        <v>45184</v>
      </c>
      <c r="C1018" s="1" t="n">
        <v>45738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43590-2023</t>
        </is>
      </c>
      <c r="B1019" s="1" t="n">
        <v>45184</v>
      </c>
      <c r="C1019" s="1" t="n">
        <v>45738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43743-2023</t>
        </is>
      </c>
      <c r="B1020" s="1" t="n">
        <v>45187</v>
      </c>
      <c r="C1020" s="1" t="n">
        <v>45738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44252-2023</t>
        </is>
      </c>
      <c r="B1021" s="1" t="n">
        <v>45188</v>
      </c>
      <c r="C1021" s="1" t="n">
        <v>45738</v>
      </c>
      <c r="D1021" t="inlineStr">
        <is>
          <t>ÖSTERGÖTLANDS LÄN</t>
        </is>
      </c>
      <c r="E1021" t="inlineStr">
        <is>
          <t>NORRKÖPING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44197-2023</t>
        </is>
      </c>
      <c r="B1022" s="1" t="n">
        <v>45188</v>
      </c>
      <c r="C1022" s="1" t="n">
        <v>45738</v>
      </c>
      <c r="D1022" t="inlineStr">
        <is>
          <t>ÖSTERGÖTLANDS LÄN</t>
        </is>
      </c>
      <c r="E1022" t="inlineStr">
        <is>
          <t>NORRKÖPING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44676-2023</t>
        </is>
      </c>
      <c r="B1023" s="1" t="n">
        <v>45189</v>
      </c>
      <c r="C1023" s="1" t="n">
        <v>45738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44870-2023</t>
        </is>
      </c>
      <c r="B1024" s="1" t="n">
        <v>45190</v>
      </c>
      <c r="C1024" s="1" t="n">
        <v>45738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45188-2023</t>
        </is>
      </c>
      <c r="B1025" s="1" t="n">
        <v>45191</v>
      </c>
      <c r="C1025" s="1" t="n">
        <v>45738</v>
      </c>
      <c r="D1025" t="inlineStr">
        <is>
          <t>ÖSTERGÖTLANDS LÄN</t>
        </is>
      </c>
      <c r="E1025" t="inlineStr">
        <is>
          <t>NORRKÖPING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45194-2023</t>
        </is>
      </c>
      <c r="B1026" s="1" t="n">
        <v>45191</v>
      </c>
      <c r="C1026" s="1" t="n">
        <v>45738</v>
      </c>
      <c r="D1026" t="inlineStr">
        <is>
          <t>ÖSTERGÖTLANDS LÄN</t>
        </is>
      </c>
      <c r="E1026" t="inlineStr">
        <is>
          <t>NORRKÖPING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45199-2023</t>
        </is>
      </c>
      <c r="B1027" s="1" t="n">
        <v>45191</v>
      </c>
      <c r="C1027" s="1" t="n">
        <v>45738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45309-2023</t>
        </is>
      </c>
      <c r="B1028" s="1" t="n">
        <v>45191</v>
      </c>
      <c r="C1028" s="1" t="n">
        <v>45738</v>
      </c>
      <c r="D1028" t="inlineStr">
        <is>
          <t>ÖSTERGÖTLANDS LÄN</t>
        </is>
      </c>
      <c r="E1028" t="inlineStr">
        <is>
          <t>NORRKÖPING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45075-2023</t>
        </is>
      </c>
      <c r="B1029" s="1" t="n">
        <v>45191</v>
      </c>
      <c r="C1029" s="1" t="n">
        <v>45738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45201-2023</t>
        </is>
      </c>
      <c r="B1030" s="1" t="n">
        <v>45191</v>
      </c>
      <c r="C1030" s="1" t="n">
        <v>45738</v>
      </c>
      <c r="D1030" t="inlineStr">
        <is>
          <t>ÖSTERGÖTLANDS LÄN</t>
        </is>
      </c>
      <c r="E1030" t="inlineStr">
        <is>
          <t>NORRKÖPING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45477-2023</t>
        </is>
      </c>
      <c r="B1031" s="1" t="n">
        <v>45191</v>
      </c>
      <c r="C1031" s="1" t="n">
        <v>45738</v>
      </c>
      <c r="D1031" t="inlineStr">
        <is>
          <t>ÖSTERGÖTLANDS LÄN</t>
        </is>
      </c>
      <c r="E1031" t="inlineStr">
        <is>
          <t>NORRKÖPING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45866-2023</t>
        </is>
      </c>
      <c r="B1032" s="1" t="n">
        <v>45195</v>
      </c>
      <c r="C1032" s="1" t="n">
        <v>45738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46014-2023</t>
        </is>
      </c>
      <c r="B1033" s="1" t="n">
        <v>45196</v>
      </c>
      <c r="C1033" s="1" t="n">
        <v>45738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47047-2023</t>
        </is>
      </c>
      <c r="B1034" s="1" t="n">
        <v>45201</v>
      </c>
      <c r="C1034" s="1" t="n">
        <v>45738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47051-2023</t>
        </is>
      </c>
      <c r="B1035" s="1" t="n">
        <v>45201</v>
      </c>
      <c r="C1035" s="1" t="n">
        <v>45738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47090-2023</t>
        </is>
      </c>
      <c r="B1036" s="1" t="n">
        <v>45201</v>
      </c>
      <c r="C1036" s="1" t="n">
        <v>45738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47345-2023</t>
        </is>
      </c>
      <c r="B1037" s="1" t="n">
        <v>45202</v>
      </c>
      <c r="C1037" s="1" t="n">
        <v>45738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47435-2023</t>
        </is>
      </c>
      <c r="B1038" s="1" t="n">
        <v>45202</v>
      </c>
      <c r="C1038" s="1" t="n">
        <v>45738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47768-2023</t>
        </is>
      </c>
      <c r="B1039" s="1" t="n">
        <v>45203</v>
      </c>
      <c r="C1039" s="1" t="n">
        <v>45738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47769-2023</t>
        </is>
      </c>
      <c r="B1040" s="1" t="n">
        <v>45203</v>
      </c>
      <c r="C1040" s="1" t="n">
        <v>45738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47846-2023</t>
        </is>
      </c>
      <c r="B1041" s="1" t="n">
        <v>45204</v>
      </c>
      <c r="C1041" s="1" t="n">
        <v>45738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47866-2023</t>
        </is>
      </c>
      <c r="B1042" s="1" t="n">
        <v>45204</v>
      </c>
      <c r="C1042" s="1" t="n">
        <v>45738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48092-2023</t>
        </is>
      </c>
      <c r="B1043" s="1" t="n">
        <v>45205</v>
      </c>
      <c r="C1043" s="1" t="n">
        <v>45738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48096-2023</t>
        </is>
      </c>
      <c r="B1044" s="1" t="n">
        <v>45205</v>
      </c>
      <c r="C1044" s="1" t="n">
        <v>45738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48122-2023</t>
        </is>
      </c>
      <c r="B1045" s="1" t="n">
        <v>45205</v>
      </c>
      <c r="C1045" s="1" t="n">
        <v>45738</v>
      </c>
      <c r="D1045" t="inlineStr">
        <is>
          <t>ÖSTERGÖTLANDS LÄN</t>
        </is>
      </c>
      <c r="E1045" t="inlineStr">
        <is>
          <t>NORRKÖPING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48093-2023</t>
        </is>
      </c>
      <c r="B1046" s="1" t="n">
        <v>45205</v>
      </c>
      <c r="C1046" s="1" t="n">
        <v>45738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48119-2023</t>
        </is>
      </c>
      <c r="B1047" s="1" t="n">
        <v>45205</v>
      </c>
      <c r="C1047" s="1" t="n">
        <v>45738</v>
      </c>
      <c r="D1047" t="inlineStr">
        <is>
          <t>ÖSTERGÖTLANDS LÄN</t>
        </is>
      </c>
      <c r="E1047" t="inlineStr">
        <is>
          <t>NORRKÖPING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48091-2023</t>
        </is>
      </c>
      <c r="B1048" s="1" t="n">
        <v>45205</v>
      </c>
      <c r="C1048" s="1" t="n">
        <v>45738</v>
      </c>
      <c r="D1048" t="inlineStr">
        <is>
          <t>ÖSTERGÖTLANDS LÄN</t>
        </is>
      </c>
      <c r="E1048" t="inlineStr">
        <is>
          <t>NORRKÖPING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48095-2023</t>
        </is>
      </c>
      <c r="B1049" s="1" t="n">
        <v>45205</v>
      </c>
      <c r="C1049" s="1" t="n">
        <v>45738</v>
      </c>
      <c r="D1049" t="inlineStr">
        <is>
          <t>ÖSTERGÖTLANDS LÄN</t>
        </is>
      </c>
      <c r="E1049" t="inlineStr">
        <is>
          <t>NORRKÖPING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48099-2023</t>
        </is>
      </c>
      <c r="B1050" s="1" t="n">
        <v>45205</v>
      </c>
      <c r="C1050" s="1" t="n">
        <v>45738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48121-2023</t>
        </is>
      </c>
      <c r="B1051" s="1" t="n">
        <v>45205</v>
      </c>
      <c r="C1051" s="1" t="n">
        <v>45738</v>
      </c>
      <c r="D1051" t="inlineStr">
        <is>
          <t>ÖSTERGÖTLANDS LÄN</t>
        </is>
      </c>
      <c r="E1051" t="inlineStr">
        <is>
          <t>NORRKÖPING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48125-2023</t>
        </is>
      </c>
      <c r="B1052" s="1" t="n">
        <v>45205</v>
      </c>
      <c r="C1052" s="1" t="n">
        <v>45738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45738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45738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45738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45738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45738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45738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45738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45738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45738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45738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45738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45738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45738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45738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45738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45738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45738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45738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45738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45738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45738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45738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45738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45738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45738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45738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45738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45738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45738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45738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45738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45738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45738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45738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45738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45738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45738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45738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45738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45738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45738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45738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45738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45738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45738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45738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45738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45738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45738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45738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45738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45738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60800-2023</t>
        </is>
      </c>
      <c r="B1105" s="1" t="n">
        <v>45259</v>
      </c>
      <c r="C1105" s="1" t="n">
        <v>45738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45738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60799-2023</t>
        </is>
      </c>
      <c r="B1107" s="1" t="n">
        <v>45259</v>
      </c>
      <c r="C1107" s="1" t="n">
        <v>45738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45738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61455-2023</t>
        </is>
      </c>
      <c r="B1109" s="1" t="n">
        <v>45264</v>
      </c>
      <c r="C1109" s="1" t="n">
        <v>45738</v>
      </c>
      <c r="D1109" t="inlineStr">
        <is>
          <t>ÖSTERGÖTLANDS LÄN</t>
        </is>
      </c>
      <c r="E1109" t="inlineStr">
        <is>
          <t>NORRKÖPING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45738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62001-2023</t>
        </is>
      </c>
      <c r="B1111" s="1" t="n">
        <v>45266</v>
      </c>
      <c r="C1111" s="1" t="n">
        <v>45738</v>
      </c>
      <c r="D1111" t="inlineStr">
        <is>
          <t>ÖSTERGÖTLANDS LÄN</t>
        </is>
      </c>
      <c r="E1111" t="inlineStr">
        <is>
          <t>NORRKÖPING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62028-2023</t>
        </is>
      </c>
      <c r="B1112" s="1" t="n">
        <v>45266</v>
      </c>
      <c r="C1112" s="1" t="n">
        <v>45738</v>
      </c>
      <c r="D1112" t="inlineStr">
        <is>
          <t>ÖSTERGÖTLANDS LÄN</t>
        </is>
      </c>
      <c r="E1112" t="inlineStr">
        <is>
          <t>NORRKÖPING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62033-2023</t>
        </is>
      </c>
      <c r="B1113" s="1" t="n">
        <v>45266</v>
      </c>
      <c r="C1113" s="1" t="n">
        <v>45738</v>
      </c>
      <c r="D1113" t="inlineStr">
        <is>
          <t>ÖSTERGÖTLANDS LÄN</t>
        </is>
      </c>
      <c r="E1113" t="inlineStr">
        <is>
          <t>NORRKÖPING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45738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45738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45738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45738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45738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45738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45738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62051-2023</t>
        </is>
      </c>
      <c r="B1121" s="1" t="n">
        <v>45266</v>
      </c>
      <c r="C1121" s="1" t="n">
        <v>45738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62060-2023</t>
        </is>
      </c>
      <c r="B1122" s="1" t="n">
        <v>45266</v>
      </c>
      <c r="C1122" s="1" t="n">
        <v>45738</v>
      </c>
      <c r="D1122" t="inlineStr">
        <is>
          <t>ÖSTERGÖTLANDS LÄN</t>
        </is>
      </c>
      <c r="E1122" t="inlineStr">
        <is>
          <t>NORRKÖPING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62064-2023</t>
        </is>
      </c>
      <c r="B1123" s="1" t="n">
        <v>45266</v>
      </c>
      <c r="C1123" s="1" t="n">
        <v>45738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45738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45738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62528-2023</t>
        </is>
      </c>
      <c r="B1126" s="1" t="n">
        <v>45268</v>
      </c>
      <c r="C1126" s="1" t="n">
        <v>45738</v>
      </c>
      <c r="D1126" t="inlineStr">
        <is>
          <t>ÖSTERGÖTLANDS LÄN</t>
        </is>
      </c>
      <c r="E1126" t="inlineStr">
        <is>
          <t>NORRKÖPING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45738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62475-2023</t>
        </is>
      </c>
      <c r="B1128" s="1" t="n">
        <v>45268</v>
      </c>
      <c r="C1128" s="1" t="n">
        <v>45738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45738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62875-2023</t>
        </is>
      </c>
      <c r="B1130" s="1" t="n">
        <v>45272</v>
      </c>
      <c r="C1130" s="1" t="n">
        <v>45738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45738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45738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63504-2023</t>
        </is>
      </c>
      <c r="B1133" s="1" t="n">
        <v>45274</v>
      </c>
      <c r="C1133" s="1" t="n">
        <v>45738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45738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63349-2023</t>
        </is>
      </c>
      <c r="B1135" s="1" t="n">
        <v>45274</v>
      </c>
      <c r="C1135" s="1" t="n">
        <v>45738</v>
      </c>
      <c r="D1135" t="inlineStr">
        <is>
          <t>ÖSTERGÖTLANDS LÄN</t>
        </is>
      </c>
      <c r="E1135" t="inlineStr">
        <is>
          <t>NORRKÖPING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45738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45738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45738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63918-2023</t>
        </is>
      </c>
      <c r="B1139" s="1" t="n">
        <v>45278</v>
      </c>
      <c r="C1139" s="1" t="n">
        <v>45738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63962-2023</t>
        </is>
      </c>
      <c r="B1140" s="1" t="n">
        <v>45278</v>
      </c>
      <c r="C1140" s="1" t="n">
        <v>45738</v>
      </c>
      <c r="D1140" t="inlineStr">
        <is>
          <t>ÖSTERGÖTLANDS LÄN</t>
        </is>
      </c>
      <c r="E1140" t="inlineStr">
        <is>
          <t>NORRKÖPING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45738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45738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45738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64420-2023</t>
        </is>
      </c>
      <c r="B1144" s="1" t="n">
        <v>45280</v>
      </c>
      <c r="C1144" s="1" t="n">
        <v>45738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45738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45738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64754-2023</t>
        </is>
      </c>
      <c r="B1147" s="1" t="n">
        <v>45281</v>
      </c>
      <c r="C1147" s="1" t="n">
        <v>45738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1402-2024</t>
        </is>
      </c>
      <c r="B1148" s="1" t="n">
        <v>45303</v>
      </c>
      <c r="C1148" s="1" t="n">
        <v>45738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1391-2024</t>
        </is>
      </c>
      <c r="B1149" s="1" t="n">
        <v>45303</v>
      </c>
      <c r="C1149" s="1" t="n">
        <v>45738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1613-2024</t>
        </is>
      </c>
      <c r="B1150" s="1" t="n">
        <v>45306</v>
      </c>
      <c r="C1150" s="1" t="n">
        <v>45738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2283-2024</t>
        </is>
      </c>
      <c r="B1151" s="1" t="n">
        <v>45310</v>
      </c>
      <c r="C1151" s="1" t="n">
        <v>45738</v>
      </c>
      <c r="D1151" t="inlineStr">
        <is>
          <t>ÖSTERGÖTLANDS LÄN</t>
        </is>
      </c>
      <c r="E1151" t="inlineStr">
        <is>
          <t>NORRKÖPING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2291-2024</t>
        </is>
      </c>
      <c r="B1152" s="1" t="n">
        <v>45310</v>
      </c>
      <c r="C1152" s="1" t="n">
        <v>45738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2285-2024</t>
        </is>
      </c>
      <c r="B1153" s="1" t="n">
        <v>45310</v>
      </c>
      <c r="C1153" s="1" t="n">
        <v>45738</v>
      </c>
      <c r="D1153" t="inlineStr">
        <is>
          <t>ÖSTERGÖTLANDS LÄN</t>
        </is>
      </c>
      <c r="E1153" t="inlineStr">
        <is>
          <t>NORRKÖPING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2289-2024</t>
        </is>
      </c>
      <c r="B1154" s="1" t="n">
        <v>45310</v>
      </c>
      <c r="C1154" s="1" t="n">
        <v>45738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2288-2024</t>
        </is>
      </c>
      <c r="B1155" s="1" t="n">
        <v>45310</v>
      </c>
      <c r="C1155" s="1" t="n">
        <v>45738</v>
      </c>
      <c r="D1155" t="inlineStr">
        <is>
          <t>ÖSTERGÖTLANDS LÄN</t>
        </is>
      </c>
      <c r="E1155" t="inlineStr">
        <is>
          <t>NORRKÖPING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2352-2024</t>
        </is>
      </c>
      <c r="B1156" s="1" t="n">
        <v>45310</v>
      </c>
      <c r="C1156" s="1" t="n">
        <v>45738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2320-2024</t>
        </is>
      </c>
      <c r="B1157" s="1" t="n">
        <v>45310</v>
      </c>
      <c r="C1157" s="1" t="n">
        <v>45738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2540-2024</t>
        </is>
      </c>
      <c r="B1158" s="1" t="n">
        <v>45313</v>
      </c>
      <c r="C1158" s="1" t="n">
        <v>45738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2731-2024</t>
        </is>
      </c>
      <c r="B1159" s="1" t="n">
        <v>45314</v>
      </c>
      <c r="C1159" s="1" t="n">
        <v>45738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2738-2024</t>
        </is>
      </c>
      <c r="B1160" s="1" t="n">
        <v>45314</v>
      </c>
      <c r="C1160" s="1" t="n">
        <v>45738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45738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45738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2720-2024</t>
        </is>
      </c>
      <c r="B1163" s="1" t="n">
        <v>45314</v>
      </c>
      <c r="C1163" s="1" t="n">
        <v>45738</v>
      </c>
      <c r="D1163" t="inlineStr">
        <is>
          <t>ÖSTERGÖTLANDS LÄN</t>
        </is>
      </c>
      <c r="E1163" t="inlineStr">
        <is>
          <t>NORRKÖPING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2753-2024</t>
        </is>
      </c>
      <c r="B1164" s="1" t="n">
        <v>45314</v>
      </c>
      <c r="C1164" s="1" t="n">
        <v>45738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45738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2846-2024</t>
        </is>
      </c>
      <c r="B1166" s="1" t="n">
        <v>45315</v>
      </c>
      <c r="C1166" s="1" t="n">
        <v>45738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3263-2024</t>
        </is>
      </c>
      <c r="B1167" s="1" t="n">
        <v>45317</v>
      </c>
      <c r="C1167" s="1" t="n">
        <v>45738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3327-2024</t>
        </is>
      </c>
      <c r="B1168" s="1" t="n">
        <v>45317</v>
      </c>
      <c r="C1168" s="1" t="n">
        <v>45738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45738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45738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45738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3586-2024</t>
        </is>
      </c>
      <c r="B1172" s="1" t="n">
        <v>45320</v>
      </c>
      <c r="C1172" s="1" t="n">
        <v>45738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4686-2024</t>
        </is>
      </c>
      <c r="B1173" s="1" t="n">
        <v>45328</v>
      </c>
      <c r="C1173" s="1" t="n">
        <v>45738</v>
      </c>
      <c r="D1173" t="inlineStr">
        <is>
          <t>ÖSTERGÖTLANDS LÄN</t>
        </is>
      </c>
      <c r="E1173" t="inlineStr">
        <is>
          <t>NORRKÖPING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5119-2024</t>
        </is>
      </c>
      <c r="B1174" s="1" t="n">
        <v>45330</v>
      </c>
      <c r="C1174" s="1" t="n">
        <v>45738</v>
      </c>
      <c r="D1174" t="inlineStr">
        <is>
          <t>ÖSTERGÖTLANDS LÄN</t>
        </is>
      </c>
      <c r="E1174" t="inlineStr">
        <is>
          <t>NORRKÖPING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5116-2024</t>
        </is>
      </c>
      <c r="B1175" s="1" t="n">
        <v>45330</v>
      </c>
      <c r="C1175" s="1" t="n">
        <v>45738</v>
      </c>
      <c r="D1175" t="inlineStr">
        <is>
          <t>ÖSTERGÖTLANDS LÄN</t>
        </is>
      </c>
      <c r="E1175" t="inlineStr">
        <is>
          <t>NORRKÖPING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45738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5118-2024</t>
        </is>
      </c>
      <c r="B1177" s="1" t="n">
        <v>45330</v>
      </c>
      <c r="C1177" s="1" t="n">
        <v>45738</v>
      </c>
      <c r="D1177" t="inlineStr">
        <is>
          <t>ÖSTERGÖTLANDS LÄN</t>
        </is>
      </c>
      <c r="E1177" t="inlineStr">
        <is>
          <t>NORRKÖPING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5522-2024</t>
        </is>
      </c>
      <c r="B1178" s="1" t="n">
        <v>45334</v>
      </c>
      <c r="C1178" s="1" t="n">
        <v>45738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5690-2024</t>
        </is>
      </c>
      <c r="B1179" s="1" t="n">
        <v>45334</v>
      </c>
      <c r="C1179" s="1" t="n">
        <v>45738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5572-2024</t>
        </is>
      </c>
      <c r="B1180" s="1" t="n">
        <v>45334</v>
      </c>
      <c r="C1180" s="1" t="n">
        <v>45738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5745-2024</t>
        </is>
      </c>
      <c r="B1181" s="1" t="n">
        <v>45335</v>
      </c>
      <c r="C1181" s="1" t="n">
        <v>45738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5941-2024</t>
        </is>
      </c>
      <c r="B1182" s="1" t="n">
        <v>45336</v>
      </c>
      <c r="C1182" s="1" t="n">
        <v>45738</v>
      </c>
      <c r="D1182" t="inlineStr">
        <is>
          <t>ÖSTERGÖTLANDS LÄN</t>
        </is>
      </c>
      <c r="E1182" t="inlineStr">
        <is>
          <t>NORRKÖPING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5938-2024</t>
        </is>
      </c>
      <c r="B1183" s="1" t="n">
        <v>45336</v>
      </c>
      <c r="C1183" s="1" t="n">
        <v>45738</v>
      </c>
      <c r="D1183" t="inlineStr">
        <is>
          <t>ÖSTERGÖTLANDS LÄN</t>
        </is>
      </c>
      <c r="E1183" t="inlineStr">
        <is>
          <t>NORRKÖPING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6415-2024</t>
        </is>
      </c>
      <c r="B1184" s="1" t="n">
        <v>45338</v>
      </c>
      <c r="C1184" s="1" t="n">
        <v>45738</v>
      </c>
      <c r="D1184" t="inlineStr">
        <is>
          <t>ÖSTERGÖTLANDS LÄN</t>
        </is>
      </c>
      <c r="E1184" t="inlineStr">
        <is>
          <t>NORRKÖPING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6408-2024</t>
        </is>
      </c>
      <c r="B1185" s="1" t="n">
        <v>45338</v>
      </c>
      <c r="C1185" s="1" t="n">
        <v>45738</v>
      </c>
      <c r="D1185" t="inlineStr">
        <is>
          <t>ÖSTERGÖTLANDS LÄN</t>
        </is>
      </c>
      <c r="E1185" t="inlineStr">
        <is>
          <t>NORRKÖPING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6489-2024</t>
        </is>
      </c>
      <c r="B1186" s="1" t="n">
        <v>45339</v>
      </c>
      <c r="C1186" s="1" t="n">
        <v>45738</v>
      </c>
      <c r="D1186" t="inlineStr">
        <is>
          <t>ÖSTERGÖTLANDS LÄN</t>
        </is>
      </c>
      <c r="E1186" t="inlineStr">
        <is>
          <t>NORRKÖPING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6486-2024</t>
        </is>
      </c>
      <c r="B1187" s="1" t="n">
        <v>45339</v>
      </c>
      <c r="C1187" s="1" t="n">
        <v>45738</v>
      </c>
      <c r="D1187" t="inlineStr">
        <is>
          <t>ÖSTERGÖTLANDS LÄN</t>
        </is>
      </c>
      <c r="E1187" t="inlineStr">
        <is>
          <t>NORRKÖPING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6490-2024</t>
        </is>
      </c>
      <c r="B1188" s="1" t="n">
        <v>45339</v>
      </c>
      <c r="C1188" s="1" t="n">
        <v>45738</v>
      </c>
      <c r="D1188" t="inlineStr">
        <is>
          <t>ÖSTERGÖTLANDS LÄN</t>
        </is>
      </c>
      <c r="E1188" t="inlineStr">
        <is>
          <t>NORRKÖPING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45738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45738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7887-2024</t>
        </is>
      </c>
      <c r="B1191" s="1" t="n">
        <v>45350</v>
      </c>
      <c r="C1191" s="1" t="n">
        <v>45738</v>
      </c>
      <c r="D1191" t="inlineStr">
        <is>
          <t>ÖSTERGÖTLANDS LÄN</t>
        </is>
      </c>
      <c r="E1191" t="inlineStr">
        <is>
          <t>NORRKÖPING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7977-2024</t>
        </is>
      </c>
      <c r="B1192" s="1" t="n">
        <v>45350</v>
      </c>
      <c r="C1192" s="1" t="n">
        <v>45738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8314-2024</t>
        </is>
      </c>
      <c r="B1193" s="1" t="n">
        <v>45350</v>
      </c>
      <c r="C1193" s="1" t="n">
        <v>45738</v>
      </c>
      <c r="D1193" t="inlineStr">
        <is>
          <t>ÖSTERGÖTLANDS LÄN</t>
        </is>
      </c>
      <c r="E1193" t="inlineStr">
        <is>
          <t>NORRKÖPING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8309-2024</t>
        </is>
      </c>
      <c r="B1194" s="1" t="n">
        <v>45350</v>
      </c>
      <c r="C1194" s="1" t="n">
        <v>45738</v>
      </c>
      <c r="D1194" t="inlineStr">
        <is>
          <t>ÖSTERGÖTLANDS LÄN</t>
        </is>
      </c>
      <c r="E1194" t="inlineStr">
        <is>
          <t>NORRKÖPING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8785-2024</t>
        </is>
      </c>
      <c r="B1195" s="1" t="n">
        <v>45356</v>
      </c>
      <c r="C1195" s="1" t="n">
        <v>45738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8805-2024</t>
        </is>
      </c>
      <c r="B1196" s="1" t="n">
        <v>45356</v>
      </c>
      <c r="C1196" s="1" t="n">
        <v>45738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8810-2024</t>
        </is>
      </c>
      <c r="B1197" s="1" t="n">
        <v>45356</v>
      </c>
      <c r="C1197" s="1" t="n">
        <v>45738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8806-2024</t>
        </is>
      </c>
      <c r="B1198" s="1" t="n">
        <v>45356</v>
      </c>
      <c r="C1198" s="1" t="n">
        <v>45738</v>
      </c>
      <c r="D1198" t="inlineStr">
        <is>
          <t>ÖSTERGÖTLANDS LÄN</t>
        </is>
      </c>
      <c r="E1198" t="inlineStr">
        <is>
          <t>NORRKÖPING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8811-2024</t>
        </is>
      </c>
      <c r="B1199" s="1" t="n">
        <v>45356</v>
      </c>
      <c r="C1199" s="1" t="n">
        <v>45738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8815-2024</t>
        </is>
      </c>
      <c r="B1200" s="1" t="n">
        <v>45356</v>
      </c>
      <c r="C1200" s="1" t="n">
        <v>45738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8843-2024</t>
        </is>
      </c>
      <c r="B1201" s="1" t="n">
        <v>45356</v>
      </c>
      <c r="C1201" s="1" t="n">
        <v>45738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8840-2024</t>
        </is>
      </c>
      <c r="B1202" s="1" t="n">
        <v>45356</v>
      </c>
      <c r="C1202" s="1" t="n">
        <v>45738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9534-2024</t>
        </is>
      </c>
      <c r="B1203" s="1" t="n">
        <v>45359</v>
      </c>
      <c r="C1203" s="1" t="n">
        <v>45738</v>
      </c>
      <c r="D1203" t="inlineStr">
        <is>
          <t>ÖSTERGÖTLANDS LÄN</t>
        </is>
      </c>
      <c r="E1203" t="inlineStr">
        <is>
          <t>NORRKÖPING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9528-2024</t>
        </is>
      </c>
      <c r="B1204" s="1" t="n">
        <v>45359</v>
      </c>
      <c r="C1204" s="1" t="n">
        <v>45738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9531-2024</t>
        </is>
      </c>
      <c r="B1205" s="1" t="n">
        <v>45359</v>
      </c>
      <c r="C1205" s="1" t="n">
        <v>45738</v>
      </c>
      <c r="D1205" t="inlineStr">
        <is>
          <t>ÖSTERGÖTLANDS LÄN</t>
        </is>
      </c>
      <c r="E1205" t="inlineStr">
        <is>
          <t>NORRKÖPING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9723-2024</t>
        </is>
      </c>
      <c r="B1206" s="1" t="n">
        <v>45362</v>
      </c>
      <c r="C1206" s="1" t="n">
        <v>45738</v>
      </c>
      <c r="D1206" t="inlineStr">
        <is>
          <t>ÖSTERGÖTLANDS LÄN</t>
        </is>
      </c>
      <c r="E1206" t="inlineStr">
        <is>
          <t>NORRKÖPING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9727-2024</t>
        </is>
      </c>
      <c r="B1207" s="1" t="n">
        <v>45362</v>
      </c>
      <c r="C1207" s="1" t="n">
        <v>45738</v>
      </c>
      <c r="D1207" t="inlineStr">
        <is>
          <t>ÖSTERGÖTLANDS LÄN</t>
        </is>
      </c>
      <c r="E1207" t="inlineStr">
        <is>
          <t>NORRKÖPING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9728-2024</t>
        </is>
      </c>
      <c r="B1208" s="1" t="n">
        <v>45362</v>
      </c>
      <c r="C1208" s="1" t="n">
        <v>45738</v>
      </c>
      <c r="D1208" t="inlineStr">
        <is>
          <t>ÖSTERGÖTLANDS LÄN</t>
        </is>
      </c>
      <c r="E1208" t="inlineStr">
        <is>
          <t>NORRKÖPING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9920-2024</t>
        </is>
      </c>
      <c r="B1209" s="1" t="n">
        <v>45363</v>
      </c>
      <c r="C1209" s="1" t="n">
        <v>45738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9935-2024</t>
        </is>
      </c>
      <c r="B1210" s="1" t="n">
        <v>45363</v>
      </c>
      <c r="C1210" s="1" t="n">
        <v>45738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9943-2024</t>
        </is>
      </c>
      <c r="B1211" s="1" t="n">
        <v>45363</v>
      </c>
      <c r="C1211" s="1" t="n">
        <v>45738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9846-2024</t>
        </is>
      </c>
      <c r="B1212" s="1" t="n">
        <v>45363</v>
      </c>
      <c r="C1212" s="1" t="n">
        <v>45738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HYPERLINK("https://klasma.github.io/Logging_0581/knärot/A 9846-2024 karta knärot.png", "A 9846-2024")</f>
        <v/>
      </c>
      <c r="V1212">
        <f>HYPERLINK("https://klasma.github.io/Logging_0581/klagomål/A 9846-2024 FSC-klagomål.docx", "A 9846-2024")</f>
        <v/>
      </c>
      <c r="W1212">
        <f>HYPERLINK("https://klasma.github.io/Logging_0581/klagomålsmail/A 9846-2024 FSC-klagomål mail.docx", "A 9846-2024")</f>
        <v/>
      </c>
      <c r="X1212">
        <f>HYPERLINK("https://klasma.github.io/Logging_0581/tillsyn/A 9846-2024 tillsynsbegäran.docx", "A 9846-2024")</f>
        <v/>
      </c>
      <c r="Y1212">
        <f>HYPERLINK("https://klasma.github.io/Logging_0581/tillsynsmail/A 9846-2024 tillsynsbegäran mail.docx", "A 9846-2024")</f>
        <v/>
      </c>
    </row>
    <row r="1213" ht="15" customHeight="1">
      <c r="A1213" t="inlineStr">
        <is>
          <t>A 9941-2024</t>
        </is>
      </c>
      <c r="B1213" s="1" t="n">
        <v>45363</v>
      </c>
      <c r="C1213" s="1" t="n">
        <v>45738</v>
      </c>
      <c r="D1213" t="inlineStr">
        <is>
          <t>ÖSTERGÖTLANDS LÄN</t>
        </is>
      </c>
      <c r="E1213" t="inlineStr">
        <is>
          <t>NORRKÖPING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9953-2024</t>
        </is>
      </c>
      <c r="B1214" s="1" t="n">
        <v>45363</v>
      </c>
      <c r="C1214" s="1" t="n">
        <v>45738</v>
      </c>
      <c r="D1214" t="inlineStr">
        <is>
          <t>ÖSTERGÖTLANDS LÄN</t>
        </is>
      </c>
      <c r="E1214" t="inlineStr">
        <is>
          <t>NORRKÖPING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10393-2024</t>
        </is>
      </c>
      <c r="B1215" s="1" t="n">
        <v>45365</v>
      </c>
      <c r="C1215" s="1" t="n">
        <v>45738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10788-2024</t>
        </is>
      </c>
      <c r="B1216" s="1" t="n">
        <v>45369</v>
      </c>
      <c r="C1216" s="1" t="n">
        <v>45738</v>
      </c>
      <c r="D1216" t="inlineStr">
        <is>
          <t>ÖSTERGÖTLANDS LÄN</t>
        </is>
      </c>
      <c r="E1216" t="inlineStr">
        <is>
          <t>NORRKÖPING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10796-2024</t>
        </is>
      </c>
      <c r="B1217" s="1" t="n">
        <v>45369</v>
      </c>
      <c r="C1217" s="1" t="n">
        <v>45738</v>
      </c>
      <c r="D1217" t="inlineStr">
        <is>
          <t>ÖSTERGÖTLANDS LÄN</t>
        </is>
      </c>
      <c r="E1217" t="inlineStr">
        <is>
          <t>NORRKÖPING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10834-2024</t>
        </is>
      </c>
      <c r="B1218" s="1" t="n">
        <v>45369</v>
      </c>
      <c r="C1218" s="1" t="n">
        <v>45738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10766-2024</t>
        </is>
      </c>
      <c r="B1219" s="1" t="n">
        <v>45369</v>
      </c>
      <c r="C1219" s="1" t="n">
        <v>45738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10791-2024</t>
        </is>
      </c>
      <c r="B1220" s="1" t="n">
        <v>45369</v>
      </c>
      <c r="C1220" s="1" t="n">
        <v>45738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10798-2024</t>
        </is>
      </c>
      <c r="B1221" s="1" t="n">
        <v>45369</v>
      </c>
      <c r="C1221" s="1" t="n">
        <v>45738</v>
      </c>
      <c r="D1221" t="inlineStr">
        <is>
          <t>ÖSTERGÖTLANDS LÄN</t>
        </is>
      </c>
      <c r="E1221" t="inlineStr">
        <is>
          <t>NORRKÖPING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10765-2024</t>
        </is>
      </c>
      <c r="B1222" s="1" t="n">
        <v>45369</v>
      </c>
      <c r="C1222" s="1" t="n">
        <v>45738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10989-2024</t>
        </is>
      </c>
      <c r="B1223" s="1" t="n">
        <v>45370</v>
      </c>
      <c r="C1223" s="1" t="n">
        <v>45738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11737-2024</t>
        </is>
      </c>
      <c r="B1224" s="1" t="n">
        <v>45373</v>
      </c>
      <c r="C1224" s="1" t="n">
        <v>45738</v>
      </c>
      <c r="D1224" t="inlineStr">
        <is>
          <t>ÖSTERGÖTLANDS LÄN</t>
        </is>
      </c>
      <c r="E1224" t="inlineStr">
        <is>
          <t>NORRKÖPING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11739-2024</t>
        </is>
      </c>
      <c r="B1225" s="1" t="n">
        <v>45373</v>
      </c>
      <c r="C1225" s="1" t="n">
        <v>45738</v>
      </c>
      <c r="D1225" t="inlineStr">
        <is>
          <t>ÖSTERGÖTLANDS LÄN</t>
        </is>
      </c>
      <c r="E1225" t="inlineStr">
        <is>
          <t>NORRKÖPING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11641-2024</t>
        </is>
      </c>
      <c r="B1226" s="1" t="n">
        <v>45373</v>
      </c>
      <c r="C1226" s="1" t="n">
        <v>45738</v>
      </c>
      <c r="D1226" t="inlineStr">
        <is>
          <t>ÖSTERGÖTLANDS LÄN</t>
        </is>
      </c>
      <c r="E1226" t="inlineStr">
        <is>
          <t>NORRKÖPING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11564-2024</t>
        </is>
      </c>
      <c r="B1227" s="1" t="n">
        <v>45373</v>
      </c>
      <c r="C1227" s="1" t="n">
        <v>45738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11568-2024</t>
        </is>
      </c>
      <c r="B1228" s="1" t="n">
        <v>45373</v>
      </c>
      <c r="C1228" s="1" t="n">
        <v>45738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11741-2024</t>
        </is>
      </c>
      <c r="B1229" s="1" t="n">
        <v>45373</v>
      </c>
      <c r="C1229" s="1" t="n">
        <v>45738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11840-2024</t>
        </is>
      </c>
      <c r="B1230" s="1" t="n">
        <v>45376</v>
      </c>
      <c r="C1230" s="1" t="n">
        <v>45738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11913-2024</t>
        </is>
      </c>
      <c r="B1231" s="1" t="n">
        <v>45376</v>
      </c>
      <c r="C1231" s="1" t="n">
        <v>45738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11915-2024</t>
        </is>
      </c>
      <c r="B1232" s="1" t="n">
        <v>45376</v>
      </c>
      <c r="C1232" s="1" t="n">
        <v>45738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11935-2024</t>
        </is>
      </c>
      <c r="B1233" s="1" t="n">
        <v>45376</v>
      </c>
      <c r="C1233" s="1" t="n">
        <v>45738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12344-2024</t>
        </is>
      </c>
      <c r="B1234" s="1" t="n">
        <v>45378</v>
      </c>
      <c r="C1234" s="1" t="n">
        <v>45738</v>
      </c>
      <c r="D1234" t="inlineStr">
        <is>
          <t>ÖSTERGÖTLANDS LÄN</t>
        </is>
      </c>
      <c r="E1234" t="inlineStr">
        <is>
          <t>NORRKÖPING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12384-2024</t>
        </is>
      </c>
      <c r="B1235" s="1" t="n">
        <v>45379</v>
      </c>
      <c r="C1235" s="1" t="n">
        <v>45738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12542-2024</t>
        </is>
      </c>
      <c r="B1236" s="1" t="n">
        <v>45379</v>
      </c>
      <c r="C1236" s="1" t="n">
        <v>45738</v>
      </c>
      <c r="D1236" t="inlineStr">
        <is>
          <t>ÖSTERGÖTLANDS LÄN</t>
        </is>
      </c>
      <c r="E1236" t="inlineStr">
        <is>
          <t>NORRKÖPING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12538-2024</t>
        </is>
      </c>
      <c r="B1237" s="1" t="n">
        <v>45379</v>
      </c>
      <c r="C1237" s="1" t="n">
        <v>45738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12441-2024</t>
        </is>
      </c>
      <c r="B1238" s="1" t="n">
        <v>45379</v>
      </c>
      <c r="C1238" s="1" t="n">
        <v>45738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12484-2024</t>
        </is>
      </c>
      <c r="B1239" s="1" t="n">
        <v>45379</v>
      </c>
      <c r="C1239" s="1" t="n">
        <v>45738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12941-2024</t>
        </is>
      </c>
      <c r="B1240" s="1" t="n">
        <v>45385</v>
      </c>
      <c r="C1240" s="1" t="n">
        <v>45738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Allmännings- och besparingsskogar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13067-2024</t>
        </is>
      </c>
      <c r="B1241" s="1" t="n">
        <v>45385</v>
      </c>
      <c r="C1241" s="1" t="n">
        <v>45738</v>
      </c>
      <c r="D1241" t="inlineStr">
        <is>
          <t>ÖSTERGÖTLANDS LÄN</t>
        </is>
      </c>
      <c r="E1241" t="inlineStr">
        <is>
          <t>NORRKÖPING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13099-2024</t>
        </is>
      </c>
      <c r="B1242" s="1" t="n">
        <v>45385</v>
      </c>
      <c r="C1242" s="1" t="n">
        <v>45738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13133-2024</t>
        </is>
      </c>
      <c r="B1243" s="1" t="n">
        <v>45386</v>
      </c>
      <c r="C1243" s="1" t="n">
        <v>45738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13285-2024</t>
        </is>
      </c>
      <c r="B1244" s="1" t="n">
        <v>45386</v>
      </c>
      <c r="C1244" s="1" t="n">
        <v>45738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13146-2024</t>
        </is>
      </c>
      <c r="B1245" s="1" t="n">
        <v>45386</v>
      </c>
      <c r="C1245" s="1" t="n">
        <v>45738</v>
      </c>
      <c r="D1245" t="inlineStr">
        <is>
          <t>ÖSTERGÖTLANDS LÄN</t>
        </is>
      </c>
      <c r="E1245" t="inlineStr">
        <is>
          <t>NORRKÖPING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13152-2024</t>
        </is>
      </c>
      <c r="B1246" s="1" t="n">
        <v>45386</v>
      </c>
      <c r="C1246" s="1" t="n">
        <v>45738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14459-2024</t>
        </is>
      </c>
      <c r="B1247" s="1" t="n">
        <v>45394</v>
      </c>
      <c r="C1247" s="1" t="n">
        <v>45738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14679-2024</t>
        </is>
      </c>
      <c r="B1248" s="1" t="n">
        <v>45396</v>
      </c>
      <c r="C1248" s="1" t="n">
        <v>45738</v>
      </c>
      <c r="D1248" t="inlineStr">
        <is>
          <t>ÖSTERGÖTLANDS LÄN</t>
        </is>
      </c>
      <c r="E1248" t="inlineStr">
        <is>
          <t>NORRKÖPING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15005-2024</t>
        </is>
      </c>
      <c r="B1249" s="1" t="n">
        <v>45399</v>
      </c>
      <c r="C1249" s="1" t="n">
        <v>45738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15079-2024</t>
        </is>
      </c>
      <c r="B1250" s="1" t="n">
        <v>45399</v>
      </c>
      <c r="C1250" s="1" t="n">
        <v>45738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15030-2024</t>
        </is>
      </c>
      <c r="B1251" s="1" t="n">
        <v>45399</v>
      </c>
      <c r="C1251" s="1" t="n">
        <v>45738</v>
      </c>
      <c r="D1251" t="inlineStr">
        <is>
          <t>ÖSTERGÖTLANDS LÄN</t>
        </is>
      </c>
      <c r="E1251" t="inlineStr">
        <is>
          <t>NORRKÖPING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15038-2024</t>
        </is>
      </c>
      <c r="B1252" s="1" t="n">
        <v>45399</v>
      </c>
      <c r="C1252" s="1" t="n">
        <v>45738</v>
      </c>
      <c r="D1252" t="inlineStr">
        <is>
          <t>ÖSTERGÖTLANDS LÄN</t>
        </is>
      </c>
      <c r="E1252" t="inlineStr">
        <is>
          <t>NORRKÖPING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15043-2024</t>
        </is>
      </c>
      <c r="B1253" s="1" t="n">
        <v>45399</v>
      </c>
      <c r="C1253" s="1" t="n">
        <v>45738</v>
      </c>
      <c r="D1253" t="inlineStr">
        <is>
          <t>ÖSTERGÖTLANDS LÄN</t>
        </is>
      </c>
      <c r="E1253" t="inlineStr">
        <is>
          <t>NORRKÖPING</t>
        </is>
      </c>
      <c r="G1253" t="n">
        <v>14.2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15106-2024</t>
        </is>
      </c>
      <c r="B1254" s="1" t="n">
        <v>45399</v>
      </c>
      <c r="C1254" s="1" t="n">
        <v>45738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15082-2024</t>
        </is>
      </c>
      <c r="B1255" s="1" t="n">
        <v>45399</v>
      </c>
      <c r="C1255" s="1" t="n">
        <v>45738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15186-2024</t>
        </is>
      </c>
      <c r="B1256" s="1" t="n">
        <v>45400</v>
      </c>
      <c r="C1256" s="1" t="n">
        <v>45738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15190-2024</t>
        </is>
      </c>
      <c r="B1257" s="1" t="n">
        <v>45400</v>
      </c>
      <c r="C1257" s="1" t="n">
        <v>45738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15253-2024</t>
        </is>
      </c>
      <c r="B1258" s="1" t="n">
        <v>45400</v>
      </c>
      <c r="C1258" s="1" t="n">
        <v>45738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15269-2024</t>
        </is>
      </c>
      <c r="B1259" s="1" t="n">
        <v>45400</v>
      </c>
      <c r="C1259" s="1" t="n">
        <v>45738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15459-2024</t>
        </is>
      </c>
      <c r="B1260" s="1" t="n">
        <v>45401</v>
      </c>
      <c r="C1260" s="1" t="n">
        <v>45738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15602-2024</t>
        </is>
      </c>
      <c r="B1261" s="1" t="n">
        <v>45401</v>
      </c>
      <c r="C1261" s="1" t="n">
        <v>45738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15635-2024</t>
        </is>
      </c>
      <c r="B1262" s="1" t="n">
        <v>45403</v>
      </c>
      <c r="C1262" s="1" t="n">
        <v>45738</v>
      </c>
      <c r="D1262" t="inlineStr">
        <is>
          <t>ÖSTERGÖTLANDS LÄN</t>
        </is>
      </c>
      <c r="E1262" t="inlineStr">
        <is>
          <t>NORRKÖPING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15634-2024</t>
        </is>
      </c>
      <c r="B1263" s="1" t="n">
        <v>45403</v>
      </c>
      <c r="C1263" s="1" t="n">
        <v>45738</v>
      </c>
      <c r="D1263" t="inlineStr">
        <is>
          <t>ÖSTERGÖTLANDS LÄN</t>
        </is>
      </c>
      <c r="E1263" t="inlineStr">
        <is>
          <t>NORRKÖPING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15636-2024</t>
        </is>
      </c>
      <c r="B1264" s="1" t="n">
        <v>45403</v>
      </c>
      <c r="C1264" s="1" t="n">
        <v>45738</v>
      </c>
      <c r="D1264" t="inlineStr">
        <is>
          <t>ÖSTERGÖTLANDS LÄN</t>
        </is>
      </c>
      <c r="E1264" t="inlineStr">
        <is>
          <t>NORRKÖPING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15640-2024</t>
        </is>
      </c>
      <c r="B1265" s="1" t="n">
        <v>45403</v>
      </c>
      <c r="C1265" s="1" t="n">
        <v>45738</v>
      </c>
      <c r="D1265" t="inlineStr">
        <is>
          <t>ÖSTERGÖTLANDS LÄN</t>
        </is>
      </c>
      <c r="E1265" t="inlineStr">
        <is>
          <t>NORRKÖPING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15724-2024</t>
        </is>
      </c>
      <c r="B1266" s="1" t="n">
        <v>45404</v>
      </c>
      <c r="C1266" s="1" t="n">
        <v>45738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15868-2024</t>
        </is>
      </c>
      <c r="B1267" s="1" t="n">
        <v>45405</v>
      </c>
      <c r="C1267" s="1" t="n">
        <v>45738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15869-2024</t>
        </is>
      </c>
      <c r="B1268" s="1" t="n">
        <v>45405</v>
      </c>
      <c r="C1268" s="1" t="n">
        <v>45738</v>
      </c>
      <c r="D1268" t="inlineStr">
        <is>
          <t>ÖSTERGÖTLANDS LÄN</t>
        </is>
      </c>
      <c r="E1268" t="inlineStr">
        <is>
          <t>NORRKÖPING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15870-2024</t>
        </is>
      </c>
      <c r="B1269" s="1" t="n">
        <v>45405</v>
      </c>
      <c r="C1269" s="1" t="n">
        <v>45738</v>
      </c>
      <c r="D1269" t="inlineStr">
        <is>
          <t>ÖSTERGÖTLANDS LÄN</t>
        </is>
      </c>
      <c r="E1269" t="inlineStr">
        <is>
          <t>NORRKÖPING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16484-2024</t>
        </is>
      </c>
      <c r="B1270" s="1" t="n">
        <v>45408</v>
      </c>
      <c r="C1270" s="1" t="n">
        <v>45738</v>
      </c>
      <c r="D1270" t="inlineStr">
        <is>
          <t>ÖSTERGÖTLANDS LÄN</t>
        </is>
      </c>
      <c r="E1270" t="inlineStr">
        <is>
          <t>NORRKÖPING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16628-2024</t>
        </is>
      </c>
      <c r="B1271" s="1" t="n">
        <v>45408</v>
      </c>
      <c r="C1271" s="1" t="n">
        <v>45738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16582-2024</t>
        </is>
      </c>
      <c r="B1272" s="1" t="n">
        <v>45408</v>
      </c>
      <c r="C1272" s="1" t="n">
        <v>45738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16590-2024</t>
        </is>
      </c>
      <c r="B1273" s="1" t="n">
        <v>45408</v>
      </c>
      <c r="C1273" s="1" t="n">
        <v>45738</v>
      </c>
      <c r="D1273" t="inlineStr">
        <is>
          <t>ÖSTERGÖTLANDS LÄN</t>
        </is>
      </c>
      <c r="E1273" t="inlineStr">
        <is>
          <t>NORRKÖPING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16606-2024</t>
        </is>
      </c>
      <c r="B1274" s="1" t="n">
        <v>45408</v>
      </c>
      <c r="C1274" s="1" t="n">
        <v>45738</v>
      </c>
      <c r="D1274" t="inlineStr">
        <is>
          <t>ÖSTERGÖTLANDS LÄN</t>
        </is>
      </c>
      <c r="E1274" t="inlineStr">
        <is>
          <t>NORRKÖPING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16925-2024</t>
        </is>
      </c>
      <c r="B1275" s="1" t="n">
        <v>45411</v>
      </c>
      <c r="C1275" s="1" t="n">
        <v>45738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17108-2024</t>
        </is>
      </c>
      <c r="B1276" s="1" t="n">
        <v>45412</v>
      </c>
      <c r="C1276" s="1" t="n">
        <v>45738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17248-2024</t>
        </is>
      </c>
      <c r="B1277" s="1" t="n">
        <v>45414</v>
      </c>
      <c r="C1277" s="1" t="n">
        <v>45738</v>
      </c>
      <c r="D1277" t="inlineStr">
        <is>
          <t>ÖSTERGÖTLANDS LÄN</t>
        </is>
      </c>
      <c r="E1277" t="inlineStr">
        <is>
          <t>NORRKÖPING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17249-2024</t>
        </is>
      </c>
      <c r="B1278" s="1" t="n">
        <v>45414</v>
      </c>
      <c r="C1278" s="1" t="n">
        <v>45738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17226-2024</t>
        </is>
      </c>
      <c r="B1279" s="1" t="n">
        <v>45414</v>
      </c>
      <c r="C1279" s="1" t="n">
        <v>45738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17327-2024</t>
        </is>
      </c>
      <c r="B1280" s="1" t="n">
        <v>45414</v>
      </c>
      <c r="C1280" s="1" t="n">
        <v>45738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17332-2024</t>
        </is>
      </c>
      <c r="B1281" s="1" t="n">
        <v>45414</v>
      </c>
      <c r="C1281" s="1" t="n">
        <v>45738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17520-2024</t>
        </is>
      </c>
      <c r="B1282" s="1" t="n">
        <v>45415</v>
      </c>
      <c r="C1282" s="1" t="n">
        <v>45738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17689-2024</t>
        </is>
      </c>
      <c r="B1283" s="1" t="n">
        <v>45418</v>
      </c>
      <c r="C1283" s="1" t="n">
        <v>45738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17696-2024</t>
        </is>
      </c>
      <c r="B1284" s="1" t="n">
        <v>45418</v>
      </c>
      <c r="C1284" s="1" t="n">
        <v>45738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17713-2024</t>
        </is>
      </c>
      <c r="B1285" s="1" t="n">
        <v>45418</v>
      </c>
      <c r="C1285" s="1" t="n">
        <v>45738</v>
      </c>
      <c r="D1285" t="inlineStr">
        <is>
          <t>ÖSTERGÖTLANDS LÄN</t>
        </is>
      </c>
      <c r="E1285" t="inlineStr">
        <is>
          <t>NORRKÖPING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18590-2024</t>
        </is>
      </c>
      <c r="B1286" s="1" t="n">
        <v>45425</v>
      </c>
      <c r="C1286" s="1" t="n">
        <v>45738</v>
      </c>
      <c r="D1286" t="inlineStr">
        <is>
          <t>ÖSTERGÖTLANDS LÄN</t>
        </is>
      </c>
      <c r="E1286" t="inlineStr">
        <is>
          <t>NORRKÖPING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18592-2024</t>
        </is>
      </c>
      <c r="B1287" s="1" t="n">
        <v>45425</v>
      </c>
      <c r="C1287" s="1" t="n">
        <v>45738</v>
      </c>
      <c r="D1287" t="inlineStr">
        <is>
          <t>ÖSTERGÖTLANDS LÄN</t>
        </is>
      </c>
      <c r="E1287" t="inlineStr">
        <is>
          <t>NORRKÖPING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18597-2024</t>
        </is>
      </c>
      <c r="B1288" s="1" t="n">
        <v>45425</v>
      </c>
      <c r="C1288" s="1" t="n">
        <v>45738</v>
      </c>
      <c r="D1288" t="inlineStr">
        <is>
          <t>ÖSTERGÖTLANDS LÄN</t>
        </is>
      </c>
      <c r="E1288" t="inlineStr">
        <is>
          <t>NORRKÖPING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18591-2024</t>
        </is>
      </c>
      <c r="B1289" s="1" t="n">
        <v>45425</v>
      </c>
      <c r="C1289" s="1" t="n">
        <v>45738</v>
      </c>
      <c r="D1289" t="inlineStr">
        <is>
          <t>ÖSTERGÖTLANDS LÄN</t>
        </is>
      </c>
      <c r="E1289" t="inlineStr">
        <is>
          <t>NORRKÖPING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18598-2024</t>
        </is>
      </c>
      <c r="B1290" s="1" t="n">
        <v>45426</v>
      </c>
      <c r="C1290" s="1" t="n">
        <v>45738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19191-2024</t>
        </is>
      </c>
      <c r="B1291" s="1" t="n">
        <v>45428</v>
      </c>
      <c r="C1291" s="1" t="n">
        <v>45738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19137-2024</t>
        </is>
      </c>
      <c r="B1292" s="1" t="n">
        <v>45428</v>
      </c>
      <c r="C1292" s="1" t="n">
        <v>45738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19195-2024</t>
        </is>
      </c>
      <c r="B1293" s="1" t="n">
        <v>45428</v>
      </c>
      <c r="C1293" s="1" t="n">
        <v>45738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19284-2024</t>
        </is>
      </c>
      <c r="B1294" s="1" t="n">
        <v>45428</v>
      </c>
      <c r="C1294" s="1" t="n">
        <v>45738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19702-2024</t>
        </is>
      </c>
      <c r="B1295" s="1" t="n">
        <v>45432</v>
      </c>
      <c r="C1295" s="1" t="n">
        <v>45738</v>
      </c>
      <c r="D1295" t="inlineStr">
        <is>
          <t>ÖSTERGÖTLANDS LÄN</t>
        </is>
      </c>
      <c r="E1295" t="inlineStr">
        <is>
          <t>NORRKÖPING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19739-2024</t>
        </is>
      </c>
      <c r="B1296" s="1" t="n">
        <v>45432</v>
      </c>
      <c r="C1296" s="1" t="n">
        <v>45738</v>
      </c>
      <c r="D1296" t="inlineStr">
        <is>
          <t>ÖSTERGÖTLANDS LÄN</t>
        </is>
      </c>
      <c r="E1296" t="inlineStr">
        <is>
          <t>NORRKÖPING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19700-2024</t>
        </is>
      </c>
      <c r="B1297" s="1" t="n">
        <v>45432</v>
      </c>
      <c r="C1297" s="1" t="n">
        <v>45738</v>
      </c>
      <c r="D1297" t="inlineStr">
        <is>
          <t>ÖSTERGÖTLANDS LÄN</t>
        </is>
      </c>
      <c r="E1297" t="inlineStr">
        <is>
          <t>NORRKÖPING</t>
        </is>
      </c>
      <c r="G1297" t="n">
        <v>16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19967-2024</t>
        </is>
      </c>
      <c r="B1298" s="1" t="n">
        <v>45433</v>
      </c>
      <c r="C1298" s="1" t="n">
        <v>45738</v>
      </c>
      <c r="D1298" t="inlineStr">
        <is>
          <t>ÖSTERGÖTLANDS LÄN</t>
        </is>
      </c>
      <c r="E1298" t="inlineStr">
        <is>
          <t>NORRKÖPING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19966-2024</t>
        </is>
      </c>
      <c r="B1299" s="1" t="n">
        <v>45433</v>
      </c>
      <c r="C1299" s="1" t="n">
        <v>45738</v>
      </c>
      <c r="D1299" t="inlineStr">
        <is>
          <t>ÖSTERGÖTLANDS LÄN</t>
        </is>
      </c>
      <c r="E1299" t="inlineStr">
        <is>
          <t>NORRKÖPING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20356-2024</t>
        </is>
      </c>
      <c r="B1300" s="1" t="n">
        <v>45435</v>
      </c>
      <c r="C1300" s="1" t="n">
        <v>45738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20423-2024</t>
        </is>
      </c>
      <c r="B1301" s="1" t="n">
        <v>45435</v>
      </c>
      <c r="C1301" s="1" t="n">
        <v>45738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20579-2024</t>
        </is>
      </c>
      <c r="B1302" s="1" t="n">
        <v>45436</v>
      </c>
      <c r="C1302" s="1" t="n">
        <v>45738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20583-2024</t>
        </is>
      </c>
      <c r="B1303" s="1" t="n">
        <v>45436</v>
      </c>
      <c r="C1303" s="1" t="n">
        <v>45738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20587-2024</t>
        </is>
      </c>
      <c r="B1304" s="1" t="n">
        <v>45436</v>
      </c>
      <c r="C1304" s="1" t="n">
        <v>45738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20747-2024</t>
        </is>
      </c>
      <c r="B1305" s="1" t="n">
        <v>45436</v>
      </c>
      <c r="C1305" s="1" t="n">
        <v>45738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21050-2024</t>
        </is>
      </c>
      <c r="B1306" s="1" t="n">
        <v>45439</v>
      </c>
      <c r="C1306" s="1" t="n">
        <v>45738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21436-2024</t>
        </is>
      </c>
      <c r="B1307" s="1" t="n">
        <v>45441</v>
      </c>
      <c r="C1307" s="1" t="n">
        <v>45738</v>
      </c>
      <c r="D1307" t="inlineStr">
        <is>
          <t>ÖSTERGÖTLANDS LÄN</t>
        </is>
      </c>
      <c r="E1307" t="inlineStr">
        <is>
          <t>NORRKÖPING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21770-2024</t>
        </is>
      </c>
      <c r="B1308" s="1" t="n">
        <v>45442</v>
      </c>
      <c r="C1308" s="1" t="n">
        <v>45738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21810-2024</t>
        </is>
      </c>
      <c r="B1309" s="1" t="n">
        <v>45442</v>
      </c>
      <c r="C1309" s="1" t="n">
        <v>45738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21813-2024</t>
        </is>
      </c>
      <c r="B1310" s="1" t="n">
        <v>45442</v>
      </c>
      <c r="C1310" s="1" t="n">
        <v>45738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21772-2024</t>
        </is>
      </c>
      <c r="B1311" s="1" t="n">
        <v>45442</v>
      </c>
      <c r="C1311" s="1" t="n">
        <v>45738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21664-2024</t>
        </is>
      </c>
      <c r="B1312" s="1" t="n">
        <v>45442</v>
      </c>
      <c r="C1312" s="1" t="n">
        <v>45738</v>
      </c>
      <c r="D1312" t="inlineStr">
        <is>
          <t>ÖSTERGÖTLANDS LÄN</t>
        </is>
      </c>
      <c r="E1312" t="inlineStr">
        <is>
          <t>NORRKÖPING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21767-2024</t>
        </is>
      </c>
      <c r="B1313" s="1" t="n">
        <v>45442</v>
      </c>
      <c r="C1313" s="1" t="n">
        <v>45738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22292-2024</t>
        </is>
      </c>
      <c r="B1314" s="1" t="n">
        <v>45446</v>
      </c>
      <c r="C1314" s="1" t="n">
        <v>45738</v>
      </c>
      <c r="D1314" t="inlineStr">
        <is>
          <t>ÖSTERGÖTLANDS LÄN</t>
        </is>
      </c>
      <c r="E1314" t="inlineStr">
        <is>
          <t>NORRKÖPING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22322-2024</t>
        </is>
      </c>
      <c r="B1315" s="1" t="n">
        <v>45446</v>
      </c>
      <c r="C1315" s="1" t="n">
        <v>45738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22188-2024</t>
        </is>
      </c>
      <c r="B1316" s="1" t="n">
        <v>45446</v>
      </c>
      <c r="C1316" s="1" t="n">
        <v>45738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22319-2024</t>
        </is>
      </c>
      <c r="B1317" s="1" t="n">
        <v>45446</v>
      </c>
      <c r="C1317" s="1" t="n">
        <v>45738</v>
      </c>
      <c r="D1317" t="inlineStr">
        <is>
          <t>ÖSTERGÖTLANDS LÄN</t>
        </is>
      </c>
      <c r="E1317" t="inlineStr">
        <is>
          <t>NORRKÖPING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22638-2024</t>
        </is>
      </c>
      <c r="B1318" s="1" t="n">
        <v>45447</v>
      </c>
      <c r="C1318" s="1" t="n">
        <v>45738</v>
      </c>
      <c r="D1318" t="inlineStr">
        <is>
          <t>ÖSTERGÖTLANDS LÄN</t>
        </is>
      </c>
      <c r="E1318" t="inlineStr">
        <is>
          <t>NORRKÖPING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23190-2024</t>
        </is>
      </c>
      <c r="B1319" s="1" t="n">
        <v>45451</v>
      </c>
      <c r="C1319" s="1" t="n">
        <v>45738</v>
      </c>
      <c r="D1319" t="inlineStr">
        <is>
          <t>ÖSTERGÖTLANDS LÄN</t>
        </is>
      </c>
      <c r="E1319" t="inlineStr">
        <is>
          <t>NORRKÖPING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23192-2024</t>
        </is>
      </c>
      <c r="B1320" s="1" t="n">
        <v>45451</v>
      </c>
      <c r="C1320" s="1" t="n">
        <v>45738</v>
      </c>
      <c r="D1320" t="inlineStr">
        <is>
          <t>ÖSTERGÖTLANDS LÄN</t>
        </is>
      </c>
      <c r="E1320" t="inlineStr">
        <is>
          <t>NORRKÖPING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23194-2024</t>
        </is>
      </c>
      <c r="B1321" s="1" t="n">
        <v>45451</v>
      </c>
      <c r="C1321" s="1" t="n">
        <v>45738</v>
      </c>
      <c r="D1321" t="inlineStr">
        <is>
          <t>ÖSTERGÖTLANDS LÄN</t>
        </is>
      </c>
      <c r="E1321" t="inlineStr">
        <is>
          <t>NORRKÖPING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23368-2024</t>
        </is>
      </c>
      <c r="B1322" s="1" t="n">
        <v>45453</v>
      </c>
      <c r="C1322" s="1" t="n">
        <v>45738</v>
      </c>
      <c r="D1322" t="inlineStr">
        <is>
          <t>ÖSTERGÖTLANDS LÄN</t>
        </is>
      </c>
      <c r="E1322" t="inlineStr">
        <is>
          <t>NORRKÖPING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23380-2024</t>
        </is>
      </c>
      <c r="B1323" s="1" t="n">
        <v>45453</v>
      </c>
      <c r="C1323" s="1" t="n">
        <v>45738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23358-2024</t>
        </is>
      </c>
      <c r="B1324" s="1" t="n">
        <v>45453</v>
      </c>
      <c r="C1324" s="1" t="n">
        <v>45738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23366-2024</t>
        </is>
      </c>
      <c r="B1325" s="1" t="n">
        <v>45453</v>
      </c>
      <c r="C1325" s="1" t="n">
        <v>45738</v>
      </c>
      <c r="D1325" t="inlineStr">
        <is>
          <t>ÖSTERGÖTLANDS LÄN</t>
        </is>
      </c>
      <c r="E1325" t="inlineStr">
        <is>
          <t>NORRKÖPING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23373-2024</t>
        </is>
      </c>
      <c r="B1326" s="1" t="n">
        <v>45453</v>
      </c>
      <c r="C1326" s="1" t="n">
        <v>45738</v>
      </c>
      <c r="D1326" t="inlineStr">
        <is>
          <t>ÖSTERGÖTLANDS LÄN</t>
        </is>
      </c>
      <c r="E1326" t="inlineStr">
        <is>
          <t>NORRKÖPING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23349-2024</t>
        </is>
      </c>
      <c r="B1327" s="1" t="n">
        <v>45453</v>
      </c>
      <c r="C1327" s="1" t="n">
        <v>45738</v>
      </c>
      <c r="D1327" t="inlineStr">
        <is>
          <t>ÖSTERGÖTLANDS LÄN</t>
        </is>
      </c>
      <c r="E1327" t="inlineStr">
        <is>
          <t>NORRKÖPING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23351-2024</t>
        </is>
      </c>
      <c r="B1328" s="1" t="n">
        <v>45453</v>
      </c>
      <c r="C1328" s="1" t="n">
        <v>45738</v>
      </c>
      <c r="D1328" t="inlineStr">
        <is>
          <t>ÖSTERGÖTLANDS LÄN</t>
        </is>
      </c>
      <c r="E1328" t="inlineStr">
        <is>
          <t>NORRKÖPING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24103-2024</t>
        </is>
      </c>
      <c r="B1329" s="1" t="n">
        <v>45456</v>
      </c>
      <c r="C1329" s="1" t="n">
        <v>45738</v>
      </c>
      <c r="D1329" t="inlineStr">
        <is>
          <t>ÖSTERGÖTLANDS LÄN</t>
        </is>
      </c>
      <c r="E1329" t="inlineStr">
        <is>
          <t>NORRKÖPING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24104-2024</t>
        </is>
      </c>
      <c r="B1330" s="1" t="n">
        <v>45456</v>
      </c>
      <c r="C1330" s="1" t="n">
        <v>45738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24354-2024</t>
        </is>
      </c>
      <c r="B1331" s="1" t="n">
        <v>45457</v>
      </c>
      <c r="C1331" s="1" t="n">
        <v>45738</v>
      </c>
      <c r="D1331" t="inlineStr">
        <is>
          <t>ÖSTERGÖTLANDS LÄN</t>
        </is>
      </c>
      <c r="E1331" t="inlineStr">
        <is>
          <t>NORRKÖPING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24373-2024</t>
        </is>
      </c>
      <c r="B1332" s="1" t="n">
        <v>45457</v>
      </c>
      <c r="C1332" s="1" t="n">
        <v>45738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24397-2024</t>
        </is>
      </c>
      <c r="B1333" s="1" t="n">
        <v>45457</v>
      </c>
      <c r="C1333" s="1" t="n">
        <v>45738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Kyrkan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24408-2024</t>
        </is>
      </c>
      <c r="B1334" s="1" t="n">
        <v>45457</v>
      </c>
      <c r="C1334" s="1" t="n">
        <v>45738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24412-2024</t>
        </is>
      </c>
      <c r="B1335" s="1" t="n">
        <v>45457</v>
      </c>
      <c r="C1335" s="1" t="n">
        <v>45738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25150-2024</t>
        </is>
      </c>
      <c r="B1336" s="1" t="n">
        <v>45462</v>
      </c>
      <c r="C1336" s="1" t="n">
        <v>45738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25419-2024</t>
        </is>
      </c>
      <c r="B1337" s="1" t="n">
        <v>45463</v>
      </c>
      <c r="C1337" s="1" t="n">
        <v>45738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26294-2024</t>
        </is>
      </c>
      <c r="B1338" s="1" t="n">
        <v>45468</v>
      </c>
      <c r="C1338" s="1" t="n">
        <v>45738</v>
      </c>
      <c r="D1338" t="inlineStr">
        <is>
          <t>ÖSTERGÖTLANDS LÄN</t>
        </is>
      </c>
      <c r="E1338" t="inlineStr">
        <is>
          <t>NORRKÖPING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26132-2024</t>
        </is>
      </c>
      <c r="B1339" s="1" t="n">
        <v>45468</v>
      </c>
      <c r="C1339" s="1" t="n">
        <v>45738</v>
      </c>
      <c r="D1339" t="inlineStr">
        <is>
          <t>ÖSTERGÖTLANDS LÄN</t>
        </is>
      </c>
      <c r="E1339" t="inlineStr">
        <is>
          <t>NORRKÖPING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26390-2024</t>
        </is>
      </c>
      <c r="B1340" s="1" t="n">
        <v>45469</v>
      </c>
      <c r="C1340" s="1" t="n">
        <v>45738</v>
      </c>
      <c r="D1340" t="inlineStr">
        <is>
          <t>ÖSTERGÖTLANDS LÄN</t>
        </is>
      </c>
      <c r="E1340" t="inlineStr">
        <is>
          <t>NORRKÖPING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26518-2024</t>
        </is>
      </c>
      <c r="B1341" s="1" t="n">
        <v>45469</v>
      </c>
      <c r="C1341" s="1" t="n">
        <v>45738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26527-2024</t>
        </is>
      </c>
      <c r="B1342" s="1" t="n">
        <v>45469</v>
      </c>
      <c r="C1342" s="1" t="n">
        <v>45738</v>
      </c>
      <c r="D1342" t="inlineStr">
        <is>
          <t>ÖSTERGÖTLANDS LÄN</t>
        </is>
      </c>
      <c r="E1342" t="inlineStr">
        <is>
          <t>NORRKÖPING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26394-2024</t>
        </is>
      </c>
      <c r="B1343" s="1" t="n">
        <v>45469</v>
      </c>
      <c r="C1343" s="1" t="n">
        <v>45738</v>
      </c>
      <c r="D1343" t="inlineStr">
        <is>
          <t>ÖSTERGÖTLANDS LÄN</t>
        </is>
      </c>
      <c r="E1343" t="inlineStr">
        <is>
          <t>NORRKÖPING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28295-2024</t>
        </is>
      </c>
      <c r="B1344" s="1" t="n">
        <v>45477</v>
      </c>
      <c r="C1344" s="1" t="n">
        <v>45738</v>
      </c>
      <c r="D1344" t="inlineStr">
        <is>
          <t>ÖSTERGÖTLANDS LÄN</t>
        </is>
      </c>
      <c r="E1344" t="inlineStr">
        <is>
          <t>NORRKÖPING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28313-2024</t>
        </is>
      </c>
      <c r="B1345" s="1" t="n">
        <v>45477</v>
      </c>
      <c r="C1345" s="1" t="n">
        <v>45738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28663-2024</t>
        </is>
      </c>
      <c r="B1346" s="1" t="n">
        <v>45478</v>
      </c>
      <c r="C1346" s="1" t="n">
        <v>45738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28600-2024</t>
        </is>
      </c>
      <c r="B1347" s="1" t="n">
        <v>45478</v>
      </c>
      <c r="C1347" s="1" t="n">
        <v>45738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28665-2024</t>
        </is>
      </c>
      <c r="B1348" s="1" t="n">
        <v>45478</v>
      </c>
      <c r="C1348" s="1" t="n">
        <v>45738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28689-2024</t>
        </is>
      </c>
      <c r="B1349" s="1" t="n">
        <v>45478</v>
      </c>
      <c r="C1349" s="1" t="n">
        <v>45738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28693-2024</t>
        </is>
      </c>
      <c r="B1350" s="1" t="n">
        <v>45478</v>
      </c>
      <c r="C1350" s="1" t="n">
        <v>45738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28601-2024</t>
        </is>
      </c>
      <c r="B1351" s="1" t="n">
        <v>45478</v>
      </c>
      <c r="C1351" s="1" t="n">
        <v>45738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29052-2024</t>
        </is>
      </c>
      <c r="B1352" s="1" t="n">
        <v>45481</v>
      </c>
      <c r="C1352" s="1" t="n">
        <v>45738</v>
      </c>
      <c r="D1352" t="inlineStr">
        <is>
          <t>ÖSTERGÖTLANDS LÄN</t>
        </is>
      </c>
      <c r="E1352" t="inlineStr">
        <is>
          <t>NORRKÖPING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29806-2024</t>
        </is>
      </c>
      <c r="B1353" s="1" t="n">
        <v>45485</v>
      </c>
      <c r="C1353" s="1" t="n">
        <v>45738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29846-2024</t>
        </is>
      </c>
      <c r="B1354" s="1" t="n">
        <v>45485</v>
      </c>
      <c r="C1354" s="1" t="n">
        <v>45738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29857-2024</t>
        </is>
      </c>
      <c r="B1355" s="1" t="n">
        <v>45485</v>
      </c>
      <c r="C1355" s="1" t="n">
        <v>45738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30030-2024</t>
        </is>
      </c>
      <c r="B1356" s="1" t="n">
        <v>45488</v>
      </c>
      <c r="C1356" s="1" t="n">
        <v>45738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30315-2024</t>
        </is>
      </c>
      <c r="B1357" s="1" t="n">
        <v>45490</v>
      </c>
      <c r="C1357" s="1" t="n">
        <v>45738</v>
      </c>
      <c r="D1357" t="inlineStr">
        <is>
          <t>ÖSTERGÖTLANDS LÄN</t>
        </is>
      </c>
      <c r="E1357" t="inlineStr">
        <is>
          <t>NORRKÖPING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30865-2024</t>
        </is>
      </c>
      <c r="B1358" s="1" t="n">
        <v>45497</v>
      </c>
      <c r="C1358" s="1" t="n">
        <v>45738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31342-2024</t>
        </is>
      </c>
      <c r="B1359" s="1" t="n">
        <v>45504</v>
      </c>
      <c r="C1359" s="1" t="n">
        <v>45738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31801-2024</t>
        </is>
      </c>
      <c r="B1360" s="1" t="n">
        <v>45509</v>
      </c>
      <c r="C1360" s="1" t="n">
        <v>45738</v>
      </c>
      <c r="D1360" t="inlineStr">
        <is>
          <t>ÖSTERGÖTLANDS LÄN</t>
        </is>
      </c>
      <c r="E1360" t="inlineStr">
        <is>
          <t>NORRKÖPING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32862-2024</t>
        </is>
      </c>
      <c r="B1361" s="1" t="n">
        <v>45516</v>
      </c>
      <c r="C1361" s="1" t="n">
        <v>45738</v>
      </c>
      <c r="D1361" t="inlineStr">
        <is>
          <t>ÖSTERGÖTLANDS LÄN</t>
        </is>
      </c>
      <c r="E1361" t="inlineStr">
        <is>
          <t>NORRKÖPING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32858-2024</t>
        </is>
      </c>
      <c r="B1362" s="1" t="n">
        <v>45516</v>
      </c>
      <c r="C1362" s="1" t="n">
        <v>45738</v>
      </c>
      <c r="D1362" t="inlineStr">
        <is>
          <t>ÖSTERGÖTLANDS LÄN</t>
        </is>
      </c>
      <c r="E1362" t="inlineStr">
        <is>
          <t>NORRKÖPING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32846-2024</t>
        </is>
      </c>
      <c r="B1363" s="1" t="n">
        <v>45516</v>
      </c>
      <c r="C1363" s="1" t="n">
        <v>45738</v>
      </c>
      <c r="D1363" t="inlineStr">
        <is>
          <t>ÖSTERGÖTLANDS LÄN</t>
        </is>
      </c>
      <c r="E1363" t="inlineStr">
        <is>
          <t>NORRKÖPING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33703-2024</t>
        </is>
      </c>
      <c r="B1364" s="1" t="n">
        <v>45520</v>
      </c>
      <c r="C1364" s="1" t="n">
        <v>45738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33871-2024</t>
        </is>
      </c>
      <c r="B1365" s="1" t="n">
        <v>45520</v>
      </c>
      <c r="C1365" s="1" t="n">
        <v>45738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34516-2024</t>
        </is>
      </c>
      <c r="B1366" s="1" t="n">
        <v>45525</v>
      </c>
      <c r="C1366" s="1" t="n">
        <v>45738</v>
      </c>
      <c r="D1366" t="inlineStr">
        <is>
          <t>ÖSTERGÖTLANDS LÄN</t>
        </is>
      </c>
      <c r="E1366" t="inlineStr">
        <is>
          <t>NORRKÖPING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34518-2024</t>
        </is>
      </c>
      <c r="B1367" s="1" t="n">
        <v>45525</v>
      </c>
      <c r="C1367" s="1" t="n">
        <v>45738</v>
      </c>
      <c r="D1367" t="inlineStr">
        <is>
          <t>ÖSTERGÖTLANDS LÄN</t>
        </is>
      </c>
      <c r="E1367" t="inlineStr">
        <is>
          <t>NORRKÖPING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34910-2024</t>
        </is>
      </c>
      <c r="B1368" s="1" t="n">
        <v>45527</v>
      </c>
      <c r="C1368" s="1" t="n">
        <v>45738</v>
      </c>
      <c r="D1368" t="inlineStr">
        <is>
          <t>ÖSTERGÖTLANDS LÄN</t>
        </is>
      </c>
      <c r="E1368" t="inlineStr">
        <is>
          <t>NORRKÖPING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34904-2024</t>
        </is>
      </c>
      <c r="B1369" s="1" t="n">
        <v>45527</v>
      </c>
      <c r="C1369" s="1" t="n">
        <v>45738</v>
      </c>
      <c r="D1369" t="inlineStr">
        <is>
          <t>ÖSTERGÖTLANDS LÄN</t>
        </is>
      </c>
      <c r="E1369" t="inlineStr">
        <is>
          <t>NORRKÖPING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34916-2024</t>
        </is>
      </c>
      <c r="B1370" s="1" t="n">
        <v>45527</v>
      </c>
      <c r="C1370" s="1" t="n">
        <v>45738</v>
      </c>
      <c r="D1370" t="inlineStr">
        <is>
          <t>ÖSTERGÖTLANDS LÄN</t>
        </is>
      </c>
      <c r="E1370" t="inlineStr">
        <is>
          <t>NORRKÖPING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34907-2024</t>
        </is>
      </c>
      <c r="B1371" s="1" t="n">
        <v>45527</v>
      </c>
      <c r="C1371" s="1" t="n">
        <v>45738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35219-2024</t>
        </is>
      </c>
      <c r="B1372" s="1" t="n">
        <v>45530</v>
      </c>
      <c r="C1372" s="1" t="n">
        <v>45738</v>
      </c>
      <c r="D1372" t="inlineStr">
        <is>
          <t>ÖSTERGÖTLANDS LÄN</t>
        </is>
      </c>
      <c r="E1372" t="inlineStr">
        <is>
          <t>NORRKÖPING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35214-2024</t>
        </is>
      </c>
      <c r="B1373" s="1" t="n">
        <v>45530</v>
      </c>
      <c r="C1373" s="1" t="n">
        <v>45738</v>
      </c>
      <c r="D1373" t="inlineStr">
        <is>
          <t>ÖSTERGÖTLANDS LÄN</t>
        </is>
      </c>
      <c r="E1373" t="inlineStr">
        <is>
          <t>NORRKÖPING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35701-2024</t>
        </is>
      </c>
      <c r="B1374" s="1" t="n">
        <v>45532</v>
      </c>
      <c r="C1374" s="1" t="n">
        <v>45738</v>
      </c>
      <c r="D1374" t="inlineStr">
        <is>
          <t>ÖSTERGÖTLANDS LÄN</t>
        </is>
      </c>
      <c r="E1374" t="inlineStr">
        <is>
          <t>NORRKÖPING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36412-2024</t>
        </is>
      </c>
      <c r="B1375" s="1" t="n">
        <v>45535</v>
      </c>
      <c r="C1375" s="1" t="n">
        <v>45738</v>
      </c>
      <c r="D1375" t="inlineStr">
        <is>
          <t>ÖSTERGÖTLANDS LÄN</t>
        </is>
      </c>
      <c r="E1375" t="inlineStr">
        <is>
          <t>NORRKÖPING</t>
        </is>
      </c>
      <c r="G1375" t="n">
        <v>12.8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36626-2024</t>
        </is>
      </c>
      <c r="B1376" s="1" t="n">
        <v>45537</v>
      </c>
      <c r="C1376" s="1" t="n">
        <v>45738</v>
      </c>
      <c r="D1376" t="inlineStr">
        <is>
          <t>ÖSTERGÖTLANDS LÄN</t>
        </is>
      </c>
      <c r="E1376" t="inlineStr">
        <is>
          <t>NORRKÖPING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36640-2024</t>
        </is>
      </c>
      <c r="B1377" s="1" t="n">
        <v>45537</v>
      </c>
      <c r="C1377" s="1" t="n">
        <v>45738</v>
      </c>
      <c r="D1377" t="inlineStr">
        <is>
          <t>ÖSTERGÖTLANDS LÄN</t>
        </is>
      </c>
      <c r="E1377" t="inlineStr">
        <is>
          <t>NORRKÖPING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37742-2024</t>
        </is>
      </c>
      <c r="B1378" s="1" t="n">
        <v>45541</v>
      </c>
      <c r="C1378" s="1" t="n">
        <v>45738</v>
      </c>
      <c r="D1378" t="inlineStr">
        <is>
          <t>ÖSTERGÖTLANDS LÄN</t>
        </is>
      </c>
      <c r="E1378" t="inlineStr">
        <is>
          <t>NORRKÖPING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37807-2024</t>
        </is>
      </c>
      <c r="B1379" s="1" t="n">
        <v>45543</v>
      </c>
      <c r="C1379" s="1" t="n">
        <v>45738</v>
      </c>
      <c r="D1379" t="inlineStr">
        <is>
          <t>ÖSTERGÖTLANDS LÄN</t>
        </is>
      </c>
      <c r="E1379" t="inlineStr">
        <is>
          <t>NORRKÖPING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38439-2024</t>
        </is>
      </c>
      <c r="B1380" s="1" t="n">
        <v>45546</v>
      </c>
      <c r="C1380" s="1" t="n">
        <v>45738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38441-2024</t>
        </is>
      </c>
      <c r="B1381" s="1" t="n">
        <v>45546</v>
      </c>
      <c r="C1381" s="1" t="n">
        <v>45738</v>
      </c>
      <c r="D1381" t="inlineStr">
        <is>
          <t>ÖSTERGÖTLANDS LÄN</t>
        </is>
      </c>
      <c r="E1381" t="inlineStr">
        <is>
          <t>NORRKÖPING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38654-2024</t>
        </is>
      </c>
      <c r="B1382" s="1" t="n">
        <v>45547</v>
      </c>
      <c r="C1382" s="1" t="n">
        <v>45738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38874-2024</t>
        </is>
      </c>
      <c r="B1383" s="1" t="n">
        <v>45547</v>
      </c>
      <c r="C1383" s="1" t="n">
        <v>45738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39232-2024</t>
        </is>
      </c>
      <c r="B1384" s="1" t="n">
        <v>45550</v>
      </c>
      <c r="C1384" s="1" t="n">
        <v>45738</v>
      </c>
      <c r="D1384" t="inlineStr">
        <is>
          <t>ÖSTERGÖTLANDS LÄN</t>
        </is>
      </c>
      <c r="E1384" t="inlineStr">
        <is>
          <t>NORRKÖPING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39749-2024</t>
        </is>
      </c>
      <c r="B1385" s="1" t="n">
        <v>45552</v>
      </c>
      <c r="C1385" s="1" t="n">
        <v>45738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39981-2024</t>
        </is>
      </c>
      <c r="B1386" s="1" t="n">
        <v>45553</v>
      </c>
      <c r="C1386" s="1" t="n">
        <v>45738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40068-2024</t>
        </is>
      </c>
      <c r="B1387" s="1" t="n">
        <v>45554</v>
      </c>
      <c r="C1387" s="1" t="n">
        <v>45738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40812-2024</t>
        </is>
      </c>
      <c r="B1388" s="1" t="n">
        <v>45558</v>
      </c>
      <c r="C1388" s="1" t="n">
        <v>45738</v>
      </c>
      <c r="D1388" t="inlineStr">
        <is>
          <t>ÖSTERGÖTLANDS LÄN</t>
        </is>
      </c>
      <c r="E1388" t="inlineStr">
        <is>
          <t>NORRKÖPING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40816-2024</t>
        </is>
      </c>
      <c r="B1389" s="1" t="n">
        <v>45558</v>
      </c>
      <c r="C1389" s="1" t="n">
        <v>45738</v>
      </c>
      <c r="D1389" t="inlineStr">
        <is>
          <t>ÖSTERGÖTLANDS LÄN</t>
        </is>
      </c>
      <c r="E1389" t="inlineStr">
        <is>
          <t>NORRKÖPING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42246-2024</t>
        </is>
      </c>
      <c r="B1390" s="1" t="n">
        <v>45562</v>
      </c>
      <c r="C1390" s="1" t="n">
        <v>45738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42240-2024</t>
        </is>
      </c>
      <c r="B1391" s="1" t="n">
        <v>45562</v>
      </c>
      <c r="C1391" s="1" t="n">
        <v>45738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42361-2024</t>
        </is>
      </c>
      <c r="B1392" s="1" t="n">
        <v>45562</v>
      </c>
      <c r="C1392" s="1" t="n">
        <v>45738</v>
      </c>
      <c r="D1392" t="inlineStr">
        <is>
          <t>ÖSTERGÖTLANDS LÄN</t>
        </is>
      </c>
      <c r="E1392" t="inlineStr">
        <is>
          <t>NORRKÖPING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42504-2024</t>
        </is>
      </c>
      <c r="B1393" s="1" t="n">
        <v>45565</v>
      </c>
      <c r="C1393" s="1" t="n">
        <v>45738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42503-2024</t>
        </is>
      </c>
      <c r="B1394" s="1" t="n">
        <v>45565</v>
      </c>
      <c r="C1394" s="1" t="n">
        <v>45738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42514-2024</t>
        </is>
      </c>
      <c r="B1395" s="1" t="n">
        <v>45565</v>
      </c>
      <c r="C1395" s="1" t="n">
        <v>45738</v>
      </c>
      <c r="D1395" t="inlineStr">
        <is>
          <t>ÖSTERGÖTLANDS LÄN</t>
        </is>
      </c>
      <c r="E1395" t="inlineStr">
        <is>
          <t>NORRKÖPING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42510-2024</t>
        </is>
      </c>
      <c r="B1396" s="1" t="n">
        <v>45565</v>
      </c>
      <c r="C1396" s="1" t="n">
        <v>45738</v>
      </c>
      <c r="D1396" t="inlineStr">
        <is>
          <t>ÖSTERGÖTLANDS LÄN</t>
        </is>
      </c>
      <c r="E1396" t="inlineStr">
        <is>
          <t>NORRKÖPING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42721-2024</t>
        </is>
      </c>
      <c r="B1397" s="1" t="n">
        <v>45566</v>
      </c>
      <c r="C1397" s="1" t="n">
        <v>45738</v>
      </c>
      <c r="D1397" t="inlineStr">
        <is>
          <t>ÖSTERGÖTLANDS LÄN</t>
        </is>
      </c>
      <c r="E1397" t="inlineStr">
        <is>
          <t>NORRKÖPING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42728-2024</t>
        </is>
      </c>
      <c r="B1398" s="1" t="n">
        <v>45566</v>
      </c>
      <c r="C1398" s="1" t="n">
        <v>45738</v>
      </c>
      <c r="D1398" t="inlineStr">
        <is>
          <t>ÖSTERGÖTLANDS LÄN</t>
        </is>
      </c>
      <c r="E1398" t="inlineStr">
        <is>
          <t>NORRKÖPING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42745-2024</t>
        </is>
      </c>
      <c r="B1399" s="1" t="n">
        <v>45566</v>
      </c>
      <c r="C1399" s="1" t="n">
        <v>45738</v>
      </c>
      <c r="D1399" t="inlineStr">
        <is>
          <t>ÖSTERGÖTLANDS LÄN</t>
        </is>
      </c>
      <c r="E1399" t="inlineStr">
        <is>
          <t>NORRKÖPING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42741-2024</t>
        </is>
      </c>
      <c r="B1400" s="1" t="n">
        <v>45566</v>
      </c>
      <c r="C1400" s="1" t="n">
        <v>45738</v>
      </c>
      <c r="D1400" t="inlineStr">
        <is>
          <t>ÖSTERGÖTLANDS LÄN</t>
        </is>
      </c>
      <c r="E1400" t="inlineStr">
        <is>
          <t>NORRKÖPING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43427-2024</t>
        </is>
      </c>
      <c r="B1401" s="1" t="n">
        <v>45568</v>
      </c>
      <c r="C1401" s="1" t="n">
        <v>45738</v>
      </c>
      <c r="D1401" t="inlineStr">
        <is>
          <t>ÖSTERGÖTLANDS LÄN</t>
        </is>
      </c>
      <c r="E1401" t="inlineStr">
        <is>
          <t>NORRKÖPING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43417-2024</t>
        </is>
      </c>
      <c r="B1402" s="1" t="n">
        <v>45568</v>
      </c>
      <c r="C1402" s="1" t="n">
        <v>45738</v>
      </c>
      <c r="D1402" t="inlineStr">
        <is>
          <t>ÖSTERGÖTLANDS LÄN</t>
        </is>
      </c>
      <c r="E1402" t="inlineStr">
        <is>
          <t>NORRKÖPING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43430-2024</t>
        </is>
      </c>
      <c r="B1403" s="1" t="n">
        <v>45568</v>
      </c>
      <c r="C1403" s="1" t="n">
        <v>45738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43408-2024</t>
        </is>
      </c>
      <c r="B1404" s="1" t="n">
        <v>45568</v>
      </c>
      <c r="C1404" s="1" t="n">
        <v>45738</v>
      </c>
      <c r="D1404" t="inlineStr">
        <is>
          <t>ÖSTERGÖTLANDS LÄN</t>
        </is>
      </c>
      <c r="E1404" t="inlineStr">
        <is>
          <t>NORRKÖPING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43800-2024</t>
        </is>
      </c>
      <c r="B1405" s="1" t="n">
        <v>45571</v>
      </c>
      <c r="C1405" s="1" t="n">
        <v>45738</v>
      </c>
      <c r="D1405" t="inlineStr">
        <is>
          <t>ÖSTERGÖTLANDS LÄN</t>
        </is>
      </c>
      <c r="E1405" t="inlineStr">
        <is>
          <t>NORRKÖPING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43939-2024</t>
        </is>
      </c>
      <c r="B1406" s="1" t="n">
        <v>45572</v>
      </c>
      <c r="C1406" s="1" t="n">
        <v>45738</v>
      </c>
      <c r="D1406" t="inlineStr">
        <is>
          <t>ÖSTERGÖTLANDS LÄN</t>
        </is>
      </c>
      <c r="E1406" t="inlineStr">
        <is>
          <t>NORRKÖPING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44872-2024</t>
        </is>
      </c>
      <c r="B1407" s="1" t="n">
        <v>45575</v>
      </c>
      <c r="C1407" s="1" t="n">
        <v>45738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45699-2024</t>
        </is>
      </c>
      <c r="B1408" s="1" t="n">
        <v>45579</v>
      </c>
      <c r="C1408" s="1" t="n">
        <v>45738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45922-2024</t>
        </is>
      </c>
      <c r="B1409" s="1" t="n">
        <v>45580</v>
      </c>
      <c r="C1409" s="1" t="n">
        <v>45738</v>
      </c>
      <c r="D1409" t="inlineStr">
        <is>
          <t>ÖSTERGÖTLANDS LÄN</t>
        </is>
      </c>
      <c r="E1409" t="inlineStr">
        <is>
          <t>NORRKÖPING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46307-2024</t>
        </is>
      </c>
      <c r="B1410" s="1" t="n">
        <v>45581</v>
      </c>
      <c r="C1410" s="1" t="n">
        <v>45738</v>
      </c>
      <c r="D1410" t="inlineStr">
        <is>
          <t>ÖSTERGÖTLANDS LÄN</t>
        </is>
      </c>
      <c r="E1410" t="inlineStr">
        <is>
          <t>NORRKÖPING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46270-2024</t>
        </is>
      </c>
      <c r="B1411" s="1" t="n">
        <v>45581</v>
      </c>
      <c r="C1411" s="1" t="n">
        <v>45738</v>
      </c>
      <c r="D1411" t="inlineStr">
        <is>
          <t>ÖSTERGÖTLANDS LÄN</t>
        </is>
      </c>
      <c r="E1411" t="inlineStr">
        <is>
          <t>NORRKÖPING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46574-2024</t>
        </is>
      </c>
      <c r="B1412" s="1" t="n">
        <v>45582</v>
      </c>
      <c r="C1412" s="1" t="n">
        <v>45738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46610-2024</t>
        </is>
      </c>
      <c r="B1413" s="1" t="n">
        <v>45583</v>
      </c>
      <c r="C1413" s="1" t="n">
        <v>45738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46808-2024</t>
        </is>
      </c>
      <c r="B1414" s="1" t="n">
        <v>45583</v>
      </c>
      <c r="C1414" s="1" t="n">
        <v>45738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46806-2024</t>
        </is>
      </c>
      <c r="B1415" s="1" t="n">
        <v>45583</v>
      </c>
      <c r="C1415" s="1" t="n">
        <v>45738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46633-2024</t>
        </is>
      </c>
      <c r="B1416" s="1" t="n">
        <v>45583</v>
      </c>
      <c r="C1416" s="1" t="n">
        <v>45738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47484-2024</t>
        </is>
      </c>
      <c r="B1417" s="1" t="n">
        <v>45587</v>
      </c>
      <c r="C1417" s="1" t="n">
        <v>45738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47881-2024</t>
        </is>
      </c>
      <c r="B1418" s="1" t="n">
        <v>45588</v>
      </c>
      <c r="C1418" s="1" t="n">
        <v>45738</v>
      </c>
      <c r="D1418" t="inlineStr">
        <is>
          <t>ÖSTERGÖTLANDS LÄN</t>
        </is>
      </c>
      <c r="E1418" t="inlineStr">
        <is>
          <t>NORRKÖPING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48758-2024</t>
        </is>
      </c>
      <c r="B1419" s="1" t="n">
        <v>45593</v>
      </c>
      <c r="C1419" s="1" t="n">
        <v>45738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48794-2024</t>
        </is>
      </c>
      <c r="B1420" s="1" t="n">
        <v>45593</v>
      </c>
      <c r="C1420" s="1" t="n">
        <v>45738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49218-2024</t>
        </is>
      </c>
      <c r="B1421" s="1" t="n">
        <v>45595</v>
      </c>
      <c r="C1421" s="1" t="n">
        <v>45738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49243-2024</t>
        </is>
      </c>
      <c r="B1422" s="1" t="n">
        <v>45595</v>
      </c>
      <c r="C1422" s="1" t="n">
        <v>45738</v>
      </c>
      <c r="D1422" t="inlineStr">
        <is>
          <t>ÖSTERGÖTLANDS LÄN</t>
        </is>
      </c>
      <c r="E1422" t="inlineStr">
        <is>
          <t>NORRKÖPING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49244-2024</t>
        </is>
      </c>
      <c r="B1423" s="1" t="n">
        <v>45595</v>
      </c>
      <c r="C1423" s="1" t="n">
        <v>45738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49295-2024</t>
        </is>
      </c>
      <c r="B1424" s="1" t="n">
        <v>45595</v>
      </c>
      <c r="C1424" s="1" t="n">
        <v>45738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49242-2024</t>
        </is>
      </c>
      <c r="B1425" s="1" t="n">
        <v>45595</v>
      </c>
      <c r="C1425" s="1" t="n">
        <v>45738</v>
      </c>
      <c r="D1425" t="inlineStr">
        <is>
          <t>ÖSTERGÖTLANDS LÄN</t>
        </is>
      </c>
      <c r="E1425" t="inlineStr">
        <is>
          <t>NORRKÖPING</t>
        </is>
      </c>
      <c r="G1425" t="n">
        <v>15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49835-2024</t>
        </is>
      </c>
      <c r="B1426" s="1" t="n">
        <v>45597</v>
      </c>
      <c r="C1426" s="1" t="n">
        <v>45738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49818-2024</t>
        </is>
      </c>
      <c r="B1427" s="1" t="n">
        <v>45597</v>
      </c>
      <c r="C1427" s="1" t="n">
        <v>45738</v>
      </c>
      <c r="D1427" t="inlineStr">
        <is>
          <t>ÖSTERGÖTLANDS LÄN</t>
        </is>
      </c>
      <c r="E1427" t="inlineStr">
        <is>
          <t>NORRKÖPING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50499-2024</t>
        </is>
      </c>
      <c r="B1428" s="1" t="n">
        <v>45601</v>
      </c>
      <c r="C1428" s="1" t="n">
        <v>45738</v>
      </c>
      <c r="D1428" t="inlineStr">
        <is>
          <t>ÖSTERGÖTLANDS LÄN</t>
        </is>
      </c>
      <c r="E1428" t="inlineStr">
        <is>
          <t>NORRKÖPING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51112-2024</t>
        </is>
      </c>
      <c r="B1429" s="1" t="n">
        <v>45603</v>
      </c>
      <c r="C1429" s="1" t="n">
        <v>45738</v>
      </c>
      <c r="D1429" t="inlineStr">
        <is>
          <t>ÖSTERGÖTLANDS LÄN</t>
        </is>
      </c>
      <c r="E1429" t="inlineStr">
        <is>
          <t>NORRKÖPING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53434-2024</t>
        </is>
      </c>
      <c r="B1430" s="1" t="n">
        <v>45614</v>
      </c>
      <c r="C1430" s="1" t="n">
        <v>45738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53363-2024</t>
        </is>
      </c>
      <c r="B1431" s="1" t="n">
        <v>45614</v>
      </c>
      <c r="C1431" s="1" t="n">
        <v>45738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Naturvårdsverket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56244-2024</t>
        </is>
      </c>
      <c r="B1432" s="1" t="n">
        <v>45624</v>
      </c>
      <c r="C1432" s="1" t="n">
        <v>45738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56876-2024</t>
        </is>
      </c>
      <c r="B1433" s="1" t="n">
        <v>45628</v>
      </c>
      <c r="C1433" s="1" t="n">
        <v>45738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57365-2024</t>
        </is>
      </c>
      <c r="B1434" s="1" t="n">
        <v>45629</v>
      </c>
      <c r="C1434" s="1" t="n">
        <v>45738</v>
      </c>
      <c r="D1434" t="inlineStr">
        <is>
          <t>ÖSTERGÖTLANDS LÄN</t>
        </is>
      </c>
      <c r="E1434" t="inlineStr">
        <is>
          <t>NORRKÖPING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57393-2024</t>
        </is>
      </c>
      <c r="B1435" s="1" t="n">
        <v>45629</v>
      </c>
      <c r="C1435" s="1" t="n">
        <v>45738</v>
      </c>
      <c r="D1435" t="inlineStr">
        <is>
          <t>ÖSTERGÖTLANDS LÄN</t>
        </is>
      </c>
      <c r="E1435" t="inlineStr">
        <is>
          <t>NORRKÖPING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57405-2024</t>
        </is>
      </c>
      <c r="B1436" s="1" t="n">
        <v>45629</v>
      </c>
      <c r="C1436" s="1" t="n">
        <v>45738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57301-2024</t>
        </is>
      </c>
      <c r="B1437" s="1" t="n">
        <v>45629</v>
      </c>
      <c r="C1437" s="1" t="n">
        <v>45738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57352-2024</t>
        </is>
      </c>
      <c r="B1438" s="1" t="n">
        <v>45629</v>
      </c>
      <c r="C1438" s="1" t="n">
        <v>45738</v>
      </c>
      <c r="D1438" t="inlineStr">
        <is>
          <t>ÖSTERGÖTLANDS LÄN</t>
        </is>
      </c>
      <c r="E1438" t="inlineStr">
        <is>
          <t>NORRKÖPING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57376-2024</t>
        </is>
      </c>
      <c r="B1439" s="1" t="n">
        <v>45629</v>
      </c>
      <c r="C1439" s="1" t="n">
        <v>45738</v>
      </c>
      <c r="D1439" t="inlineStr">
        <is>
          <t>ÖSTERGÖTLANDS LÄN</t>
        </is>
      </c>
      <c r="E1439" t="inlineStr">
        <is>
          <t>NORRKÖPING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57380-2024</t>
        </is>
      </c>
      <c r="B1440" s="1" t="n">
        <v>45629</v>
      </c>
      <c r="C1440" s="1" t="n">
        <v>45738</v>
      </c>
      <c r="D1440" t="inlineStr">
        <is>
          <t>ÖSTERGÖTLANDS LÄN</t>
        </is>
      </c>
      <c r="E1440" t="inlineStr">
        <is>
          <t>NORRKÖPING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58898-2024</t>
        </is>
      </c>
      <c r="B1441" s="1" t="n">
        <v>45636</v>
      </c>
      <c r="C1441" s="1" t="n">
        <v>45738</v>
      </c>
      <c r="D1441" t="inlineStr">
        <is>
          <t>ÖSTERGÖTLANDS LÄN</t>
        </is>
      </c>
      <c r="E1441" t="inlineStr">
        <is>
          <t>NORRKÖPING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58910-2024</t>
        </is>
      </c>
      <c r="B1442" s="1" t="n">
        <v>45636</v>
      </c>
      <c r="C1442" s="1" t="n">
        <v>45738</v>
      </c>
      <c r="D1442" t="inlineStr">
        <is>
          <t>ÖSTERGÖTLANDS LÄN</t>
        </is>
      </c>
      <c r="E1442" t="inlineStr">
        <is>
          <t>NORRKÖPING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58901-2024</t>
        </is>
      </c>
      <c r="B1443" s="1" t="n">
        <v>45636</v>
      </c>
      <c r="C1443" s="1" t="n">
        <v>45738</v>
      </c>
      <c r="D1443" t="inlineStr">
        <is>
          <t>ÖSTERGÖTLANDS LÄN</t>
        </is>
      </c>
      <c r="E1443" t="inlineStr">
        <is>
          <t>NORRKÖPING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58889-2024</t>
        </is>
      </c>
      <c r="B1444" s="1" t="n">
        <v>45636</v>
      </c>
      <c r="C1444" s="1" t="n">
        <v>45738</v>
      </c>
      <c r="D1444" t="inlineStr">
        <is>
          <t>ÖSTERGÖTLANDS LÄN</t>
        </is>
      </c>
      <c r="E1444" t="inlineStr">
        <is>
          <t>NORRKÖPING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58884-2024</t>
        </is>
      </c>
      <c r="B1445" s="1" t="n">
        <v>45636</v>
      </c>
      <c r="C1445" s="1" t="n">
        <v>45738</v>
      </c>
      <c r="D1445" t="inlineStr">
        <is>
          <t>ÖSTERGÖTLANDS LÄN</t>
        </is>
      </c>
      <c r="E1445" t="inlineStr">
        <is>
          <t>NORRKÖPING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59221-2024</t>
        </is>
      </c>
      <c r="B1446" s="1" t="n">
        <v>45637</v>
      </c>
      <c r="C1446" s="1" t="n">
        <v>45738</v>
      </c>
      <c r="D1446" t="inlineStr">
        <is>
          <t>ÖSTERGÖTLANDS LÄN</t>
        </is>
      </c>
      <c r="E1446" t="inlineStr">
        <is>
          <t>NORRKÖPING</t>
        </is>
      </c>
      <c r="G1446" t="n">
        <v>24.7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59859-2024</t>
        </is>
      </c>
      <c r="B1447" s="1" t="n">
        <v>45638</v>
      </c>
      <c r="C1447" s="1" t="n">
        <v>45738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59792-2024</t>
        </is>
      </c>
      <c r="B1448" s="1" t="n">
        <v>45639</v>
      </c>
      <c r="C1448" s="1" t="n">
        <v>45738</v>
      </c>
      <c r="D1448" t="inlineStr">
        <is>
          <t>ÖSTERGÖTLANDS LÄN</t>
        </is>
      </c>
      <c r="E1448" t="inlineStr">
        <is>
          <t>NORRKÖPING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60188-2024</t>
        </is>
      </c>
      <c r="B1449" s="1" t="n">
        <v>45642</v>
      </c>
      <c r="C1449" s="1" t="n">
        <v>45738</v>
      </c>
      <c r="D1449" t="inlineStr">
        <is>
          <t>ÖSTERGÖTLANDS LÄN</t>
        </is>
      </c>
      <c r="E1449" t="inlineStr">
        <is>
          <t>NORRKÖPING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60190-2024</t>
        </is>
      </c>
      <c r="B1450" s="1" t="n">
        <v>45642</v>
      </c>
      <c r="C1450" s="1" t="n">
        <v>45738</v>
      </c>
      <c r="D1450" t="inlineStr">
        <is>
          <t>ÖSTERGÖTLANDS LÄN</t>
        </is>
      </c>
      <c r="E1450" t="inlineStr">
        <is>
          <t>NORRKÖPING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60639-2024</t>
        </is>
      </c>
      <c r="B1451" s="1" t="n">
        <v>45642</v>
      </c>
      <c r="C1451" s="1" t="n">
        <v>45738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60165-2024</t>
        </is>
      </c>
      <c r="B1452" s="1" t="n">
        <v>45642</v>
      </c>
      <c r="C1452" s="1" t="n">
        <v>45738</v>
      </c>
      <c r="D1452" t="inlineStr">
        <is>
          <t>ÖSTERGÖTLANDS LÄN</t>
        </is>
      </c>
      <c r="E1452" t="inlineStr">
        <is>
          <t>NORRKÖPING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61124-2024</t>
        </is>
      </c>
      <c r="B1453" s="1" t="n">
        <v>45644</v>
      </c>
      <c r="C1453" s="1" t="n">
        <v>45738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61043-2024</t>
        </is>
      </c>
      <c r="B1454" s="1" t="n">
        <v>45644</v>
      </c>
      <c r="C1454" s="1" t="n">
        <v>45738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60899-2024</t>
        </is>
      </c>
      <c r="B1455" s="1" t="n">
        <v>45645</v>
      </c>
      <c r="C1455" s="1" t="n">
        <v>45738</v>
      </c>
      <c r="D1455" t="inlineStr">
        <is>
          <t>ÖSTERGÖTLANDS LÄN</t>
        </is>
      </c>
      <c r="E1455" t="inlineStr">
        <is>
          <t>NORRKÖPING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60955-2024</t>
        </is>
      </c>
      <c r="B1456" s="1" t="n">
        <v>45645</v>
      </c>
      <c r="C1456" s="1" t="n">
        <v>45738</v>
      </c>
      <c r="D1456" t="inlineStr">
        <is>
          <t>ÖSTERGÖTLANDS LÄN</t>
        </is>
      </c>
      <c r="E1456" t="inlineStr">
        <is>
          <t>NORRKÖPING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62176-2024</t>
        </is>
      </c>
      <c r="B1457" s="1" t="n">
        <v>45657</v>
      </c>
      <c r="C1457" s="1" t="n">
        <v>45738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62177-2024</t>
        </is>
      </c>
      <c r="B1458" s="1" t="n">
        <v>45658</v>
      </c>
      <c r="C1458" s="1" t="n">
        <v>45738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62175-2024</t>
        </is>
      </c>
      <c r="B1459" s="1" t="n">
        <v>45657</v>
      </c>
      <c r="C1459" s="1" t="n">
        <v>45738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1292-2025</t>
        </is>
      </c>
      <c r="B1460" s="1" t="n">
        <v>45667</v>
      </c>
      <c r="C1460" s="1" t="n">
        <v>45738</v>
      </c>
      <c r="D1460" t="inlineStr">
        <is>
          <t>ÖSTERGÖTLANDS LÄN</t>
        </is>
      </c>
      <c r="E1460" t="inlineStr">
        <is>
          <t>NORRKÖPING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1316-2025</t>
        </is>
      </c>
      <c r="B1461" s="1" t="n">
        <v>45667</v>
      </c>
      <c r="C1461" s="1" t="n">
        <v>45738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1549-2025</t>
        </is>
      </c>
      <c r="B1462" s="1" t="n">
        <v>45670</v>
      </c>
      <c r="C1462" s="1" t="n">
        <v>45738</v>
      </c>
      <c r="D1462" t="inlineStr">
        <is>
          <t>ÖSTERGÖTLANDS LÄN</t>
        </is>
      </c>
      <c r="E1462" t="inlineStr">
        <is>
          <t>NORRKÖPING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1854-2025</t>
        </is>
      </c>
      <c r="B1463" s="1" t="n">
        <v>45671</v>
      </c>
      <c r="C1463" s="1" t="n">
        <v>45738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1882-2025</t>
        </is>
      </c>
      <c r="B1464" s="1" t="n">
        <v>45671</v>
      </c>
      <c r="C1464" s="1" t="n">
        <v>45738</v>
      </c>
      <c r="D1464" t="inlineStr">
        <is>
          <t>ÖSTERGÖTLANDS LÄN</t>
        </is>
      </c>
      <c r="E1464" t="inlineStr">
        <is>
          <t>NORRKÖPING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1841-2025</t>
        </is>
      </c>
      <c r="B1465" s="1" t="n">
        <v>45671</v>
      </c>
      <c r="C1465" s="1" t="n">
        <v>45738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1869-2025</t>
        </is>
      </c>
      <c r="B1466" s="1" t="n">
        <v>45671</v>
      </c>
      <c r="C1466" s="1" t="n">
        <v>45738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1884-2025</t>
        </is>
      </c>
      <c r="B1467" s="1" t="n">
        <v>45671</v>
      </c>
      <c r="C1467" s="1" t="n">
        <v>45738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1896-2025</t>
        </is>
      </c>
      <c r="B1468" s="1" t="n">
        <v>45671</v>
      </c>
      <c r="C1468" s="1" t="n">
        <v>45738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2287-2025</t>
        </is>
      </c>
      <c r="B1469" s="1" t="n">
        <v>45673</v>
      </c>
      <c r="C1469" s="1" t="n">
        <v>45738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2246-2025</t>
        </is>
      </c>
      <c r="B1470" s="1" t="n">
        <v>45673</v>
      </c>
      <c r="C1470" s="1" t="n">
        <v>45738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3035-2025</t>
        </is>
      </c>
      <c r="B1471" s="1" t="n">
        <v>45678</v>
      </c>
      <c r="C1471" s="1" t="n">
        <v>45738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2978-2025</t>
        </is>
      </c>
      <c r="B1472" s="1" t="n">
        <v>45678</v>
      </c>
      <c r="C1472" s="1" t="n">
        <v>45738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3023-2025</t>
        </is>
      </c>
      <c r="B1473" s="1" t="n">
        <v>45678</v>
      </c>
      <c r="C1473" s="1" t="n">
        <v>45738</v>
      </c>
      <c r="D1473" t="inlineStr">
        <is>
          <t>ÖSTERGÖTLANDS LÄN</t>
        </is>
      </c>
      <c r="E1473" t="inlineStr">
        <is>
          <t>NORRKÖPING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45738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3044-2025</t>
        </is>
      </c>
      <c r="B1475" s="1" t="n">
        <v>45678</v>
      </c>
      <c r="C1475" s="1" t="n">
        <v>45738</v>
      </c>
      <c r="D1475" t="inlineStr">
        <is>
          <t>ÖSTERGÖTLANDS LÄN</t>
        </is>
      </c>
      <c r="E1475" t="inlineStr">
        <is>
          <t>NORRKÖPING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3020-2025</t>
        </is>
      </c>
      <c r="B1476" s="1" t="n">
        <v>45678</v>
      </c>
      <c r="C1476" s="1" t="n">
        <v>45738</v>
      </c>
      <c r="D1476" t="inlineStr">
        <is>
          <t>ÖSTERGÖTLANDS LÄN</t>
        </is>
      </c>
      <c r="E1476" t="inlineStr">
        <is>
          <t>NORRKÖPING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3011-2025</t>
        </is>
      </c>
      <c r="B1477" s="1" t="n">
        <v>45678</v>
      </c>
      <c r="C1477" s="1" t="n">
        <v>45738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3070-2025</t>
        </is>
      </c>
      <c r="B1478" s="1" t="n">
        <v>45678</v>
      </c>
      <c r="C1478" s="1" t="n">
        <v>45738</v>
      </c>
      <c r="D1478" t="inlineStr">
        <is>
          <t>ÖSTERGÖTLANDS LÄN</t>
        </is>
      </c>
      <c r="E1478" t="inlineStr">
        <is>
          <t>NORRKÖPING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3018-2025</t>
        </is>
      </c>
      <c r="B1479" s="1" t="n">
        <v>45678</v>
      </c>
      <c r="C1479" s="1" t="n">
        <v>45738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3013-2025</t>
        </is>
      </c>
      <c r="B1480" s="1" t="n">
        <v>45678</v>
      </c>
      <c r="C1480" s="1" t="n">
        <v>45738</v>
      </c>
      <c r="D1480" t="inlineStr">
        <is>
          <t>ÖSTERGÖTLANDS LÄN</t>
        </is>
      </c>
      <c r="E1480" t="inlineStr">
        <is>
          <t>NORRKÖPING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3004-2025</t>
        </is>
      </c>
      <c r="B1481" s="1" t="n">
        <v>45678</v>
      </c>
      <c r="C1481" s="1" t="n">
        <v>45738</v>
      </c>
      <c r="D1481" t="inlineStr">
        <is>
          <t>ÖSTERGÖTLANDS LÄN</t>
        </is>
      </c>
      <c r="E1481" t="inlineStr">
        <is>
          <t>NORRKÖPING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2975-2025</t>
        </is>
      </c>
      <c r="B1482" s="1" t="n">
        <v>45678</v>
      </c>
      <c r="C1482" s="1" t="n">
        <v>45738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2955-2025</t>
        </is>
      </c>
      <c r="B1483" s="1" t="n">
        <v>45678</v>
      </c>
      <c r="C1483" s="1" t="n">
        <v>45738</v>
      </c>
      <c r="D1483" t="inlineStr">
        <is>
          <t>ÖSTERGÖTLANDS LÄN</t>
        </is>
      </c>
      <c r="E1483" t="inlineStr">
        <is>
          <t>NORRKÖPING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3556-2025</t>
        </is>
      </c>
      <c r="B1484" s="1" t="n">
        <v>45680</v>
      </c>
      <c r="C1484" s="1" t="n">
        <v>45738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3716-2025</t>
        </is>
      </c>
      <c r="B1485" s="1" t="n">
        <v>45681</v>
      </c>
      <c r="C1485" s="1" t="n">
        <v>45738</v>
      </c>
      <c r="D1485" t="inlineStr">
        <is>
          <t>ÖSTERGÖTLANDS LÄN</t>
        </is>
      </c>
      <c r="E1485" t="inlineStr">
        <is>
          <t>NORRKÖPING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3912-2025</t>
        </is>
      </c>
      <c r="B1486" s="1" t="n">
        <v>45684</v>
      </c>
      <c r="C1486" s="1" t="n">
        <v>45738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3910-2025</t>
        </is>
      </c>
      <c r="B1487" s="1" t="n">
        <v>45684</v>
      </c>
      <c r="C1487" s="1" t="n">
        <v>45738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4471-2025</t>
        </is>
      </c>
      <c r="B1488" s="1" t="n">
        <v>45686</v>
      </c>
      <c r="C1488" s="1" t="n">
        <v>45738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4660-2025</t>
        </is>
      </c>
      <c r="B1489" s="1" t="n">
        <v>45687</v>
      </c>
      <c r="C1489" s="1" t="n">
        <v>45738</v>
      </c>
      <c r="D1489" t="inlineStr">
        <is>
          <t>ÖSTERGÖTLANDS LÄN</t>
        </is>
      </c>
      <c r="E1489" t="inlineStr">
        <is>
          <t>NORRKÖPING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6566-2025</t>
        </is>
      </c>
      <c r="B1490" s="1" t="n">
        <v>45699</v>
      </c>
      <c r="C1490" s="1" t="n">
        <v>45738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6516-2025</t>
        </is>
      </c>
      <c r="B1491" s="1" t="n">
        <v>45699</v>
      </c>
      <c r="C1491" s="1" t="n">
        <v>45738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6568-2025</t>
        </is>
      </c>
      <c r="B1492" s="1" t="n">
        <v>45699</v>
      </c>
      <c r="C1492" s="1" t="n">
        <v>45738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6560-2025</t>
        </is>
      </c>
      <c r="B1493" s="1" t="n">
        <v>45699</v>
      </c>
      <c r="C1493" s="1" t="n">
        <v>45738</v>
      </c>
      <c r="D1493" t="inlineStr">
        <is>
          <t>ÖSTERGÖTLANDS LÄN</t>
        </is>
      </c>
      <c r="E1493" t="inlineStr">
        <is>
          <t>NORRKÖPING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6561-2025</t>
        </is>
      </c>
      <c r="B1494" s="1" t="n">
        <v>45699</v>
      </c>
      <c r="C1494" s="1" t="n">
        <v>45738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6565-2025</t>
        </is>
      </c>
      <c r="B1495" s="1" t="n">
        <v>45699</v>
      </c>
      <c r="C1495" s="1" t="n">
        <v>45738</v>
      </c>
      <c r="D1495" t="inlineStr">
        <is>
          <t>ÖSTERGÖTLANDS LÄN</t>
        </is>
      </c>
      <c r="E1495" t="inlineStr">
        <is>
          <t>NORRKÖPING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6569-2025</t>
        </is>
      </c>
      <c r="B1496" s="1" t="n">
        <v>45699</v>
      </c>
      <c r="C1496" s="1" t="n">
        <v>45738</v>
      </c>
      <c r="D1496" t="inlineStr">
        <is>
          <t>ÖSTERGÖTLANDS LÄN</t>
        </is>
      </c>
      <c r="E1496" t="inlineStr">
        <is>
          <t>NORRKÖPING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6567-2025</t>
        </is>
      </c>
      <c r="B1497" s="1" t="n">
        <v>45699</v>
      </c>
      <c r="C1497" s="1" t="n">
        <v>45738</v>
      </c>
      <c r="D1497" t="inlineStr">
        <is>
          <t>ÖSTERGÖTLANDS LÄN</t>
        </is>
      </c>
      <c r="E1497" t="inlineStr">
        <is>
          <t>NORRKÖPING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7318-2025</t>
        </is>
      </c>
      <c r="B1498" s="1" t="n">
        <v>45702</v>
      </c>
      <c r="C1498" s="1" t="n">
        <v>45738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7317-2025</t>
        </is>
      </c>
      <c r="B1499" s="1" t="n">
        <v>45702</v>
      </c>
      <c r="C1499" s="1" t="n">
        <v>45738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7522-2025</t>
        </is>
      </c>
      <c r="B1500" s="1" t="n">
        <v>45704</v>
      </c>
      <c r="C1500" s="1" t="n">
        <v>45738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7517-2025</t>
        </is>
      </c>
      <c r="B1501" s="1" t="n">
        <v>45705</v>
      </c>
      <c r="C1501" s="1" t="n">
        <v>45738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7518-2025</t>
        </is>
      </c>
      <c r="B1502" s="1" t="n">
        <v>45705</v>
      </c>
      <c r="C1502" s="1" t="n">
        <v>45738</v>
      </c>
      <c r="D1502" t="inlineStr">
        <is>
          <t>ÖSTERGÖTLANDS LÄN</t>
        </is>
      </c>
      <c r="E1502" t="inlineStr">
        <is>
          <t>NORRKÖPING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7761-2025</t>
        </is>
      </c>
      <c r="B1503" s="1" t="n">
        <v>45706</v>
      </c>
      <c r="C1503" s="1" t="n">
        <v>45738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7763-2025</t>
        </is>
      </c>
      <c r="B1504" s="1" t="n">
        <v>45706</v>
      </c>
      <c r="C1504" s="1" t="n">
        <v>45738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45738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7750-2025</t>
        </is>
      </c>
      <c r="B1506" s="1" t="n">
        <v>45706</v>
      </c>
      <c r="C1506" s="1" t="n">
        <v>45738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7742-2025</t>
        </is>
      </c>
      <c r="B1507" s="1" t="n">
        <v>45706</v>
      </c>
      <c r="C1507" s="1" t="n">
        <v>45738</v>
      </c>
      <c r="D1507" t="inlineStr">
        <is>
          <t>ÖSTERGÖTLANDS LÄN</t>
        </is>
      </c>
      <c r="E1507" t="inlineStr">
        <is>
          <t>NORRKÖPING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7714-2025</t>
        </is>
      </c>
      <c r="B1508" s="1" t="n">
        <v>45706</v>
      </c>
      <c r="C1508" s="1" t="n">
        <v>45738</v>
      </c>
      <c r="D1508" t="inlineStr">
        <is>
          <t>ÖSTERGÖTLANDS LÄN</t>
        </is>
      </c>
      <c r="E1508" t="inlineStr">
        <is>
          <t>NORRKÖPING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8354-2025</t>
        </is>
      </c>
      <c r="B1509" s="1" t="n">
        <v>45708</v>
      </c>
      <c r="C1509" s="1" t="n">
        <v>45738</v>
      </c>
      <c r="D1509" t="inlineStr">
        <is>
          <t>ÖSTERGÖTLANDS LÄN</t>
        </is>
      </c>
      <c r="E1509" t="inlineStr">
        <is>
          <t>NORRKÖPING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8426-2025</t>
        </is>
      </c>
      <c r="B1510" s="1" t="n">
        <v>45709</v>
      </c>
      <c r="C1510" s="1" t="n">
        <v>45738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8437-2025</t>
        </is>
      </c>
      <c r="B1511" s="1" t="n">
        <v>45709</v>
      </c>
      <c r="C1511" s="1" t="n">
        <v>45738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45738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9532-2025</t>
        </is>
      </c>
      <c r="B1513" s="1" t="n">
        <v>45715</v>
      </c>
      <c r="C1513" s="1" t="n">
        <v>45738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9542-2025</t>
        </is>
      </c>
      <c r="B1514" s="1" t="n">
        <v>45715</v>
      </c>
      <c r="C1514" s="1" t="n">
        <v>45738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9712-2025</t>
        </is>
      </c>
      <c r="B1515" s="1" t="n">
        <v>45716</v>
      </c>
      <c r="C1515" s="1" t="n">
        <v>45738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9722-2025</t>
        </is>
      </c>
      <c r="B1516" s="1" t="n">
        <v>45716</v>
      </c>
      <c r="C1516" s="1" t="n">
        <v>45738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9746-2025</t>
        </is>
      </c>
      <c r="B1517" s="1" t="n">
        <v>45716</v>
      </c>
      <c r="C1517" s="1" t="n">
        <v>45738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9805-2025</t>
        </is>
      </c>
      <c r="B1518" s="1" t="n">
        <v>45716</v>
      </c>
      <c r="C1518" s="1" t="n">
        <v>45738</v>
      </c>
      <c r="D1518" t="inlineStr">
        <is>
          <t>ÖSTERGÖTLANDS LÄN</t>
        </is>
      </c>
      <c r="E1518" t="inlineStr">
        <is>
          <t>NORRKÖPING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9696-2025</t>
        </is>
      </c>
      <c r="B1519" s="1" t="n">
        <v>45716</v>
      </c>
      <c r="C1519" s="1" t="n">
        <v>45738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9714-2025</t>
        </is>
      </c>
      <c r="B1520" s="1" t="n">
        <v>45716</v>
      </c>
      <c r="C1520" s="1" t="n">
        <v>45738</v>
      </c>
      <c r="D1520" t="inlineStr">
        <is>
          <t>ÖSTERGÖTLANDS LÄN</t>
        </is>
      </c>
      <c r="E1520" t="inlineStr">
        <is>
          <t>NORRKÖPING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9822-2025</t>
        </is>
      </c>
      <c r="B1521" s="1" t="n">
        <v>45716</v>
      </c>
      <c r="C1521" s="1" t="n">
        <v>45738</v>
      </c>
      <c r="D1521" t="inlineStr">
        <is>
          <t>ÖSTERGÖTLANDS LÄN</t>
        </is>
      </c>
      <c r="E1521" t="inlineStr">
        <is>
          <t>NORRKÖPING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9817-2025</t>
        </is>
      </c>
      <c r="B1522" s="1" t="n">
        <v>45716</v>
      </c>
      <c r="C1522" s="1" t="n">
        <v>45738</v>
      </c>
      <c r="D1522" t="inlineStr">
        <is>
          <t>ÖSTERGÖTLANDS LÄN</t>
        </is>
      </c>
      <c r="E1522" t="inlineStr">
        <is>
          <t>NORRKÖPING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10003-2025</t>
        </is>
      </c>
      <c r="B1523" s="1" t="n">
        <v>45719</v>
      </c>
      <c r="C1523" s="1" t="n">
        <v>45738</v>
      </c>
      <c r="D1523" t="inlineStr">
        <is>
          <t>ÖSTERGÖTLANDS LÄN</t>
        </is>
      </c>
      <c r="E1523" t="inlineStr">
        <is>
          <t>NORRKÖPING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10554-2025</t>
        </is>
      </c>
      <c r="B1524" s="1" t="n">
        <v>45721</v>
      </c>
      <c r="C1524" s="1" t="n">
        <v>45738</v>
      </c>
      <c r="D1524" t="inlineStr">
        <is>
          <t>ÖSTERGÖTLANDS LÄN</t>
        </is>
      </c>
      <c r="E1524" t="inlineStr">
        <is>
          <t>NORRKÖPING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10553-2025</t>
        </is>
      </c>
      <c r="B1525" s="1" t="n">
        <v>45721</v>
      </c>
      <c r="C1525" s="1" t="n">
        <v>45738</v>
      </c>
      <c r="D1525" t="inlineStr">
        <is>
          <t>ÖSTERGÖTLANDS LÄN</t>
        </is>
      </c>
      <c r="E1525" t="inlineStr">
        <is>
          <t>NORRKÖPING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10770-2025</t>
        </is>
      </c>
      <c r="B1526" s="1" t="n">
        <v>45722</v>
      </c>
      <c r="C1526" s="1" t="n">
        <v>45738</v>
      </c>
      <c r="D1526" t="inlineStr">
        <is>
          <t>ÖSTERGÖTLANDS LÄN</t>
        </is>
      </c>
      <c r="E1526" t="inlineStr">
        <is>
          <t>NORRKÖPING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10776-2025</t>
        </is>
      </c>
      <c r="B1527" s="1" t="n">
        <v>45722</v>
      </c>
      <c r="C1527" s="1" t="n">
        <v>45738</v>
      </c>
      <c r="D1527" t="inlineStr">
        <is>
          <t>ÖSTERGÖTLANDS LÄN</t>
        </is>
      </c>
      <c r="E1527" t="inlineStr">
        <is>
          <t>NORRKÖPING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11136-2025</t>
        </is>
      </c>
      <c r="B1528" s="1" t="n">
        <v>45723</v>
      </c>
      <c r="C1528" s="1" t="n">
        <v>45738</v>
      </c>
      <c r="D1528" t="inlineStr">
        <is>
          <t>ÖSTERGÖTLANDS LÄN</t>
        </is>
      </c>
      <c r="E1528" t="inlineStr">
        <is>
          <t>NORRKÖPING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11140-2025</t>
        </is>
      </c>
      <c r="B1529" s="1" t="n">
        <v>45723</v>
      </c>
      <c r="C1529" s="1" t="n">
        <v>45738</v>
      </c>
      <c r="D1529" t="inlineStr">
        <is>
          <t>ÖSTERGÖTLANDS LÄN</t>
        </is>
      </c>
      <c r="E1529" t="inlineStr">
        <is>
          <t>NORRKÖPING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45738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11519-2025</t>
        </is>
      </c>
      <c r="B1531" s="1" t="n">
        <v>45726</v>
      </c>
      <c r="C1531" s="1" t="n">
        <v>45738</v>
      </c>
      <c r="D1531" t="inlineStr">
        <is>
          <t>ÖSTERGÖTLANDS LÄN</t>
        </is>
      </c>
      <c r="E1531" t="inlineStr">
        <is>
          <t>NORRKÖPING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11520-2025</t>
        </is>
      </c>
      <c r="B1532" s="1" t="n">
        <v>45726</v>
      </c>
      <c r="C1532" s="1" t="n">
        <v>45738</v>
      </c>
      <c r="D1532" t="inlineStr">
        <is>
          <t>ÖSTERGÖTLANDS LÄN</t>
        </is>
      </c>
      <c r="E1532" t="inlineStr">
        <is>
          <t>NORRKÖPING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11757-2025</t>
        </is>
      </c>
      <c r="B1533" s="1" t="n">
        <v>45727</v>
      </c>
      <c r="C1533" s="1" t="n">
        <v>45738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11767-2025</t>
        </is>
      </c>
      <c r="B1534" s="1" t="n">
        <v>45727</v>
      </c>
      <c r="C1534" s="1" t="n">
        <v>45738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12070-2025</t>
        </is>
      </c>
      <c r="B1535" s="1" t="n">
        <v>45728</v>
      </c>
      <c r="C1535" s="1" t="n">
        <v>45738</v>
      </c>
      <c r="D1535" t="inlineStr">
        <is>
          <t>ÖSTERGÖTLANDS LÄN</t>
        </is>
      </c>
      <c r="E1535" t="inlineStr">
        <is>
          <t>NORRKÖPING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12074-2025</t>
        </is>
      </c>
      <c r="B1536" s="1" t="n">
        <v>45728</v>
      </c>
      <c r="C1536" s="1" t="n">
        <v>45738</v>
      </c>
      <c r="D1536" t="inlineStr">
        <is>
          <t>ÖSTERGÖTLANDS LÄN</t>
        </is>
      </c>
      <c r="E1536" t="inlineStr">
        <is>
          <t>NORRKÖPING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12068-2025</t>
        </is>
      </c>
      <c r="B1537" s="1" t="n">
        <v>45728</v>
      </c>
      <c r="C1537" s="1" t="n">
        <v>45738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12076-2025</t>
        </is>
      </c>
      <c r="B1538" s="1" t="n">
        <v>45728</v>
      </c>
      <c r="C1538" s="1" t="n">
        <v>45738</v>
      </c>
      <c r="D1538" t="inlineStr">
        <is>
          <t>ÖSTERGÖTLANDS LÄN</t>
        </is>
      </c>
      <c r="E1538" t="inlineStr">
        <is>
          <t>NORRKÖPING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45738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12055-2025</t>
        </is>
      </c>
      <c r="B1540" s="1" t="n">
        <v>45728</v>
      </c>
      <c r="C1540" s="1" t="n">
        <v>45738</v>
      </c>
      <c r="D1540" t="inlineStr">
        <is>
          <t>ÖSTERGÖTLANDS LÄN</t>
        </is>
      </c>
      <c r="E1540" t="inlineStr">
        <is>
          <t>NORRKÖPING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12114-2025</t>
        </is>
      </c>
      <c r="B1541" s="1" t="n">
        <v>45729</v>
      </c>
      <c r="C1541" s="1" t="n">
        <v>45738</v>
      </c>
      <c r="D1541" t="inlineStr">
        <is>
          <t>ÖSTERGÖTLANDS LÄN</t>
        </is>
      </c>
      <c r="E1541" t="inlineStr">
        <is>
          <t>NORRKÖPING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12223-2025</t>
        </is>
      </c>
      <c r="B1542" s="1" t="n">
        <v>45729</v>
      </c>
      <c r="C1542" s="1" t="n">
        <v>45738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Allmännings- och besparingsskogar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12563-2025</t>
        </is>
      </c>
      <c r="B1543" s="1" t="n">
        <v>45731</v>
      </c>
      <c r="C1543" s="1" t="n">
        <v>45738</v>
      </c>
      <c r="D1543" t="inlineStr">
        <is>
          <t>ÖSTERGÖTLANDS LÄN</t>
        </is>
      </c>
      <c r="E1543" t="inlineStr">
        <is>
          <t>NORRKÖPING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12564-2025</t>
        </is>
      </c>
      <c r="B1544" s="1" t="n">
        <v>45731</v>
      </c>
      <c r="C1544" s="1" t="n">
        <v>45738</v>
      </c>
      <c r="D1544" t="inlineStr">
        <is>
          <t>ÖSTERGÖTLANDS LÄN</t>
        </is>
      </c>
      <c r="E1544" t="inlineStr">
        <is>
          <t>NORRKÖPING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12674-2025</t>
        </is>
      </c>
      <c r="B1545" s="1" t="n">
        <v>45733</v>
      </c>
      <c r="C1545" s="1" t="n">
        <v>45738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12682-2025</t>
        </is>
      </c>
      <c r="B1546" s="1" t="n">
        <v>45733</v>
      </c>
      <c r="C1546" s="1" t="n">
        <v>45738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12814-2025</t>
        </is>
      </c>
      <c r="B1547" s="1" t="n">
        <v>45733</v>
      </c>
      <c r="C1547" s="1" t="n">
        <v>45738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13425-2025</t>
        </is>
      </c>
      <c r="B1548" s="1" t="n">
        <v>45736</v>
      </c>
      <c r="C1548" s="1" t="n">
        <v>45738</v>
      </c>
      <c r="D1548" t="inlineStr">
        <is>
          <t>ÖSTERGÖTLANDS LÄN</t>
        </is>
      </c>
      <c r="E1548" t="inlineStr">
        <is>
          <t>NORRKÖPING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13420-2025</t>
        </is>
      </c>
      <c r="B1549" s="1" t="n">
        <v>45736</v>
      </c>
      <c r="C1549" s="1" t="n">
        <v>45738</v>
      </c>
      <c r="D1549" t="inlineStr">
        <is>
          <t>ÖSTERGÖTLANDS LÄN</t>
        </is>
      </c>
      <c r="E1549" t="inlineStr">
        <is>
          <t>NORRKÖPING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45738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13423-2025</t>
        </is>
      </c>
      <c r="B1551" s="1" t="n">
        <v>45736</v>
      </c>
      <c r="C1551" s="1" t="n">
        <v>45738</v>
      </c>
      <c r="D1551" t="inlineStr">
        <is>
          <t>ÖSTERGÖTLANDS LÄN</t>
        </is>
      </c>
      <c r="E1551" t="inlineStr">
        <is>
          <t>NORRKÖPING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13656-2025</t>
        </is>
      </c>
      <c r="B1552" s="1" t="n">
        <v>45736</v>
      </c>
      <c r="C1552" s="1" t="n">
        <v>45738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2025-03-22T16:21:28Z</dcterms:created>
  <dcterms:modified xmlns:dcterms="http://purl.org/dc/terms/" xmlns:xsi="http://www.w3.org/2001/XMLSchema-instance" xsi:type="dcterms:W3CDTF">2025-03-22T16:21:29Z</dcterms:modified>
</cp:coreProperties>
</file>