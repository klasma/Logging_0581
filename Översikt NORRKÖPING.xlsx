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45752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45752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45752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45752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45752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45752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45752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45752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45752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45752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45752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45752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45752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45752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45752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12297-2025</t>
        </is>
      </c>
      <c r="B70" s="1" t="n">
        <v>45729</v>
      </c>
      <c r="C70" s="1" t="n">
        <v>45752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10.1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Tallticka
Vedskivlav</t>
        </is>
      </c>
      <c r="S70">
        <f>HYPERLINK("https://klasma.github.io/Logging_050581/artfynd/A 12297-2025 artfynd.xlsx", "A 12297-2025")</f>
        <v/>
      </c>
      <c r="T70">
        <f>HYPERLINK("https://klasma.github.io/Logging_050581/kartor/A 12297-2025 karta.png", "A 12297-2025")</f>
        <v/>
      </c>
      <c r="V70">
        <f>HYPERLINK("https://klasma.github.io/Logging_050581/klagomål/A 12297-2025 FSC-klagomål.docx", "A 12297-2025")</f>
        <v/>
      </c>
      <c r="W70">
        <f>HYPERLINK("https://klasma.github.io/Logging_050581/klagomålsmail/A 12297-2025 FSC-klagomål mail.docx", "A 12297-2025")</f>
        <v/>
      </c>
      <c r="X70">
        <f>HYPERLINK("https://klasma.github.io/Logging_050581/tillsyn/A 12297-2025 tillsynsbegäran.docx", "A 12297-2025")</f>
        <v/>
      </c>
      <c r="Y70">
        <f>HYPERLINK("https://klasma.github.io/Logging_050581/tillsynsmail/A 12297-2025 tillsynsbegäran mail.docx", "A 12297-2025")</f>
        <v/>
      </c>
    </row>
    <row r="71" ht="15" customHeight="1">
      <c r="A71" t="inlineStr">
        <is>
          <t>A 12692-2025</t>
        </is>
      </c>
      <c r="B71" s="1" t="n">
        <v>45733</v>
      </c>
      <c r="C71" s="1" t="n">
        <v>45752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Vedskivlav
Mattlummer</t>
        </is>
      </c>
      <c r="S71">
        <f>HYPERLINK("https://klasma.github.io/Logging_050581/artfynd/A 12692-2025 artfynd.xlsx", "A 12692-2025")</f>
        <v/>
      </c>
      <c r="T71">
        <f>HYPERLINK("https://klasma.github.io/Logging_050581/kartor/A 12692-2025 karta.png", "A 12692-2025")</f>
        <v/>
      </c>
      <c r="V71">
        <f>HYPERLINK("https://klasma.github.io/Logging_050581/klagomål/A 12692-2025 FSC-klagomål.docx", "A 12692-2025")</f>
        <v/>
      </c>
      <c r="W71">
        <f>HYPERLINK("https://klasma.github.io/Logging_050581/klagomålsmail/A 12692-2025 FSC-klagomål mail.docx", "A 12692-2025")</f>
        <v/>
      </c>
      <c r="X71">
        <f>HYPERLINK("https://klasma.github.io/Logging_050581/tillsyn/A 12692-2025 tillsynsbegäran.docx", "A 12692-2025")</f>
        <v/>
      </c>
      <c r="Y71">
        <f>HYPERLINK("https://klasma.github.io/Logging_050581/tillsynsmail/A 12692-2025 tillsynsbegäran mail.docx", "A 12692-2025")</f>
        <v/>
      </c>
    </row>
    <row r="72" ht="15" customHeight="1">
      <c r="A72" t="inlineStr">
        <is>
          <t>A 24668-2019</t>
        </is>
      </c>
      <c r="B72" s="1" t="n">
        <v>43601</v>
      </c>
      <c r="C72" s="1" t="n">
        <v>45752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9.4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24668-2019 artfynd.xlsx", "A 24668-2019")</f>
        <v/>
      </c>
      <c r="T72">
        <f>HYPERLINK("https://klasma.github.io/Logging_0581/kartor/A 24668-2019 karta.png", "A 24668-2019")</f>
        <v/>
      </c>
      <c r="V72">
        <f>HYPERLINK("https://klasma.github.io/Logging_0581/klagomål/A 24668-2019 FSC-klagomål.docx", "A 24668-2019")</f>
        <v/>
      </c>
      <c r="W72">
        <f>HYPERLINK("https://klasma.github.io/Logging_0581/klagomålsmail/A 24668-2019 FSC-klagomål mail.docx", "A 24668-2019")</f>
        <v/>
      </c>
      <c r="X72">
        <f>HYPERLINK("https://klasma.github.io/Logging_0581/tillsyn/A 24668-2019 tillsynsbegäran.docx", "A 24668-2019")</f>
        <v/>
      </c>
      <c r="Y72">
        <f>HYPERLINK("https://klasma.github.io/Logging_0581/tillsynsmail/A 24668-2019 tillsynsbegäran mail.docx", "A 24668-2019")</f>
        <v/>
      </c>
    </row>
    <row r="73" ht="15" customHeight="1">
      <c r="A73" t="inlineStr">
        <is>
          <t>A 24841-2019</t>
        </is>
      </c>
      <c r="B73" s="1" t="n">
        <v>43602</v>
      </c>
      <c r="C73" s="1" t="n">
        <v>45752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24841-2019 artfynd.xlsx", "A 24841-2019")</f>
        <v/>
      </c>
      <c r="T73">
        <f>HYPERLINK("https://klasma.github.io/Logging_0581/kartor/A 24841-2019 karta.png", "A 24841-2019")</f>
        <v/>
      </c>
      <c r="V73">
        <f>HYPERLINK("https://klasma.github.io/Logging_0581/klagomål/A 24841-2019 FSC-klagomål.docx", "A 24841-2019")</f>
        <v/>
      </c>
      <c r="W73">
        <f>HYPERLINK("https://klasma.github.io/Logging_0581/klagomålsmail/A 24841-2019 FSC-klagomål mail.docx", "A 24841-2019")</f>
        <v/>
      </c>
      <c r="X73">
        <f>HYPERLINK("https://klasma.github.io/Logging_0581/tillsyn/A 24841-2019 tillsynsbegäran.docx", "A 24841-2019")</f>
        <v/>
      </c>
      <c r="Y73">
        <f>HYPERLINK("https://klasma.github.io/Logging_0581/tillsynsmail/A 24841-2019 tillsynsbegäran mail.docx", "A 24841-2019")</f>
        <v/>
      </c>
    </row>
    <row r="74" ht="15" customHeight="1">
      <c r="A74" t="inlineStr">
        <is>
          <t>A 30987-2019</t>
        </is>
      </c>
      <c r="B74" s="1" t="n">
        <v>43640</v>
      </c>
      <c r="C74" s="1" t="n">
        <v>45752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30987-2019 artfynd.xlsx", "A 30987-2019")</f>
        <v/>
      </c>
      <c r="T74">
        <f>HYPERLINK("https://klasma.github.io/Logging_0581/kartor/A 30987-2019 karta.png", "A 30987-2019")</f>
        <v/>
      </c>
      <c r="V74">
        <f>HYPERLINK("https://klasma.github.io/Logging_0581/klagomål/A 30987-2019 FSC-klagomål.docx", "A 30987-2019")</f>
        <v/>
      </c>
      <c r="W74">
        <f>HYPERLINK("https://klasma.github.io/Logging_0581/klagomålsmail/A 30987-2019 FSC-klagomål mail.docx", "A 30987-2019")</f>
        <v/>
      </c>
      <c r="X74">
        <f>HYPERLINK("https://klasma.github.io/Logging_0581/tillsyn/A 30987-2019 tillsynsbegäran.docx", "A 30987-2019")</f>
        <v/>
      </c>
      <c r="Y74">
        <f>HYPERLINK("https://klasma.github.io/Logging_0581/tillsynsmail/A 30987-2019 tillsynsbegäran mail.docx", "A 30987-2019")</f>
        <v/>
      </c>
    </row>
    <row r="75" ht="15" customHeight="1">
      <c r="A75" t="inlineStr">
        <is>
          <t>A 46755-2019</t>
        </is>
      </c>
      <c r="B75" s="1" t="n">
        <v>43720</v>
      </c>
      <c r="C75" s="1" t="n">
        <v>45752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Näktergal</t>
        </is>
      </c>
      <c r="S75">
        <f>HYPERLINK("https://klasma.github.io/Logging_0581/artfynd/A 46755-2019 artfynd.xlsx", "A 46755-2019")</f>
        <v/>
      </c>
      <c r="T75">
        <f>HYPERLINK("https://klasma.github.io/Logging_0581/kartor/A 46755-2019 karta.png", "A 46755-2019")</f>
        <v/>
      </c>
      <c r="V75">
        <f>HYPERLINK("https://klasma.github.io/Logging_0581/klagomål/A 46755-2019 FSC-klagomål.docx", "A 46755-2019")</f>
        <v/>
      </c>
      <c r="W75">
        <f>HYPERLINK("https://klasma.github.io/Logging_0581/klagomålsmail/A 46755-2019 FSC-klagomål mail.docx", "A 46755-2019")</f>
        <v/>
      </c>
      <c r="X75">
        <f>HYPERLINK("https://klasma.github.io/Logging_0581/tillsyn/A 46755-2019 tillsynsbegäran.docx", "A 46755-2019")</f>
        <v/>
      </c>
      <c r="Y75">
        <f>HYPERLINK("https://klasma.github.io/Logging_0581/tillsynsmail/A 46755-2019 tillsynsbegäran mail.docx", "A 46755-2019")</f>
        <v/>
      </c>
      <c r="Z75">
        <f>HYPERLINK("https://klasma.github.io/Logging_0581/fåglar/A 46755-2019 prioriterade fågelarter.docx", "A 46755-2019")</f>
        <v/>
      </c>
    </row>
    <row r="76" ht="15" customHeight="1">
      <c r="A76" t="inlineStr">
        <is>
          <t>A 18902-2020</t>
        </is>
      </c>
      <c r="B76" s="1" t="n">
        <v>43935</v>
      </c>
      <c r="C76" s="1" t="n">
        <v>45752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18902-2020 artfynd.xlsx", "A 18902-2020")</f>
        <v/>
      </c>
      <c r="T76">
        <f>HYPERLINK("https://klasma.github.io/Logging_0581/kartor/A 18902-2020 karta.png", "A 18902-2020")</f>
        <v/>
      </c>
      <c r="V76">
        <f>HYPERLINK("https://klasma.github.io/Logging_0581/klagomål/A 18902-2020 FSC-klagomål.docx", "A 18902-2020")</f>
        <v/>
      </c>
      <c r="W76">
        <f>HYPERLINK("https://klasma.github.io/Logging_0581/klagomålsmail/A 18902-2020 FSC-klagomål mail.docx", "A 18902-2020")</f>
        <v/>
      </c>
      <c r="X76">
        <f>HYPERLINK("https://klasma.github.io/Logging_0581/tillsyn/A 18902-2020 tillsynsbegäran.docx", "A 18902-2020")</f>
        <v/>
      </c>
      <c r="Y76">
        <f>HYPERLINK("https://klasma.github.io/Logging_0581/tillsynsmail/A 18902-2020 tillsynsbegäran mail.docx", "A 18902-2020")</f>
        <v/>
      </c>
    </row>
    <row r="77" ht="15" customHeight="1">
      <c r="A77" t="inlineStr">
        <is>
          <t>A 45521-2020</t>
        </is>
      </c>
      <c r="B77" s="1" t="n">
        <v>44089</v>
      </c>
      <c r="C77" s="1" t="n">
        <v>45752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HYPERLINK("https://klasma.github.io/Logging_0581/artfynd/A 45521-2020 artfynd.xlsx", "A 45521-2020")</f>
        <v/>
      </c>
      <c r="T77">
        <f>HYPERLINK("https://klasma.github.io/Logging_0581/kartor/A 45521-2020 karta.png", "A 45521-2020")</f>
        <v/>
      </c>
      <c r="V77">
        <f>HYPERLINK("https://klasma.github.io/Logging_0581/klagomål/A 45521-2020 FSC-klagomål.docx", "A 45521-2020")</f>
        <v/>
      </c>
      <c r="W77">
        <f>HYPERLINK("https://klasma.github.io/Logging_0581/klagomålsmail/A 45521-2020 FSC-klagomål mail.docx", "A 45521-2020")</f>
        <v/>
      </c>
      <c r="X77">
        <f>HYPERLINK("https://klasma.github.io/Logging_0581/tillsyn/A 45521-2020 tillsynsbegäran.docx", "A 45521-2020")</f>
        <v/>
      </c>
      <c r="Y77">
        <f>HYPERLINK("https://klasma.github.io/Logging_0581/tillsynsmail/A 45521-2020 tillsynsbegäran mail.docx", "A 45521-2020")</f>
        <v/>
      </c>
    </row>
    <row r="78" ht="15" customHeight="1">
      <c r="A78" t="inlineStr">
        <is>
          <t>A 55901-2020</t>
        </is>
      </c>
      <c r="B78" s="1" t="n">
        <v>44132</v>
      </c>
      <c r="C78" s="1" t="n">
        <v>45752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HYPERLINK("https://klasma.github.io/Logging_0581/artfynd/A 55901-2020 artfynd.xlsx", "A 55901-2020")</f>
        <v/>
      </c>
      <c r="T78">
        <f>HYPERLINK("https://klasma.github.io/Logging_0581/kartor/A 55901-2020 karta.png", "A 55901-2020")</f>
        <v/>
      </c>
      <c r="V78">
        <f>HYPERLINK("https://klasma.github.io/Logging_0581/klagomål/A 55901-2020 FSC-klagomål.docx", "A 55901-2020")</f>
        <v/>
      </c>
      <c r="W78">
        <f>HYPERLINK("https://klasma.github.io/Logging_0581/klagomålsmail/A 55901-2020 FSC-klagomål mail.docx", "A 55901-2020")</f>
        <v/>
      </c>
      <c r="X78">
        <f>HYPERLINK("https://klasma.github.io/Logging_0581/tillsyn/A 55901-2020 tillsynsbegäran.docx", "A 55901-2020")</f>
        <v/>
      </c>
      <c r="Y78">
        <f>HYPERLINK("https://klasma.github.io/Logging_0581/tillsynsmail/A 55901-2020 tillsynsbegäran mail.docx", "A 55901-2020")</f>
        <v/>
      </c>
    </row>
    <row r="79" ht="15" customHeight="1">
      <c r="A79" t="inlineStr">
        <is>
          <t>A 61872-2020</t>
        </is>
      </c>
      <c r="B79" s="1" t="n">
        <v>44159</v>
      </c>
      <c r="C79" s="1" t="n">
        <v>45752</v>
      </c>
      <c r="D79" t="inlineStr">
        <is>
          <t>ÖSTERGÖTLANDS LÄN</t>
        </is>
      </c>
      <c r="E79" t="inlineStr">
        <is>
          <t>NORRKÖPING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flugsnappare</t>
        </is>
      </c>
      <c r="S79">
        <f>HYPERLINK("https://klasma.github.io/Logging_0581/artfynd/A 61872-2020 artfynd.xlsx", "A 61872-2020")</f>
        <v/>
      </c>
      <c r="T79">
        <f>HYPERLINK("https://klasma.github.io/Logging_0581/kartor/A 61872-2020 karta.png", "A 61872-2020")</f>
        <v/>
      </c>
      <c r="V79">
        <f>HYPERLINK("https://klasma.github.io/Logging_0581/klagomål/A 61872-2020 FSC-klagomål.docx", "A 61872-2020")</f>
        <v/>
      </c>
      <c r="W79">
        <f>HYPERLINK("https://klasma.github.io/Logging_0581/klagomålsmail/A 61872-2020 FSC-klagomål mail.docx", "A 61872-2020")</f>
        <v/>
      </c>
      <c r="X79">
        <f>HYPERLINK("https://klasma.github.io/Logging_0581/tillsyn/A 61872-2020 tillsynsbegäran.docx", "A 61872-2020")</f>
        <v/>
      </c>
      <c r="Y79">
        <f>HYPERLINK("https://klasma.github.io/Logging_0581/tillsynsmail/A 61872-2020 tillsynsbegäran mail.docx", "A 61872-2020")</f>
        <v/>
      </c>
      <c r="Z79">
        <f>HYPERLINK("https://klasma.github.io/Logging_0581/fåglar/A 61872-2020 prioriterade fågelarter.docx", "A 61872-2020")</f>
        <v/>
      </c>
    </row>
    <row r="80" ht="15" customHeight="1">
      <c r="A80" t="inlineStr">
        <is>
          <t>A 12457-2021</t>
        </is>
      </c>
      <c r="B80" s="1" t="n">
        <v>44267</v>
      </c>
      <c r="C80" s="1" t="n">
        <v>45752</v>
      </c>
      <c r="D80" t="inlineStr">
        <is>
          <t>ÖSTERGÖTLANDS LÄN</t>
        </is>
      </c>
      <c r="E80" t="inlineStr">
        <is>
          <t>NORRKÖPING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HYPERLINK("https://klasma.github.io/Logging_0581/artfynd/A 12457-2021 artfynd.xlsx", "A 12457-2021")</f>
        <v/>
      </c>
      <c r="T80">
        <f>HYPERLINK("https://klasma.github.io/Logging_0581/kartor/A 12457-2021 karta.png", "A 12457-2021")</f>
        <v/>
      </c>
      <c r="V80">
        <f>HYPERLINK("https://klasma.github.io/Logging_0581/klagomål/A 12457-2021 FSC-klagomål.docx", "A 12457-2021")</f>
        <v/>
      </c>
      <c r="W80">
        <f>HYPERLINK("https://klasma.github.io/Logging_0581/klagomålsmail/A 12457-2021 FSC-klagomål mail.docx", "A 12457-2021")</f>
        <v/>
      </c>
      <c r="X80">
        <f>HYPERLINK("https://klasma.github.io/Logging_0581/tillsyn/A 12457-2021 tillsynsbegäran.docx", "A 12457-2021")</f>
        <v/>
      </c>
      <c r="Y80">
        <f>HYPERLINK("https://klasma.github.io/Logging_0581/tillsynsmail/A 12457-2021 tillsynsbegäran mail.docx", "A 12457-2021")</f>
        <v/>
      </c>
    </row>
    <row r="81" ht="15" customHeight="1">
      <c r="A81" t="inlineStr">
        <is>
          <t>A 19825-2021</t>
        </is>
      </c>
      <c r="B81" s="1" t="n">
        <v>44313</v>
      </c>
      <c r="C81" s="1" t="n">
        <v>45752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HYPERLINK("https://klasma.github.io/Logging_0581/artfynd/A 19825-2021 artfynd.xlsx", "A 19825-2021")</f>
        <v/>
      </c>
      <c r="T81">
        <f>HYPERLINK("https://klasma.github.io/Logging_0581/kartor/A 19825-2021 karta.png", "A 19825-2021")</f>
        <v/>
      </c>
      <c r="V81">
        <f>HYPERLINK("https://klasma.github.io/Logging_0581/klagomål/A 19825-2021 FSC-klagomål.docx", "A 19825-2021")</f>
        <v/>
      </c>
      <c r="W81">
        <f>HYPERLINK("https://klasma.github.io/Logging_0581/klagomålsmail/A 19825-2021 FSC-klagomål mail.docx", "A 19825-2021")</f>
        <v/>
      </c>
      <c r="X81">
        <f>HYPERLINK("https://klasma.github.io/Logging_0581/tillsyn/A 19825-2021 tillsynsbegäran.docx", "A 19825-2021")</f>
        <v/>
      </c>
      <c r="Y81">
        <f>HYPERLINK("https://klasma.github.io/Logging_0581/tillsynsmail/A 19825-2021 tillsynsbegäran mail.docx", "A 19825-2021")</f>
        <v/>
      </c>
    </row>
    <row r="82" ht="15" customHeight="1">
      <c r="A82" t="inlineStr">
        <is>
          <t>A 25392-2021</t>
        </is>
      </c>
      <c r="B82" s="1" t="n">
        <v>44342</v>
      </c>
      <c r="C82" s="1" t="n">
        <v>45752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25392-2021 artfynd.xlsx", "A 25392-2021")</f>
        <v/>
      </c>
      <c r="T82">
        <f>HYPERLINK("https://klasma.github.io/Logging_0581/kartor/A 25392-2021 karta.png", "A 25392-2021")</f>
        <v/>
      </c>
      <c r="V82">
        <f>HYPERLINK("https://klasma.github.io/Logging_0581/klagomål/A 25392-2021 FSC-klagomål.docx", "A 25392-2021")</f>
        <v/>
      </c>
      <c r="W82">
        <f>HYPERLINK("https://klasma.github.io/Logging_0581/klagomålsmail/A 25392-2021 FSC-klagomål mail.docx", "A 25392-2021")</f>
        <v/>
      </c>
      <c r="X82">
        <f>HYPERLINK("https://klasma.github.io/Logging_0581/tillsyn/A 25392-2021 tillsynsbegäran.docx", "A 25392-2021")</f>
        <v/>
      </c>
      <c r="Y82">
        <f>HYPERLINK("https://klasma.github.io/Logging_0581/tillsynsmail/A 25392-2021 tillsynsbegäran mail.docx", "A 25392-2021")</f>
        <v/>
      </c>
      <c r="Z82">
        <f>HYPERLINK("https://klasma.github.io/Logging_0581/fåglar/A 25392-2021 prioriterade fågelarter.docx", "A 25392-2021")</f>
        <v/>
      </c>
    </row>
    <row r="83" ht="15" customHeight="1">
      <c r="A83" t="inlineStr">
        <is>
          <t>A 25614-2021</t>
        </is>
      </c>
      <c r="B83" s="1" t="n">
        <v>44343</v>
      </c>
      <c r="C83" s="1" t="n">
        <v>45752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Fällmossa</t>
        </is>
      </c>
      <c r="S83">
        <f>HYPERLINK("https://klasma.github.io/Logging_0581/artfynd/A 25614-2021 artfynd.xlsx", "A 25614-2021")</f>
        <v/>
      </c>
      <c r="T83">
        <f>HYPERLINK("https://klasma.github.io/Logging_0581/kartor/A 25614-2021 karta.png", "A 25614-2021")</f>
        <v/>
      </c>
      <c r="V83">
        <f>HYPERLINK("https://klasma.github.io/Logging_0581/klagomål/A 25614-2021 FSC-klagomål.docx", "A 25614-2021")</f>
        <v/>
      </c>
      <c r="W83">
        <f>HYPERLINK("https://klasma.github.io/Logging_0581/klagomålsmail/A 25614-2021 FSC-klagomål mail.docx", "A 25614-2021")</f>
        <v/>
      </c>
      <c r="X83">
        <f>HYPERLINK("https://klasma.github.io/Logging_0581/tillsyn/A 25614-2021 tillsynsbegäran.docx", "A 25614-2021")</f>
        <v/>
      </c>
      <c r="Y83">
        <f>HYPERLINK("https://klasma.github.io/Logging_0581/tillsynsmail/A 25614-2021 tillsynsbegäran mail.docx", "A 25614-2021")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45752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42188-2021</t>
        </is>
      </c>
      <c r="B85" s="1" t="n">
        <v>44426</v>
      </c>
      <c r="C85" s="1" t="n">
        <v>45752</v>
      </c>
      <c r="D85" t="inlineStr">
        <is>
          <t>ÖSTERGÖTLANDS LÄN</t>
        </is>
      </c>
      <c r="E85" t="inlineStr">
        <is>
          <t>NORRKÖPING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Ängsnycklar</t>
        </is>
      </c>
      <c r="S85">
        <f>HYPERLINK("https://klasma.github.io/Logging_0581/artfynd/A 42188-2021 artfynd.xlsx", "A 42188-2021")</f>
        <v/>
      </c>
      <c r="T85">
        <f>HYPERLINK("https://klasma.github.io/Logging_0581/kartor/A 42188-2021 karta.png", "A 42188-2021")</f>
        <v/>
      </c>
      <c r="V85">
        <f>HYPERLINK("https://klasma.github.io/Logging_0581/klagomål/A 42188-2021 FSC-klagomål.docx", "A 42188-2021")</f>
        <v/>
      </c>
      <c r="W85">
        <f>HYPERLINK("https://klasma.github.io/Logging_0581/klagomålsmail/A 42188-2021 FSC-klagomål mail.docx", "A 42188-2021")</f>
        <v/>
      </c>
      <c r="X85">
        <f>HYPERLINK("https://klasma.github.io/Logging_0581/tillsyn/A 42188-2021 tillsynsbegäran.docx", "A 42188-2021")</f>
        <v/>
      </c>
      <c r="Y85">
        <f>HYPERLINK("https://klasma.github.io/Logging_0581/tillsynsmail/A 42188-2021 tillsynsbegäran mail.docx", "A 42188-2021")</f>
        <v/>
      </c>
    </row>
    <row r="86" ht="15" customHeight="1">
      <c r="A86" t="inlineStr">
        <is>
          <t>A 48612-2021</t>
        </is>
      </c>
      <c r="B86" s="1" t="n">
        <v>44452</v>
      </c>
      <c r="C86" s="1" t="n">
        <v>45752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Skogsklocka</t>
        </is>
      </c>
      <c r="S86">
        <f>HYPERLINK("https://klasma.github.io/Logging_0581/artfynd/A 48612-2021 artfynd.xlsx", "A 48612-2021")</f>
        <v/>
      </c>
      <c r="T86">
        <f>HYPERLINK("https://klasma.github.io/Logging_0581/kartor/A 48612-2021 karta.png", "A 48612-2021")</f>
        <v/>
      </c>
      <c r="V86">
        <f>HYPERLINK("https://klasma.github.io/Logging_0581/klagomål/A 48612-2021 FSC-klagomål.docx", "A 48612-2021")</f>
        <v/>
      </c>
      <c r="W86">
        <f>HYPERLINK("https://klasma.github.io/Logging_0581/klagomålsmail/A 48612-2021 FSC-klagomål mail.docx", "A 48612-2021")</f>
        <v/>
      </c>
      <c r="X86">
        <f>HYPERLINK("https://klasma.github.io/Logging_0581/tillsyn/A 48612-2021 tillsynsbegäran.docx", "A 48612-2021")</f>
        <v/>
      </c>
      <c r="Y86">
        <f>HYPERLINK("https://klasma.github.io/Logging_0581/tillsynsmail/A 48612-2021 tillsynsbegäran mail.docx", "A 48612-2021")</f>
        <v/>
      </c>
    </row>
    <row r="87" ht="15" customHeight="1">
      <c r="A87" t="inlineStr">
        <is>
          <t>A 56584-2021</t>
        </is>
      </c>
      <c r="B87" s="1" t="n">
        <v>44480</v>
      </c>
      <c r="C87" s="1" t="n">
        <v>45752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Vätteros</t>
        </is>
      </c>
      <c r="S87">
        <f>HYPERLINK("https://klasma.github.io/Logging_0581/artfynd/A 56584-2021 artfynd.xlsx", "A 56584-2021")</f>
        <v/>
      </c>
      <c r="T87">
        <f>HYPERLINK("https://klasma.github.io/Logging_0581/kartor/A 56584-2021 karta.png", "A 56584-2021")</f>
        <v/>
      </c>
      <c r="V87">
        <f>HYPERLINK("https://klasma.github.io/Logging_0581/klagomål/A 56584-2021 FSC-klagomål.docx", "A 56584-2021")</f>
        <v/>
      </c>
      <c r="W87">
        <f>HYPERLINK("https://klasma.github.io/Logging_0581/klagomålsmail/A 56584-2021 FSC-klagomål mail.docx", "A 56584-2021")</f>
        <v/>
      </c>
      <c r="X87">
        <f>HYPERLINK("https://klasma.github.io/Logging_0581/tillsyn/A 56584-2021 tillsynsbegäran.docx", "A 56584-2021")</f>
        <v/>
      </c>
      <c r="Y87">
        <f>HYPERLINK("https://klasma.github.io/Logging_0581/tillsynsmail/A 56584-2021 tillsynsbegäran mail.docx", "A 56584-2021")</f>
        <v/>
      </c>
    </row>
    <row r="88" ht="15" customHeight="1">
      <c r="A88" t="inlineStr">
        <is>
          <t>A 59092-2021</t>
        </is>
      </c>
      <c r="B88" s="1" t="n">
        <v>44490</v>
      </c>
      <c r="C88" s="1" t="n">
        <v>45752</v>
      </c>
      <c r="D88" t="inlineStr">
        <is>
          <t>ÖSTERGÖTLANDS LÄN</t>
        </is>
      </c>
      <c r="E88" t="inlineStr">
        <is>
          <t>NORRKÖPING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59092-2021 artfynd.xlsx", "A 59092-2021")</f>
        <v/>
      </c>
      <c r="T88">
        <f>HYPERLINK("https://klasma.github.io/Logging_0581/kartor/A 59092-2021 karta.png", "A 59092-2021")</f>
        <v/>
      </c>
      <c r="V88">
        <f>HYPERLINK("https://klasma.github.io/Logging_0581/klagomål/A 59092-2021 FSC-klagomål.docx", "A 59092-2021")</f>
        <v/>
      </c>
      <c r="W88">
        <f>HYPERLINK("https://klasma.github.io/Logging_0581/klagomålsmail/A 59092-2021 FSC-klagomål mail.docx", "A 59092-2021")</f>
        <v/>
      </c>
      <c r="X88">
        <f>HYPERLINK("https://klasma.github.io/Logging_0581/tillsyn/A 59092-2021 tillsynsbegäran.docx", "A 59092-2021")</f>
        <v/>
      </c>
      <c r="Y88">
        <f>HYPERLINK("https://klasma.github.io/Logging_0581/tillsynsmail/A 59092-2021 tillsynsbegäran mail.docx", "A 59092-2021")</f>
        <v/>
      </c>
    </row>
    <row r="89" ht="15" customHeight="1">
      <c r="A89" t="inlineStr">
        <is>
          <t>A 59254-2021</t>
        </is>
      </c>
      <c r="B89" s="1" t="n">
        <v>44490</v>
      </c>
      <c r="C89" s="1" t="n">
        <v>45752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HYPERLINK("https://klasma.github.io/Logging_0581/artfynd/A 59254-2021 artfynd.xlsx", "A 59254-2021")</f>
        <v/>
      </c>
      <c r="T89">
        <f>HYPERLINK("https://klasma.github.io/Logging_0581/kartor/A 59254-2021 karta.png", "A 59254-2021")</f>
        <v/>
      </c>
      <c r="V89">
        <f>HYPERLINK("https://klasma.github.io/Logging_0581/klagomål/A 59254-2021 FSC-klagomål.docx", "A 59254-2021")</f>
        <v/>
      </c>
      <c r="W89">
        <f>HYPERLINK("https://klasma.github.io/Logging_0581/klagomålsmail/A 59254-2021 FSC-klagomål mail.docx", "A 59254-2021")</f>
        <v/>
      </c>
      <c r="X89">
        <f>HYPERLINK("https://klasma.github.io/Logging_0581/tillsyn/A 59254-2021 tillsynsbegäran.docx", "A 59254-2021")</f>
        <v/>
      </c>
      <c r="Y89">
        <f>HYPERLINK("https://klasma.github.io/Logging_0581/tillsynsmail/A 59254-2021 tillsynsbegäran mail.docx", "A 59254-2021")</f>
        <v/>
      </c>
    </row>
    <row r="90" ht="15" customHeight="1">
      <c r="A90" t="inlineStr">
        <is>
          <t>A 67652-2021</t>
        </is>
      </c>
      <c r="B90" s="1" t="n">
        <v>44524</v>
      </c>
      <c r="C90" s="1" t="n">
        <v>45752</v>
      </c>
      <c r="D90" t="inlineStr">
        <is>
          <t>ÖSTERGÖTLANDS LÄN</t>
        </is>
      </c>
      <c r="E90" t="inlineStr">
        <is>
          <t>NORRKÖPING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HYPERLINK("https://klasma.github.io/Logging_0581/artfynd/A 67652-2021 artfynd.xlsx", "A 67652-2021")</f>
        <v/>
      </c>
      <c r="T90">
        <f>HYPERLINK("https://klasma.github.io/Logging_0581/kartor/A 67652-2021 karta.png", "A 67652-2021")</f>
        <v/>
      </c>
      <c r="V90">
        <f>HYPERLINK("https://klasma.github.io/Logging_0581/klagomål/A 67652-2021 FSC-klagomål.docx", "A 67652-2021")</f>
        <v/>
      </c>
      <c r="W90">
        <f>HYPERLINK("https://klasma.github.io/Logging_0581/klagomålsmail/A 67652-2021 FSC-klagomål mail.docx", "A 67652-2021")</f>
        <v/>
      </c>
      <c r="X90">
        <f>HYPERLINK("https://klasma.github.io/Logging_0581/tillsyn/A 67652-2021 tillsynsbegäran.docx", "A 67652-2021")</f>
        <v/>
      </c>
      <c r="Y90">
        <f>HYPERLINK("https://klasma.github.io/Logging_0581/tillsynsmail/A 67652-2021 tillsynsbegäran mail.docx", "A 67652-2021")</f>
        <v/>
      </c>
    </row>
    <row r="91" ht="15" customHeight="1">
      <c r="A91" t="inlineStr">
        <is>
          <t>A 31897-2022</t>
        </is>
      </c>
      <c r="B91" s="1" t="n">
        <v>44777</v>
      </c>
      <c r="C91" s="1" t="n">
        <v>45752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31897-2022 artfynd.xlsx", "A 31897-2022")</f>
        <v/>
      </c>
      <c r="T91">
        <f>HYPERLINK("https://klasma.github.io/Logging_0581/kartor/A 31897-2022 karta.png", "A 31897-2022")</f>
        <v/>
      </c>
      <c r="V91">
        <f>HYPERLINK("https://klasma.github.io/Logging_0581/klagomål/A 31897-2022 FSC-klagomål.docx", "A 31897-2022")</f>
        <v/>
      </c>
      <c r="W91">
        <f>HYPERLINK("https://klasma.github.io/Logging_0581/klagomålsmail/A 31897-2022 FSC-klagomål mail.docx", "A 31897-2022")</f>
        <v/>
      </c>
      <c r="X91">
        <f>HYPERLINK("https://klasma.github.io/Logging_0581/tillsyn/A 31897-2022 tillsynsbegäran.docx", "A 31897-2022")</f>
        <v/>
      </c>
      <c r="Y91">
        <f>HYPERLINK("https://klasma.github.io/Logging_0581/tillsynsmail/A 31897-2022 tillsynsbegäran mail.docx", "A 31897-2022")</f>
        <v/>
      </c>
    </row>
    <row r="92" ht="15" customHeight="1">
      <c r="A92" t="inlineStr">
        <is>
          <t>A 55022-2022</t>
        </is>
      </c>
      <c r="B92" s="1" t="n">
        <v>44886</v>
      </c>
      <c r="C92" s="1" t="n">
        <v>45752</v>
      </c>
      <c r="D92" t="inlineStr">
        <is>
          <t>ÖSTERGÖTLANDS LÄN</t>
        </is>
      </c>
      <c r="E92" t="inlineStr">
        <is>
          <t>NORRKÖPING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 taggsvamp</t>
        </is>
      </c>
      <c r="S92">
        <f>HYPERLINK("https://klasma.github.io/Logging_0581/artfynd/A 55022-2022 artfynd.xlsx", "A 55022-2022")</f>
        <v/>
      </c>
      <c r="T92">
        <f>HYPERLINK("https://klasma.github.io/Logging_0581/kartor/A 55022-2022 karta.png", "A 55022-2022")</f>
        <v/>
      </c>
      <c r="V92">
        <f>HYPERLINK("https://klasma.github.io/Logging_0581/klagomål/A 55022-2022 FSC-klagomål.docx", "A 55022-2022")</f>
        <v/>
      </c>
      <c r="W92">
        <f>HYPERLINK("https://klasma.github.io/Logging_0581/klagomålsmail/A 55022-2022 FSC-klagomål mail.docx", "A 55022-2022")</f>
        <v/>
      </c>
      <c r="X92">
        <f>HYPERLINK("https://klasma.github.io/Logging_0581/tillsyn/A 55022-2022 tillsynsbegäran.docx", "A 55022-2022")</f>
        <v/>
      </c>
      <c r="Y92">
        <f>HYPERLINK("https://klasma.github.io/Logging_0581/tillsynsmail/A 55022-2022 tillsynsbegäran mail.docx", "A 55022-2022")</f>
        <v/>
      </c>
    </row>
    <row r="93" ht="15" customHeight="1">
      <c r="A93" t="inlineStr">
        <is>
          <t>A 2457-2023</t>
        </is>
      </c>
      <c r="B93" s="1" t="n">
        <v>44943</v>
      </c>
      <c r="C93" s="1" t="n">
        <v>45752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2457-2023 artfynd.xlsx", "A 2457-2023")</f>
        <v/>
      </c>
      <c r="T93">
        <f>HYPERLINK("https://klasma.github.io/Logging_0581/kartor/A 2457-2023 karta.png", "A 2457-2023")</f>
        <v/>
      </c>
      <c r="V93">
        <f>HYPERLINK("https://klasma.github.io/Logging_0581/klagomål/A 2457-2023 FSC-klagomål.docx", "A 2457-2023")</f>
        <v/>
      </c>
      <c r="W93">
        <f>HYPERLINK("https://klasma.github.io/Logging_0581/klagomålsmail/A 2457-2023 FSC-klagomål mail.docx", "A 2457-2023")</f>
        <v/>
      </c>
      <c r="X93">
        <f>HYPERLINK("https://klasma.github.io/Logging_0581/tillsyn/A 2457-2023 tillsynsbegäran.docx", "A 2457-2023")</f>
        <v/>
      </c>
      <c r="Y93">
        <f>HYPERLINK("https://klasma.github.io/Logging_0581/tillsynsmail/A 2457-2023 tillsynsbegäran mail.docx", "A 2457-2023")</f>
        <v/>
      </c>
    </row>
    <row r="94" ht="15" customHeight="1">
      <c r="A94" t="inlineStr">
        <is>
          <t>A 7264-2023</t>
        </is>
      </c>
      <c r="B94" s="1" t="n">
        <v>44970</v>
      </c>
      <c r="C94" s="1" t="n">
        <v>45752</v>
      </c>
      <c r="D94" t="inlineStr">
        <is>
          <t>ÖSTERGÖTLANDS LÄN</t>
        </is>
      </c>
      <c r="E94" t="inlineStr">
        <is>
          <t>NORRKÖPING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HYPERLINK("https://klasma.github.io/Logging_0581/artfynd/A 7264-2023 artfynd.xlsx", "A 7264-2023")</f>
        <v/>
      </c>
      <c r="T94">
        <f>HYPERLINK("https://klasma.github.io/Logging_0581/kartor/A 7264-2023 karta.png", "A 7264-2023")</f>
        <v/>
      </c>
      <c r="V94">
        <f>HYPERLINK("https://klasma.github.io/Logging_0581/klagomål/A 7264-2023 FSC-klagomål.docx", "A 7264-2023")</f>
        <v/>
      </c>
      <c r="W94">
        <f>HYPERLINK("https://klasma.github.io/Logging_0581/klagomålsmail/A 7264-2023 FSC-klagomål mail.docx", "A 7264-2023")</f>
        <v/>
      </c>
      <c r="X94">
        <f>HYPERLINK("https://klasma.github.io/Logging_0581/tillsyn/A 7264-2023 tillsynsbegäran.docx", "A 7264-2023")</f>
        <v/>
      </c>
      <c r="Y94">
        <f>HYPERLINK("https://klasma.github.io/Logging_0581/tillsynsmail/A 7264-2023 tillsynsbegäran mail.docx", "A 7264-2023")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45752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45752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20668-2023</t>
        </is>
      </c>
      <c r="B97" s="1" t="n">
        <v>45058</v>
      </c>
      <c r="C97" s="1" t="n">
        <v>45752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20668-2023 artfynd.xlsx", "A 20668-2023")</f>
        <v/>
      </c>
      <c r="T97">
        <f>HYPERLINK("https://klasma.github.io/Logging_0581/kartor/A 20668-2023 karta.png", "A 20668-2023")</f>
        <v/>
      </c>
      <c r="V97">
        <f>HYPERLINK("https://klasma.github.io/Logging_0581/klagomål/A 20668-2023 FSC-klagomål.docx", "A 20668-2023")</f>
        <v/>
      </c>
      <c r="W97">
        <f>HYPERLINK("https://klasma.github.io/Logging_0581/klagomålsmail/A 20668-2023 FSC-klagomål mail.docx", "A 20668-2023")</f>
        <v/>
      </c>
      <c r="X97">
        <f>HYPERLINK("https://klasma.github.io/Logging_0581/tillsyn/A 20668-2023 tillsynsbegäran.docx", "A 20668-2023")</f>
        <v/>
      </c>
      <c r="Y97">
        <f>HYPERLINK("https://klasma.github.io/Logging_0581/tillsynsmail/A 20668-2023 tillsynsbegäran mail.docx", "A 20668-2023")</f>
        <v/>
      </c>
    </row>
    <row r="98" ht="15" customHeight="1">
      <c r="A98" t="inlineStr">
        <is>
          <t>A 21833-2023</t>
        </is>
      </c>
      <c r="B98" s="1" t="n">
        <v>45068</v>
      </c>
      <c r="C98" s="1" t="n">
        <v>45752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HYPERLINK("https://klasma.github.io/Logging_0581/artfynd/A 21833-2023 artfynd.xlsx", "A 21833-2023")</f>
        <v/>
      </c>
      <c r="T98">
        <f>HYPERLINK("https://klasma.github.io/Logging_0581/kartor/A 21833-2023 karta.png", "A 21833-2023")</f>
        <v/>
      </c>
      <c r="V98">
        <f>HYPERLINK("https://klasma.github.io/Logging_0581/klagomål/A 21833-2023 FSC-klagomål.docx", "A 21833-2023")</f>
        <v/>
      </c>
      <c r="W98">
        <f>HYPERLINK("https://klasma.github.io/Logging_0581/klagomålsmail/A 21833-2023 FSC-klagomål mail.docx", "A 21833-2023")</f>
        <v/>
      </c>
      <c r="X98">
        <f>HYPERLINK("https://klasma.github.io/Logging_0581/tillsyn/A 21833-2023 tillsynsbegäran.docx", "A 21833-2023")</f>
        <v/>
      </c>
      <c r="Y98">
        <f>HYPERLINK("https://klasma.github.io/Logging_0581/tillsynsmail/A 21833-2023 tillsynsbegäran mail.docx", "A 21833-2023")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45752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29236-2023</t>
        </is>
      </c>
      <c r="B100" s="1" t="n">
        <v>45105</v>
      </c>
      <c r="C100" s="1" t="n">
        <v>45752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14.5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HYPERLINK("https://klasma.github.io/Logging_0581/artfynd/A 29236-2023 artfynd.xlsx", "A 29236-2023")</f>
        <v/>
      </c>
      <c r="T100">
        <f>HYPERLINK("https://klasma.github.io/Logging_0581/kartor/A 29236-2023 karta.png", "A 29236-2023")</f>
        <v/>
      </c>
      <c r="V100">
        <f>HYPERLINK("https://klasma.github.io/Logging_0581/klagomål/A 29236-2023 FSC-klagomål.docx", "A 29236-2023")</f>
        <v/>
      </c>
      <c r="W100">
        <f>HYPERLINK("https://klasma.github.io/Logging_0581/klagomålsmail/A 29236-2023 FSC-klagomål mail.docx", "A 29236-2023")</f>
        <v/>
      </c>
      <c r="X100">
        <f>HYPERLINK("https://klasma.github.io/Logging_0581/tillsyn/A 29236-2023 tillsynsbegäran.docx", "A 29236-2023")</f>
        <v/>
      </c>
      <c r="Y100">
        <f>HYPERLINK("https://klasma.github.io/Logging_0581/tillsynsmail/A 29236-2023 tillsynsbegäran mail.docx", "A 29236-2023")</f>
        <v/>
      </c>
    </row>
    <row r="101" ht="15" customHeight="1">
      <c r="A101" t="inlineStr">
        <is>
          <t>A 31663-2023</t>
        </is>
      </c>
      <c r="B101" s="1" t="n">
        <v>45117</v>
      </c>
      <c r="C101" s="1" t="n">
        <v>45752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HYPERLINK("https://klasma.github.io/Logging_0581/artfynd/A 31663-2023 artfynd.xlsx", "A 31663-2023")</f>
        <v/>
      </c>
      <c r="T101">
        <f>HYPERLINK("https://klasma.github.io/Logging_0581/kartor/A 31663-2023 karta.png", "A 31663-2023")</f>
        <v/>
      </c>
      <c r="V101">
        <f>HYPERLINK("https://klasma.github.io/Logging_0581/klagomål/A 31663-2023 FSC-klagomål.docx", "A 31663-2023")</f>
        <v/>
      </c>
      <c r="W101">
        <f>HYPERLINK("https://klasma.github.io/Logging_0581/klagomålsmail/A 31663-2023 FSC-klagomål mail.docx", "A 31663-2023")</f>
        <v/>
      </c>
      <c r="X101">
        <f>HYPERLINK("https://klasma.github.io/Logging_0581/tillsyn/A 31663-2023 tillsynsbegäran.docx", "A 31663-2023")</f>
        <v/>
      </c>
      <c r="Y101">
        <f>HYPERLINK("https://klasma.github.io/Logging_0581/tillsynsmail/A 31663-2023 tillsynsbegäran mail.docx", "A 31663-2023")</f>
        <v/>
      </c>
    </row>
    <row r="102" ht="15" customHeight="1">
      <c r="A102" t="inlineStr">
        <is>
          <t>A 31659-2023</t>
        </is>
      </c>
      <c r="B102" s="1" t="n">
        <v>45117</v>
      </c>
      <c r="C102" s="1" t="n">
        <v>45752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HYPERLINK("https://klasma.github.io/Logging_0581/artfynd/A 31659-2023 artfynd.xlsx", "A 31659-2023")</f>
        <v/>
      </c>
      <c r="T102">
        <f>HYPERLINK("https://klasma.github.io/Logging_0581/kartor/A 31659-2023 karta.png", "A 31659-2023")</f>
        <v/>
      </c>
      <c r="V102">
        <f>HYPERLINK("https://klasma.github.io/Logging_0581/klagomål/A 31659-2023 FSC-klagomål.docx", "A 31659-2023")</f>
        <v/>
      </c>
      <c r="W102">
        <f>HYPERLINK("https://klasma.github.io/Logging_0581/klagomålsmail/A 31659-2023 FSC-klagomål mail.docx", "A 31659-2023")</f>
        <v/>
      </c>
      <c r="X102">
        <f>HYPERLINK("https://klasma.github.io/Logging_0581/tillsyn/A 31659-2023 tillsynsbegäran.docx", "A 31659-2023")</f>
        <v/>
      </c>
      <c r="Y102">
        <f>HYPERLINK("https://klasma.github.io/Logging_0581/tillsynsmail/A 31659-2023 tillsynsbegäran mail.docx", "A 31659-2023")</f>
        <v/>
      </c>
      <c r="Z102">
        <f>HYPERLINK("https://klasma.github.io/Logging_0581/fåglar/A 31659-2023 prioriterade fågelarter.docx", "A 31659-2023")</f>
        <v/>
      </c>
    </row>
    <row r="103" ht="15" customHeight="1">
      <c r="A103" t="inlineStr">
        <is>
          <t>A 32510-2023</t>
        </is>
      </c>
      <c r="B103" s="1" t="n">
        <v>45121</v>
      </c>
      <c r="C103" s="1" t="n">
        <v>45752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HYPERLINK("https://klasma.github.io/Logging_0581/artfynd/A 32510-2023 artfynd.xlsx", "A 32510-2023")</f>
        <v/>
      </c>
      <c r="T103">
        <f>HYPERLINK("https://klasma.github.io/Logging_0581/kartor/A 32510-2023 karta.png", "A 32510-2023")</f>
        <v/>
      </c>
      <c r="V103">
        <f>HYPERLINK("https://klasma.github.io/Logging_0581/klagomål/A 32510-2023 FSC-klagomål.docx", "A 32510-2023")</f>
        <v/>
      </c>
      <c r="W103">
        <f>HYPERLINK("https://klasma.github.io/Logging_0581/klagomålsmail/A 32510-2023 FSC-klagomål mail.docx", "A 32510-2023")</f>
        <v/>
      </c>
      <c r="X103">
        <f>HYPERLINK("https://klasma.github.io/Logging_0581/tillsyn/A 32510-2023 tillsynsbegäran.docx", "A 32510-2023")</f>
        <v/>
      </c>
      <c r="Y103">
        <f>HYPERLINK("https://klasma.github.io/Logging_0581/tillsynsmail/A 32510-2023 tillsynsbegäran mail.docx", "A 32510-2023")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45752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46955-2023</t>
        </is>
      </c>
      <c r="B105" s="1" t="n">
        <v>45201</v>
      </c>
      <c r="C105" s="1" t="n">
        <v>45752</v>
      </c>
      <c r="D105" t="inlineStr">
        <is>
          <t>ÖSTERGÖTLANDS LÄN</t>
        </is>
      </c>
      <c r="E105" t="inlineStr">
        <is>
          <t>NORRKÖPING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46955-2023 artfynd.xlsx", "A 46955-2023")</f>
        <v/>
      </c>
      <c r="T105">
        <f>HYPERLINK("https://klasma.github.io/Logging_0581/kartor/A 46955-2023 karta.png", "A 46955-2023")</f>
        <v/>
      </c>
      <c r="V105">
        <f>HYPERLINK("https://klasma.github.io/Logging_0581/klagomål/A 46955-2023 FSC-klagomål.docx", "A 46955-2023")</f>
        <v/>
      </c>
      <c r="W105">
        <f>HYPERLINK("https://klasma.github.io/Logging_0581/klagomålsmail/A 46955-2023 FSC-klagomål mail.docx", "A 46955-2023")</f>
        <v/>
      </c>
      <c r="X105">
        <f>HYPERLINK("https://klasma.github.io/Logging_0581/tillsyn/A 46955-2023 tillsynsbegäran.docx", "A 46955-2023")</f>
        <v/>
      </c>
      <c r="Y105">
        <f>HYPERLINK("https://klasma.github.io/Logging_0581/tillsynsmail/A 46955-2023 tillsynsbegäran mail.docx", "A 46955-2023")</f>
        <v/>
      </c>
    </row>
    <row r="106" ht="15" customHeight="1">
      <c r="A106" t="inlineStr">
        <is>
          <t>A 46957-2023</t>
        </is>
      </c>
      <c r="B106" s="1" t="n">
        <v>45201</v>
      </c>
      <c r="C106" s="1" t="n">
        <v>45752</v>
      </c>
      <c r="D106" t="inlineStr">
        <is>
          <t>ÖSTERGÖTLANDS LÄN</t>
        </is>
      </c>
      <c r="E106" t="inlineStr">
        <is>
          <t>NORRKÖPING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HYPERLINK("https://klasma.github.io/Logging_0581/artfynd/A 46957-2023 artfynd.xlsx", "A 46957-2023")</f>
        <v/>
      </c>
      <c r="T106">
        <f>HYPERLINK("https://klasma.github.io/Logging_0581/kartor/A 46957-2023 karta.png", "A 46957-2023")</f>
        <v/>
      </c>
      <c r="V106">
        <f>HYPERLINK("https://klasma.github.io/Logging_0581/klagomål/A 46957-2023 FSC-klagomål.docx", "A 46957-2023")</f>
        <v/>
      </c>
      <c r="W106">
        <f>HYPERLINK("https://klasma.github.io/Logging_0581/klagomålsmail/A 46957-2023 FSC-klagomål mail.docx", "A 46957-2023")</f>
        <v/>
      </c>
      <c r="X106">
        <f>HYPERLINK("https://klasma.github.io/Logging_0581/tillsyn/A 46957-2023 tillsynsbegäran.docx", "A 46957-2023")</f>
        <v/>
      </c>
      <c r="Y106">
        <f>HYPERLINK("https://klasma.github.io/Logging_0581/tillsynsmail/A 46957-2023 tillsynsbegäran mail.docx", "A 46957-2023")</f>
        <v/>
      </c>
    </row>
    <row r="107" ht="15" customHeight="1">
      <c r="A107" t="inlineStr">
        <is>
          <t>A 48586-2023</t>
        </is>
      </c>
      <c r="B107" s="1" t="n">
        <v>45208</v>
      </c>
      <c r="C107" s="1" t="n">
        <v>45752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48586-2023 artfynd.xlsx", "A 48586-2023")</f>
        <v/>
      </c>
      <c r="T107">
        <f>HYPERLINK("https://klasma.github.io/Logging_0581/kartor/A 48586-2023 karta.png", "A 48586-2023")</f>
        <v/>
      </c>
      <c r="V107">
        <f>HYPERLINK("https://klasma.github.io/Logging_0581/klagomål/A 48586-2023 FSC-klagomål.docx", "A 48586-2023")</f>
        <v/>
      </c>
      <c r="W107">
        <f>HYPERLINK("https://klasma.github.io/Logging_0581/klagomålsmail/A 48586-2023 FSC-klagomål mail.docx", "A 48586-2023")</f>
        <v/>
      </c>
      <c r="X107">
        <f>HYPERLINK("https://klasma.github.io/Logging_0581/tillsyn/A 48586-2023 tillsynsbegäran.docx", "A 48586-2023")</f>
        <v/>
      </c>
      <c r="Y107">
        <f>HYPERLINK("https://klasma.github.io/Logging_0581/tillsynsmail/A 48586-2023 tillsynsbegäran mail.docx", "A 48586-2023")</f>
        <v/>
      </c>
    </row>
    <row r="108" ht="15" customHeight="1">
      <c r="A108" t="inlineStr">
        <is>
          <t>A 51973-2023</t>
        </is>
      </c>
      <c r="B108" s="1" t="n">
        <v>45223</v>
      </c>
      <c r="C108" s="1" t="n">
        <v>45752</v>
      </c>
      <c r="D108" t="inlineStr">
        <is>
          <t>ÖSTERGÖTLANDS LÄN</t>
        </is>
      </c>
      <c r="E108" t="inlineStr">
        <is>
          <t>NORRKÖPING</t>
        </is>
      </c>
      <c r="G108" t="n">
        <v>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51973-2023 artfynd.xlsx", "A 51973-2023")</f>
        <v/>
      </c>
      <c r="T108">
        <f>HYPERLINK("https://klasma.github.io/Logging_0581/kartor/A 51973-2023 karta.png", "A 51973-2023")</f>
        <v/>
      </c>
      <c r="V108">
        <f>HYPERLINK("https://klasma.github.io/Logging_0581/klagomål/A 51973-2023 FSC-klagomål.docx", "A 51973-2023")</f>
        <v/>
      </c>
      <c r="W108">
        <f>HYPERLINK("https://klasma.github.io/Logging_0581/klagomålsmail/A 51973-2023 FSC-klagomål mail.docx", "A 51973-2023")</f>
        <v/>
      </c>
      <c r="X108">
        <f>HYPERLINK("https://klasma.github.io/Logging_0581/tillsyn/A 51973-2023 tillsynsbegäran.docx", "A 51973-2023")</f>
        <v/>
      </c>
      <c r="Y108">
        <f>HYPERLINK("https://klasma.github.io/Logging_0581/tillsynsmail/A 51973-2023 tillsynsbegäran mail.docx", "A 51973-2023")</f>
        <v/>
      </c>
    </row>
    <row r="109" ht="15" customHeight="1">
      <c r="A109" t="inlineStr">
        <is>
          <t>A 58711-2023</t>
        </is>
      </c>
      <c r="B109" s="1" t="n">
        <v>45251</v>
      </c>
      <c r="C109" s="1" t="n">
        <v>45752</v>
      </c>
      <c r="D109" t="inlineStr">
        <is>
          <t>ÖSTERGÖTLANDS LÄN</t>
        </is>
      </c>
      <c r="E109" t="inlineStr">
        <is>
          <t>NORRKÖPING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HYPERLINK("https://klasma.github.io/Logging_0581/artfynd/A 58711-2023 artfynd.xlsx", "A 58711-2023")</f>
        <v/>
      </c>
      <c r="T109">
        <f>HYPERLINK("https://klasma.github.io/Logging_0581/kartor/A 58711-2023 karta.png", "A 58711-2023")</f>
        <v/>
      </c>
      <c r="V109">
        <f>HYPERLINK("https://klasma.github.io/Logging_0581/klagomål/A 58711-2023 FSC-klagomål.docx", "A 58711-2023")</f>
        <v/>
      </c>
      <c r="W109">
        <f>HYPERLINK("https://klasma.github.io/Logging_0581/klagomålsmail/A 58711-2023 FSC-klagomål mail.docx", "A 58711-2023")</f>
        <v/>
      </c>
      <c r="X109">
        <f>HYPERLINK("https://klasma.github.io/Logging_0581/tillsyn/A 58711-2023 tillsynsbegäran.docx", "A 58711-2023")</f>
        <v/>
      </c>
      <c r="Y109">
        <f>HYPERLINK("https://klasma.github.io/Logging_0581/tillsynsmail/A 58711-2023 tillsynsbegäran mail.docx", "A 58711-2023")</f>
        <v/>
      </c>
    </row>
    <row r="110" ht="15" customHeight="1">
      <c r="A110" t="inlineStr">
        <is>
          <t>A 59527-2023</t>
        </is>
      </c>
      <c r="B110" s="1" t="n">
        <v>45254</v>
      </c>
      <c r="C110" s="1" t="n">
        <v>45752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BillerudKorsnäs AB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HYPERLINK("https://klasma.github.io/Logging_0581/artfynd/A 59527-2023 artfynd.xlsx", "A 59527-2023")</f>
        <v/>
      </c>
      <c r="T110">
        <f>HYPERLINK("https://klasma.github.io/Logging_0581/kartor/A 59527-2023 karta.png", "A 59527-2023")</f>
        <v/>
      </c>
      <c r="V110">
        <f>HYPERLINK("https://klasma.github.io/Logging_0581/klagomål/A 59527-2023 FSC-klagomål.docx", "A 59527-2023")</f>
        <v/>
      </c>
      <c r="W110">
        <f>HYPERLINK("https://klasma.github.io/Logging_0581/klagomålsmail/A 59527-2023 FSC-klagomål mail.docx", "A 59527-2023")</f>
        <v/>
      </c>
      <c r="X110">
        <f>HYPERLINK("https://klasma.github.io/Logging_0581/tillsyn/A 59527-2023 tillsynsbegäran.docx", "A 59527-2023")</f>
        <v/>
      </c>
      <c r="Y110">
        <f>HYPERLINK("https://klasma.github.io/Logging_0581/tillsynsmail/A 59527-2023 tillsynsbegäran mail.docx", "A 59527-2023")</f>
        <v/>
      </c>
    </row>
    <row r="111" ht="15" customHeight="1">
      <c r="A111" t="inlineStr">
        <is>
          <t>A 63966-2023</t>
        </is>
      </c>
      <c r="B111" s="1" t="n">
        <v>45278</v>
      </c>
      <c r="C111" s="1" t="n">
        <v>45752</v>
      </c>
      <c r="D111" t="inlineStr">
        <is>
          <t>ÖSTERGÖTLANDS LÄN</t>
        </is>
      </c>
      <c r="E111" t="inlineStr">
        <is>
          <t>NORRKÖPING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63966-2023 artfynd.xlsx", "A 63966-2023")</f>
        <v/>
      </c>
      <c r="T111">
        <f>HYPERLINK("https://klasma.github.io/Logging_0581/kartor/A 63966-2023 karta.png", "A 63966-2023")</f>
        <v/>
      </c>
      <c r="V111">
        <f>HYPERLINK("https://klasma.github.io/Logging_0581/klagomål/A 63966-2023 FSC-klagomål.docx", "A 63966-2023")</f>
        <v/>
      </c>
      <c r="W111">
        <f>HYPERLINK("https://klasma.github.io/Logging_0581/klagomålsmail/A 63966-2023 FSC-klagomål mail.docx", "A 63966-2023")</f>
        <v/>
      </c>
      <c r="X111">
        <f>HYPERLINK("https://klasma.github.io/Logging_0581/tillsyn/A 63966-2023 tillsynsbegäran.docx", "A 63966-2023")</f>
        <v/>
      </c>
      <c r="Y111">
        <f>HYPERLINK("https://klasma.github.io/Logging_0581/tillsynsmail/A 63966-2023 tillsynsbegäran mail.docx", "A 63966-2023")</f>
        <v/>
      </c>
    </row>
    <row r="112" ht="15" customHeight="1">
      <c r="A112" t="inlineStr">
        <is>
          <t>A 1734-2024</t>
        </is>
      </c>
      <c r="B112" s="1" t="n">
        <v>45307</v>
      </c>
      <c r="C112" s="1" t="n">
        <v>45752</v>
      </c>
      <c r="D112" t="inlineStr">
        <is>
          <t>ÖSTERGÖTLANDS LÄN</t>
        </is>
      </c>
      <c r="E112" t="inlineStr">
        <is>
          <t>NORRKÖPING</t>
        </is>
      </c>
      <c r="G112" t="n">
        <v>7.5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Gröngöling</t>
        </is>
      </c>
      <c r="S112">
        <f>HYPERLINK("https://klasma.github.io/Logging_0581/artfynd/A 1734-2024 artfynd.xlsx", "A 1734-2024")</f>
        <v/>
      </c>
      <c r="T112">
        <f>HYPERLINK("https://klasma.github.io/Logging_0581/kartor/A 1734-2024 karta.png", "A 1734-2024")</f>
        <v/>
      </c>
      <c r="V112">
        <f>HYPERLINK("https://klasma.github.io/Logging_0581/klagomål/A 1734-2024 FSC-klagomål.docx", "A 1734-2024")</f>
        <v/>
      </c>
      <c r="W112">
        <f>HYPERLINK("https://klasma.github.io/Logging_0581/klagomålsmail/A 1734-2024 FSC-klagomål mail.docx", "A 1734-2024")</f>
        <v/>
      </c>
      <c r="X112">
        <f>HYPERLINK("https://klasma.github.io/Logging_0581/tillsyn/A 1734-2024 tillsynsbegäran.docx", "A 1734-2024")</f>
        <v/>
      </c>
      <c r="Y112">
        <f>HYPERLINK("https://klasma.github.io/Logging_0581/tillsynsmail/A 1734-2024 tillsynsbegäran mail.docx", "A 1734-2024")</f>
        <v/>
      </c>
      <c r="Z112">
        <f>HYPERLINK("https://klasma.github.io/Logging_0581/fåglar/A 1734-2024 prioriterade fågelarter.docx", "A 1734-2024")</f>
        <v/>
      </c>
    </row>
    <row r="113" ht="15" customHeight="1">
      <c r="A113" t="inlineStr">
        <is>
          <t>A 6116-2024</t>
        </is>
      </c>
      <c r="B113" s="1" t="n">
        <v>45337</v>
      </c>
      <c r="C113" s="1" t="n">
        <v>45752</v>
      </c>
      <c r="D113" t="inlineStr">
        <is>
          <t>ÖSTERGÖTLANDS LÄN</t>
        </is>
      </c>
      <c r="E113" t="inlineStr">
        <is>
          <t>NORRKÖPING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HYPERLINK("https://klasma.github.io/Logging_0581/artfynd/A 6116-2024 artfynd.xlsx", "A 6116-2024")</f>
        <v/>
      </c>
      <c r="T113">
        <f>HYPERLINK("https://klasma.github.io/Logging_0581/kartor/A 6116-2024 karta.png", "A 6116-2024")</f>
        <v/>
      </c>
      <c r="V113">
        <f>HYPERLINK("https://klasma.github.io/Logging_0581/klagomål/A 6116-2024 FSC-klagomål.docx", "A 6116-2024")</f>
        <v/>
      </c>
      <c r="W113">
        <f>HYPERLINK("https://klasma.github.io/Logging_0581/klagomålsmail/A 6116-2024 FSC-klagomål mail.docx", "A 6116-2024")</f>
        <v/>
      </c>
      <c r="X113">
        <f>HYPERLINK("https://klasma.github.io/Logging_0581/tillsyn/A 6116-2024 tillsynsbegäran.docx", "A 6116-2024")</f>
        <v/>
      </c>
      <c r="Y113">
        <f>HYPERLINK("https://klasma.github.io/Logging_0581/tillsynsmail/A 6116-2024 tillsynsbegäran mail.docx", "A 6116-2024")</f>
        <v/>
      </c>
    </row>
    <row r="114" ht="15" customHeight="1">
      <c r="A114" t="inlineStr">
        <is>
          <t>A 7650-2024</t>
        </is>
      </c>
      <c r="B114" s="1" t="n">
        <v>45348</v>
      </c>
      <c r="C114" s="1" t="n">
        <v>45752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Parasitsotlav</t>
        </is>
      </c>
      <c r="S114">
        <f>HYPERLINK("https://klasma.github.io/Logging_0581/artfynd/A 7650-2024 artfynd.xlsx", "A 7650-2024")</f>
        <v/>
      </c>
      <c r="T114">
        <f>HYPERLINK("https://klasma.github.io/Logging_0581/kartor/A 7650-2024 karta.png", "A 7650-2024")</f>
        <v/>
      </c>
      <c r="V114">
        <f>HYPERLINK("https://klasma.github.io/Logging_0581/klagomål/A 7650-2024 FSC-klagomål.docx", "A 7650-2024")</f>
        <v/>
      </c>
      <c r="W114">
        <f>HYPERLINK("https://klasma.github.io/Logging_0581/klagomålsmail/A 7650-2024 FSC-klagomål mail.docx", "A 7650-2024")</f>
        <v/>
      </c>
      <c r="X114">
        <f>HYPERLINK("https://klasma.github.io/Logging_0581/tillsyn/A 7650-2024 tillsynsbegäran.docx", "A 7650-2024")</f>
        <v/>
      </c>
      <c r="Y114">
        <f>HYPERLINK("https://klasma.github.io/Logging_0581/tillsynsmail/A 7650-2024 tillsynsbegäran mail.docx", "A 7650-2024")</f>
        <v/>
      </c>
    </row>
    <row r="115" ht="15" customHeight="1">
      <c r="A115" t="inlineStr">
        <is>
          <t>A 7733-2024</t>
        </is>
      </c>
      <c r="B115" s="1" t="n">
        <v>45349</v>
      </c>
      <c r="C115" s="1" t="n">
        <v>45752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7733-2024 artfynd.xlsx", "A 7733-2024")</f>
        <v/>
      </c>
      <c r="T115">
        <f>HYPERLINK("https://klasma.github.io/Logging_0581/kartor/A 7733-2024 karta.png", "A 7733-2024")</f>
        <v/>
      </c>
      <c r="V115">
        <f>HYPERLINK("https://klasma.github.io/Logging_0581/klagomål/A 7733-2024 FSC-klagomål.docx", "A 7733-2024")</f>
        <v/>
      </c>
      <c r="W115">
        <f>HYPERLINK("https://klasma.github.io/Logging_0581/klagomålsmail/A 7733-2024 FSC-klagomål mail.docx", "A 7733-2024")</f>
        <v/>
      </c>
      <c r="X115">
        <f>HYPERLINK("https://klasma.github.io/Logging_0581/tillsyn/A 7733-2024 tillsynsbegäran.docx", "A 7733-2024")</f>
        <v/>
      </c>
      <c r="Y115">
        <f>HYPERLINK("https://klasma.github.io/Logging_0581/tillsynsmail/A 7733-2024 tillsynsbegäran mail.docx", "A 7733-2024")</f>
        <v/>
      </c>
    </row>
    <row r="116" ht="15" customHeight="1">
      <c r="A116" t="inlineStr">
        <is>
          <t>A 8319-2024</t>
        </is>
      </c>
      <c r="B116" s="1" t="n">
        <v>45352</v>
      </c>
      <c r="C116" s="1" t="n">
        <v>45752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HYPERLINK("https://klasma.github.io/Logging_0581/artfynd/A 8319-2024 artfynd.xlsx", "A 8319-2024")</f>
        <v/>
      </c>
      <c r="T116">
        <f>HYPERLINK("https://klasma.github.io/Logging_0581/kartor/A 8319-2024 karta.png", "A 8319-2024")</f>
        <v/>
      </c>
      <c r="U116">
        <f>HYPERLINK("https://klasma.github.io/Logging_0581/knärot/A 8319-2024 karta knärot.png", "A 8319-2024")</f>
        <v/>
      </c>
      <c r="V116">
        <f>HYPERLINK("https://klasma.github.io/Logging_0581/klagomål/A 8319-2024 FSC-klagomål.docx", "A 8319-2024")</f>
        <v/>
      </c>
      <c r="W116">
        <f>HYPERLINK("https://klasma.github.io/Logging_0581/klagomålsmail/A 8319-2024 FSC-klagomål mail.docx", "A 8319-2024")</f>
        <v/>
      </c>
      <c r="X116">
        <f>HYPERLINK("https://klasma.github.io/Logging_0581/tillsyn/A 8319-2024 tillsynsbegäran.docx", "A 8319-2024")</f>
        <v/>
      </c>
      <c r="Y116">
        <f>HYPERLINK("https://klasma.github.io/Logging_0581/tillsynsmail/A 8319-2024 tillsynsbegäran mail.docx", "A 8319-2024")</f>
        <v/>
      </c>
    </row>
    <row r="117" ht="15" customHeight="1">
      <c r="A117" t="inlineStr">
        <is>
          <t>A 10769-2024</t>
        </is>
      </c>
      <c r="B117" s="1" t="n">
        <v>45369</v>
      </c>
      <c r="C117" s="1" t="n">
        <v>45752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HYPERLINK("https://klasma.github.io/Logging_0581/artfynd/A 10769-2024 artfynd.xlsx", "A 10769-2024")</f>
        <v/>
      </c>
      <c r="T117">
        <f>HYPERLINK("https://klasma.github.io/Logging_0581/kartor/A 10769-2024 karta.png", "A 10769-2024")</f>
        <v/>
      </c>
      <c r="V117">
        <f>HYPERLINK("https://klasma.github.io/Logging_0581/klagomål/A 10769-2024 FSC-klagomål.docx", "A 10769-2024")</f>
        <v/>
      </c>
      <c r="W117">
        <f>HYPERLINK("https://klasma.github.io/Logging_0581/klagomålsmail/A 10769-2024 FSC-klagomål mail.docx", "A 10769-2024")</f>
        <v/>
      </c>
      <c r="X117">
        <f>HYPERLINK("https://klasma.github.io/Logging_0581/tillsyn/A 10769-2024 tillsynsbegäran.docx", "A 10769-2024")</f>
        <v/>
      </c>
      <c r="Y117">
        <f>HYPERLINK("https://klasma.github.io/Logging_0581/tillsynsmail/A 10769-2024 tillsynsbegäran mail.docx", "A 10769-2024")</f>
        <v/>
      </c>
      <c r="Z117">
        <f>HYPERLINK("https://klasma.github.io/Logging_0581/fåglar/A 10769-2024 prioriterade fågelarter.docx", "A 10769-2024")</f>
        <v/>
      </c>
    </row>
    <row r="118" ht="15" customHeight="1">
      <c r="A118" t="inlineStr">
        <is>
          <t>A 12145-2024</t>
        </is>
      </c>
      <c r="B118" s="1" t="n">
        <v>45376</v>
      </c>
      <c r="C118" s="1" t="n">
        <v>45752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10.4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Gullgröppa</t>
        </is>
      </c>
      <c r="S118">
        <f>HYPERLINK("https://klasma.github.io/Logging_0581/artfynd/A 12145-2024 artfynd.xlsx", "A 12145-2024")</f>
        <v/>
      </c>
      <c r="T118">
        <f>HYPERLINK("https://klasma.github.io/Logging_0581/kartor/A 12145-2024 karta.png", "A 12145-2024")</f>
        <v/>
      </c>
      <c r="V118">
        <f>HYPERLINK("https://klasma.github.io/Logging_0581/klagomål/A 12145-2024 FSC-klagomål.docx", "A 12145-2024")</f>
        <v/>
      </c>
      <c r="W118">
        <f>HYPERLINK("https://klasma.github.io/Logging_0581/klagomålsmail/A 12145-2024 FSC-klagomål mail.docx", "A 12145-2024")</f>
        <v/>
      </c>
      <c r="X118">
        <f>HYPERLINK("https://klasma.github.io/Logging_0581/tillsyn/A 12145-2024 tillsynsbegäran.docx", "A 12145-2024")</f>
        <v/>
      </c>
      <c r="Y118">
        <f>HYPERLINK("https://klasma.github.io/Logging_0581/tillsynsmail/A 12145-2024 tillsynsbegäran mail.docx", "A 12145-2024")</f>
        <v/>
      </c>
    </row>
    <row r="119" ht="15" customHeight="1">
      <c r="A119" t="inlineStr">
        <is>
          <t>A 16610-2024</t>
        </is>
      </c>
      <c r="B119" s="1" t="n">
        <v>45408</v>
      </c>
      <c r="C119" s="1" t="n">
        <v>45752</v>
      </c>
      <c r="D119" t="inlineStr">
        <is>
          <t>ÖSTERGÖTLANDS LÄN</t>
        </is>
      </c>
      <c r="E119" t="inlineStr">
        <is>
          <t>NORRKÖPING</t>
        </is>
      </c>
      <c r="G119" t="n">
        <v>6.2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HYPERLINK("https://klasma.github.io/Logging_0581/artfynd/A 16610-2024 artfynd.xlsx", "A 16610-2024")</f>
        <v/>
      </c>
      <c r="T119">
        <f>HYPERLINK("https://klasma.github.io/Logging_0581/kartor/A 16610-2024 karta.png", "A 16610-2024")</f>
        <v/>
      </c>
      <c r="U119">
        <f>HYPERLINK("https://klasma.github.io/Logging_0581/knärot/A 16610-2024 karta knärot.png", "A 16610-2024")</f>
        <v/>
      </c>
      <c r="V119">
        <f>HYPERLINK("https://klasma.github.io/Logging_0581/klagomål/A 16610-2024 FSC-klagomål.docx", "A 16610-2024")</f>
        <v/>
      </c>
      <c r="W119">
        <f>HYPERLINK("https://klasma.github.io/Logging_0581/klagomålsmail/A 16610-2024 FSC-klagomål mail.docx", "A 16610-2024")</f>
        <v/>
      </c>
      <c r="X119">
        <f>HYPERLINK("https://klasma.github.io/Logging_0581/tillsyn/A 16610-2024 tillsynsbegäran.docx", "A 16610-2024")</f>
        <v/>
      </c>
      <c r="Y119">
        <f>HYPERLINK("https://klasma.github.io/Logging_0581/tillsynsmail/A 16610-2024 tillsynsbegäran mail.docx", "A 16610-2024")</f>
        <v/>
      </c>
    </row>
    <row r="120" ht="15" customHeight="1">
      <c r="A120" t="inlineStr">
        <is>
          <t>A 16867-2024</t>
        </is>
      </c>
      <c r="B120" s="1" t="n">
        <v>45411</v>
      </c>
      <c r="C120" s="1" t="n">
        <v>45752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Stare</t>
        </is>
      </c>
      <c r="S120">
        <f>HYPERLINK("https://klasma.github.io/Logging_0581/artfynd/A 16867-2024 artfynd.xlsx", "A 16867-2024")</f>
        <v/>
      </c>
      <c r="T120">
        <f>HYPERLINK("https://klasma.github.io/Logging_0581/kartor/A 16867-2024 karta.png", "A 16867-2024")</f>
        <v/>
      </c>
      <c r="V120">
        <f>HYPERLINK("https://klasma.github.io/Logging_0581/klagomål/A 16867-2024 FSC-klagomål.docx", "A 16867-2024")</f>
        <v/>
      </c>
      <c r="W120">
        <f>HYPERLINK("https://klasma.github.io/Logging_0581/klagomålsmail/A 16867-2024 FSC-klagomål mail.docx", "A 16867-2024")</f>
        <v/>
      </c>
      <c r="X120">
        <f>HYPERLINK("https://klasma.github.io/Logging_0581/tillsyn/A 16867-2024 tillsynsbegäran.docx", "A 16867-2024")</f>
        <v/>
      </c>
      <c r="Y120">
        <f>HYPERLINK("https://klasma.github.io/Logging_0581/tillsynsmail/A 16867-2024 tillsynsbegäran mail.docx", "A 16867-2024")</f>
        <v/>
      </c>
    </row>
    <row r="121" ht="15" customHeight="1">
      <c r="A121" t="inlineStr">
        <is>
          <t>A 18267-2024</t>
        </is>
      </c>
      <c r="B121" s="1" t="n">
        <v>45421</v>
      </c>
      <c r="C121" s="1" t="n">
        <v>45752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HYPERLINK("https://klasma.github.io/Logging_0581/artfynd/A 18267-2024 artfynd.xlsx", "A 18267-2024")</f>
        <v/>
      </c>
      <c r="T121">
        <f>HYPERLINK("https://klasma.github.io/Logging_0581/kartor/A 18267-2024 karta.png", "A 18267-2024")</f>
        <v/>
      </c>
      <c r="V121">
        <f>HYPERLINK("https://klasma.github.io/Logging_0581/klagomål/A 18267-2024 FSC-klagomål.docx", "A 18267-2024")</f>
        <v/>
      </c>
      <c r="W121">
        <f>HYPERLINK("https://klasma.github.io/Logging_0581/klagomålsmail/A 18267-2024 FSC-klagomål mail.docx", "A 18267-2024")</f>
        <v/>
      </c>
      <c r="X121">
        <f>HYPERLINK("https://klasma.github.io/Logging_0581/tillsyn/A 18267-2024 tillsynsbegäran.docx", "A 18267-2024")</f>
        <v/>
      </c>
      <c r="Y121">
        <f>HYPERLINK("https://klasma.github.io/Logging_0581/tillsynsmail/A 18267-2024 tillsynsbegäran mail.docx", "A 18267-2024")</f>
        <v/>
      </c>
    </row>
    <row r="122" ht="15" customHeight="1">
      <c r="A122" t="inlineStr">
        <is>
          <t>A 19256-2024</t>
        </is>
      </c>
      <c r="B122" s="1" t="n">
        <v>45428</v>
      </c>
      <c r="C122" s="1" t="n">
        <v>45752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Norrlandslav</t>
        </is>
      </c>
      <c r="S122">
        <f>HYPERLINK("https://klasma.github.io/Logging_0581/artfynd/A 19256-2024 artfynd.xlsx", "A 19256-2024")</f>
        <v/>
      </c>
      <c r="T122">
        <f>HYPERLINK("https://klasma.github.io/Logging_0581/kartor/A 19256-2024 karta.png", "A 19256-2024")</f>
        <v/>
      </c>
      <c r="V122">
        <f>HYPERLINK("https://klasma.github.io/Logging_0581/klagomål/A 19256-2024 FSC-klagomål.docx", "A 19256-2024")</f>
        <v/>
      </c>
      <c r="W122">
        <f>HYPERLINK("https://klasma.github.io/Logging_0581/klagomålsmail/A 19256-2024 FSC-klagomål mail.docx", "A 19256-2024")</f>
        <v/>
      </c>
      <c r="X122">
        <f>HYPERLINK("https://klasma.github.io/Logging_0581/tillsyn/A 19256-2024 tillsynsbegäran.docx", "A 19256-2024")</f>
        <v/>
      </c>
      <c r="Y122">
        <f>HYPERLINK("https://klasma.github.io/Logging_0581/tillsynsmail/A 19256-2024 tillsynsbegäran mail.docx", "A 19256-2024")</f>
        <v/>
      </c>
    </row>
    <row r="123" ht="15" customHeight="1">
      <c r="A123" t="inlineStr">
        <is>
          <t>A 20442-2024</t>
        </is>
      </c>
      <c r="B123" s="1" t="n">
        <v>45435</v>
      </c>
      <c r="C123" s="1" t="n">
        <v>45752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HYPERLINK("https://klasma.github.io/Logging_0581/artfynd/A 20442-2024 artfynd.xlsx", "A 20442-2024")</f>
        <v/>
      </c>
      <c r="T123">
        <f>HYPERLINK("https://klasma.github.io/Logging_0581/kartor/A 20442-2024 karta.png", "A 20442-2024")</f>
        <v/>
      </c>
      <c r="V123">
        <f>HYPERLINK("https://klasma.github.io/Logging_0581/klagomål/A 20442-2024 FSC-klagomål.docx", "A 20442-2024")</f>
        <v/>
      </c>
      <c r="W123">
        <f>HYPERLINK("https://klasma.github.io/Logging_0581/klagomålsmail/A 20442-2024 FSC-klagomål mail.docx", "A 20442-2024")</f>
        <v/>
      </c>
      <c r="X123">
        <f>HYPERLINK("https://klasma.github.io/Logging_0581/tillsyn/A 20442-2024 tillsynsbegäran.docx", "A 20442-2024")</f>
        <v/>
      </c>
      <c r="Y123">
        <f>HYPERLINK("https://klasma.github.io/Logging_0581/tillsynsmail/A 20442-2024 tillsynsbegäran mail.docx", "A 20442-2024")</f>
        <v/>
      </c>
    </row>
    <row r="124" ht="15" customHeight="1">
      <c r="A124" t="inlineStr">
        <is>
          <t>A 30318-2024</t>
        </is>
      </c>
      <c r="B124" s="1" t="n">
        <v>45490</v>
      </c>
      <c r="C124" s="1" t="n">
        <v>45752</v>
      </c>
      <c r="D124" t="inlineStr">
        <is>
          <t>ÖSTERGÖTLANDS LÄN</t>
        </is>
      </c>
      <c r="E124" t="inlineStr">
        <is>
          <t>NORRKÖPING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HYPERLINK("https://klasma.github.io/Logging_0581/artfynd/A 30318-2024 artfynd.xlsx", "A 30318-2024")</f>
        <v/>
      </c>
      <c r="T124">
        <f>HYPERLINK("https://klasma.github.io/Logging_0581/kartor/A 30318-2024 karta.png", "A 30318-2024")</f>
        <v/>
      </c>
      <c r="V124">
        <f>HYPERLINK("https://klasma.github.io/Logging_0581/klagomål/A 30318-2024 FSC-klagomål.docx", "A 30318-2024")</f>
        <v/>
      </c>
      <c r="W124">
        <f>HYPERLINK("https://klasma.github.io/Logging_0581/klagomålsmail/A 30318-2024 FSC-klagomål mail.docx", "A 30318-2024")</f>
        <v/>
      </c>
      <c r="X124">
        <f>HYPERLINK("https://klasma.github.io/Logging_0581/tillsyn/A 30318-2024 tillsynsbegäran.docx", "A 30318-2024")</f>
        <v/>
      </c>
      <c r="Y124">
        <f>HYPERLINK("https://klasma.github.io/Logging_0581/tillsynsmail/A 30318-2024 tillsynsbegäran mail.docx", "A 30318-2024")</f>
        <v/>
      </c>
    </row>
    <row r="125" ht="15" customHeight="1">
      <c r="A125" t="inlineStr">
        <is>
          <t>A 38876-2024</t>
        </is>
      </c>
      <c r="B125" s="1" t="n">
        <v>45547</v>
      </c>
      <c r="C125" s="1" t="n">
        <v>45752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15.1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Mindre märgborre</t>
        </is>
      </c>
      <c r="S125">
        <f>HYPERLINK("https://klasma.github.io/Logging_0581/artfynd/A 38876-2024 artfynd.xlsx", "A 38876-2024")</f>
        <v/>
      </c>
      <c r="T125">
        <f>HYPERLINK("https://klasma.github.io/Logging_0581/kartor/A 38876-2024 karta.png", "A 38876-2024")</f>
        <v/>
      </c>
      <c r="V125">
        <f>HYPERLINK("https://klasma.github.io/Logging_0581/klagomål/A 38876-2024 FSC-klagomål.docx", "A 38876-2024")</f>
        <v/>
      </c>
      <c r="W125">
        <f>HYPERLINK("https://klasma.github.io/Logging_0581/klagomålsmail/A 38876-2024 FSC-klagomål mail.docx", "A 38876-2024")</f>
        <v/>
      </c>
      <c r="X125">
        <f>HYPERLINK("https://klasma.github.io/Logging_0581/tillsyn/A 38876-2024 tillsynsbegäran.docx", "A 38876-2024")</f>
        <v/>
      </c>
      <c r="Y125">
        <f>HYPERLINK("https://klasma.github.io/Logging_0581/tillsynsmail/A 38876-2024 tillsynsbegäran mail.docx", "A 38876-2024")</f>
        <v/>
      </c>
    </row>
    <row r="126" ht="15" customHeight="1">
      <c r="A126" t="inlineStr">
        <is>
          <t>A 45953-2024</t>
        </is>
      </c>
      <c r="B126" s="1" t="n">
        <v>45580</v>
      </c>
      <c r="C126" s="1" t="n">
        <v>45752</v>
      </c>
      <c r="D126" t="inlineStr">
        <is>
          <t>ÖSTERGÖTLANDS LÄN</t>
        </is>
      </c>
      <c r="E126" t="inlineStr">
        <is>
          <t>NORRKÖPING</t>
        </is>
      </c>
      <c r="G126" t="n">
        <v>1.9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Ekoxe</t>
        </is>
      </c>
      <c r="S126">
        <f>HYPERLINK("https://klasma.github.io/Logging_0581/artfynd/A 45953-2024 artfynd.xlsx", "A 45953-2024")</f>
        <v/>
      </c>
      <c r="T126">
        <f>HYPERLINK("https://klasma.github.io/Logging_0581/kartor/A 45953-2024 karta.png", "A 45953-2024")</f>
        <v/>
      </c>
      <c r="V126">
        <f>HYPERLINK("https://klasma.github.io/Logging_0581/klagomål/A 45953-2024 FSC-klagomål.docx", "A 45953-2024")</f>
        <v/>
      </c>
      <c r="W126">
        <f>HYPERLINK("https://klasma.github.io/Logging_0581/klagomålsmail/A 45953-2024 FSC-klagomål mail.docx", "A 45953-2024")</f>
        <v/>
      </c>
      <c r="X126">
        <f>HYPERLINK("https://klasma.github.io/Logging_0581/tillsyn/A 45953-2024 tillsynsbegäran.docx", "A 45953-2024")</f>
        <v/>
      </c>
      <c r="Y126">
        <f>HYPERLINK("https://klasma.github.io/Logging_0581/tillsynsmail/A 45953-2024 tillsynsbegäran mail.docx", "A 45953-2024")</f>
        <v/>
      </c>
    </row>
    <row r="127" ht="15" customHeight="1">
      <c r="A127" t="inlineStr">
        <is>
          <t>A 46696-2024</t>
        </is>
      </c>
      <c r="B127" s="1" t="n">
        <v>45583</v>
      </c>
      <c r="C127" s="1" t="n">
        <v>45752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HYPERLINK("https://klasma.github.io/Logging_0581/artfynd/A 46696-2024 artfynd.xlsx", "A 46696-2024")</f>
        <v/>
      </c>
      <c r="T127">
        <f>HYPERLINK("https://klasma.github.io/Logging_0581/kartor/A 46696-2024 karta.png", "A 46696-2024")</f>
        <v/>
      </c>
      <c r="V127">
        <f>HYPERLINK("https://klasma.github.io/Logging_0581/klagomål/A 46696-2024 FSC-klagomål.docx", "A 46696-2024")</f>
        <v/>
      </c>
      <c r="W127">
        <f>HYPERLINK("https://klasma.github.io/Logging_0581/klagomålsmail/A 46696-2024 FSC-klagomål mail.docx", "A 46696-2024")</f>
        <v/>
      </c>
      <c r="X127">
        <f>HYPERLINK("https://klasma.github.io/Logging_0581/tillsyn/A 46696-2024 tillsynsbegäran.docx", "A 46696-2024")</f>
        <v/>
      </c>
      <c r="Y127">
        <f>HYPERLINK("https://klasma.github.io/Logging_0581/tillsynsmail/A 46696-2024 tillsynsbegäran mail.docx", "A 46696-2024")</f>
        <v/>
      </c>
    </row>
    <row r="128" ht="15" customHeight="1">
      <c r="A128" t="inlineStr">
        <is>
          <t>A 46640-2024</t>
        </is>
      </c>
      <c r="B128" s="1" t="n">
        <v>45583</v>
      </c>
      <c r="C128" s="1" t="n">
        <v>45752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HYPERLINK("https://klasma.github.io/Logging_0581/artfynd/A 46640-2024 artfynd.xlsx", "A 46640-2024")</f>
        <v/>
      </c>
      <c r="T128">
        <f>HYPERLINK("https://klasma.github.io/Logging_0581/kartor/A 46640-2024 karta.png", "A 46640-2024")</f>
        <v/>
      </c>
      <c r="V128">
        <f>HYPERLINK("https://klasma.github.io/Logging_0581/klagomål/A 46640-2024 FSC-klagomål.docx", "A 46640-2024")</f>
        <v/>
      </c>
      <c r="W128">
        <f>HYPERLINK("https://klasma.github.io/Logging_0581/klagomålsmail/A 46640-2024 FSC-klagomål mail.docx", "A 46640-2024")</f>
        <v/>
      </c>
      <c r="X128">
        <f>HYPERLINK("https://klasma.github.io/Logging_0581/tillsyn/A 46640-2024 tillsynsbegäran.docx", "A 46640-2024")</f>
        <v/>
      </c>
      <c r="Y128">
        <f>HYPERLINK("https://klasma.github.io/Logging_0581/tillsynsmail/A 46640-2024 tillsynsbegäran mail.docx", "A 46640-2024")</f>
        <v/>
      </c>
    </row>
    <row r="129" ht="15" customHeight="1">
      <c r="A129" t="inlineStr">
        <is>
          <t>A 59830-2024</t>
        </is>
      </c>
      <c r="B129" s="1" t="n">
        <v>45639</v>
      </c>
      <c r="C129" s="1" t="n">
        <v>45752</v>
      </c>
      <c r="D129" t="inlineStr">
        <is>
          <t>ÖSTERGÖTLANDS LÄN</t>
        </is>
      </c>
      <c r="E129" t="inlineStr">
        <is>
          <t>NORRKÖPING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Kattfotslav</t>
        </is>
      </c>
      <c r="S129">
        <f>HYPERLINK("https://klasma.github.io/Logging_0581/artfynd/A 59830-2024 artfynd.xlsx", "A 59830-2024")</f>
        <v/>
      </c>
      <c r="T129">
        <f>HYPERLINK("https://klasma.github.io/Logging_0581/kartor/A 59830-2024 karta.png", "A 59830-2024")</f>
        <v/>
      </c>
      <c r="V129">
        <f>HYPERLINK("https://klasma.github.io/Logging_0581/klagomål/A 59830-2024 FSC-klagomål.docx", "A 59830-2024")</f>
        <v/>
      </c>
      <c r="W129">
        <f>HYPERLINK("https://klasma.github.io/Logging_0581/klagomålsmail/A 59830-2024 FSC-klagomål mail.docx", "A 59830-2024")</f>
        <v/>
      </c>
      <c r="X129">
        <f>HYPERLINK("https://klasma.github.io/Logging_0581/tillsyn/A 59830-2024 tillsynsbegäran.docx", "A 59830-2024")</f>
        <v/>
      </c>
      <c r="Y129">
        <f>HYPERLINK("https://klasma.github.io/Logging_0581/tillsynsmail/A 59830-2024 tillsynsbegäran mail.docx", "A 59830-2024")</f>
        <v/>
      </c>
    </row>
    <row r="130" ht="15" customHeight="1">
      <c r="A130" t="inlineStr">
        <is>
          <t>A 7316-2025</t>
        </is>
      </c>
      <c r="B130" s="1" t="n">
        <v>45702</v>
      </c>
      <c r="C130" s="1" t="n">
        <v>45752</v>
      </c>
      <c r="D130" t="inlineStr">
        <is>
          <t>ÖSTERGÖTLANDS LÄN</t>
        </is>
      </c>
      <c r="E130" t="inlineStr">
        <is>
          <t>NORRKÖPING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Vinterhämpling</t>
        </is>
      </c>
      <c r="S130">
        <f>HYPERLINK("https://klasma.github.io/Logging_0581/artfynd/A 7316-2025 artfynd.xlsx", "A 7316-2025")</f>
        <v/>
      </c>
      <c r="T130">
        <f>HYPERLINK("https://klasma.github.io/Logging_0581/kartor/A 7316-2025 karta.png", "A 7316-2025")</f>
        <v/>
      </c>
      <c r="V130">
        <f>HYPERLINK("https://klasma.github.io/Logging_0581/klagomål/A 7316-2025 FSC-klagomål.docx", "A 7316-2025")</f>
        <v/>
      </c>
      <c r="W130">
        <f>HYPERLINK("https://klasma.github.io/Logging_0581/klagomålsmail/A 7316-2025 FSC-klagomål mail.docx", "A 7316-2025")</f>
        <v/>
      </c>
      <c r="X130">
        <f>HYPERLINK("https://klasma.github.io/Logging_0581/tillsyn/A 7316-2025 tillsynsbegäran.docx", "A 7316-2025")</f>
        <v/>
      </c>
      <c r="Y130">
        <f>HYPERLINK("https://klasma.github.io/Logging_0581/tillsynsmail/A 7316-2025 tillsynsbegäran mail.docx", "A 7316-2025")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45752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HYPERLINK("https://klasma.github.io/Logging_050581/artfynd/A 11142-2025 artfynd.xlsx", "A 11142-2025")</f>
        <v/>
      </c>
      <c r="T131">
        <f>HYPERLINK("https://klasma.github.io/Logging_050581/kartor/A 11142-2025 karta.png", "A 11142-2025")</f>
        <v/>
      </c>
      <c r="V131">
        <f>HYPERLINK("https://klasma.github.io/Logging_050581/klagomål/A 11142-2025 FSC-klagomål.docx", "A 11142-2025")</f>
        <v/>
      </c>
      <c r="W131">
        <f>HYPERLINK("https://klasma.github.io/Logging_050581/klagomålsmail/A 11142-2025 FSC-klagomål mail.docx", "A 11142-2025")</f>
        <v/>
      </c>
      <c r="X131">
        <f>HYPERLINK("https://klasma.github.io/Logging_050581/tillsyn/A 11142-2025 tillsynsbegäran.docx", "A 11142-2025")</f>
        <v/>
      </c>
      <c r="Y131">
        <f>HYPERLINK("https://klasma.github.io/Logging_050581/tillsynsmail/A 11142-2025 tillsynsbegäran mail.docx", "A 11142-2025")</f>
        <v/>
      </c>
    </row>
    <row r="132" ht="15" customHeight="1">
      <c r="A132" t="inlineStr">
        <is>
          <t>A 11077-2025</t>
        </is>
      </c>
      <c r="B132" s="1" t="n">
        <v>45723</v>
      </c>
      <c r="C132" s="1" t="n">
        <v>45752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HYPERLINK("https://klasma.github.io/Logging_050581/artfynd/A 11077-2025 artfynd.xlsx", "A 11077-2025")</f>
        <v/>
      </c>
      <c r="T132">
        <f>HYPERLINK("https://klasma.github.io/Logging_050581/kartor/A 11077-2025 karta.png", "A 11077-2025")</f>
        <v/>
      </c>
      <c r="U132">
        <f>HYPERLINK("https://klasma.github.io/Logging_050581/knärot/A 11077-2025 karta knärot.png", "A 11077-2025")</f>
        <v/>
      </c>
      <c r="V132">
        <f>HYPERLINK("https://klasma.github.io/Logging_050581/klagomål/A 11077-2025 FSC-klagomål.docx", "A 11077-2025")</f>
        <v/>
      </c>
      <c r="W132">
        <f>HYPERLINK("https://klasma.github.io/Logging_050581/klagomålsmail/A 11077-2025 FSC-klagomål mail.docx", "A 11077-2025")</f>
        <v/>
      </c>
      <c r="X132">
        <f>HYPERLINK("https://klasma.github.io/Logging_050581/tillsyn/A 11077-2025 tillsynsbegäran.docx", "A 11077-2025")</f>
        <v/>
      </c>
      <c r="Y132">
        <f>HYPERLINK("https://klasma.github.io/Logging_050581/tillsynsmail/A 11077-2025 tillsynsbegäran mail.docx", "A 11077-2025")</f>
        <v/>
      </c>
    </row>
    <row r="133" ht="15" customHeight="1">
      <c r="A133" t="inlineStr">
        <is>
          <t>A 11085-2025</t>
        </is>
      </c>
      <c r="B133" s="1" t="n">
        <v>45723</v>
      </c>
      <c r="C133" s="1" t="n">
        <v>45752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HYPERLINK("https://klasma.github.io/Logging_050581/artfynd/A 11085-2025 artfynd.xlsx", "A 11085-2025")</f>
        <v/>
      </c>
      <c r="T133">
        <f>HYPERLINK("https://klasma.github.io/Logging_050581/kartor/A 11085-2025 karta.png", "A 11085-2025")</f>
        <v/>
      </c>
      <c r="V133">
        <f>HYPERLINK("https://klasma.github.io/Logging_050581/klagomål/A 11085-2025 FSC-klagomål.docx", "A 11085-2025")</f>
        <v/>
      </c>
      <c r="W133">
        <f>HYPERLINK("https://klasma.github.io/Logging_050581/klagomålsmail/A 11085-2025 FSC-klagomål mail.docx", "A 11085-2025")</f>
        <v/>
      </c>
      <c r="X133">
        <f>HYPERLINK("https://klasma.github.io/Logging_050581/tillsyn/A 11085-2025 tillsynsbegäran.docx", "A 11085-2025")</f>
        <v/>
      </c>
      <c r="Y133">
        <f>HYPERLINK("https://klasma.github.io/Logging_050581/tillsynsmail/A 11085-2025 tillsynsbegäran mail.docx", "A 11085-2025")</f>
        <v/>
      </c>
    </row>
    <row r="134" ht="15" customHeight="1">
      <c r="A134" t="inlineStr">
        <is>
          <t>A 14636-2025</t>
        </is>
      </c>
      <c r="B134" s="1" t="n">
        <v>45742</v>
      </c>
      <c r="C134" s="1" t="n">
        <v>45752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HYPERLINK("https://klasma.github.io/Logging_050581/artfynd/A 14636-2025 artfynd.xlsx", "A 14636-2025")</f>
        <v/>
      </c>
      <c r="T134">
        <f>HYPERLINK("https://klasma.github.io/Logging_050581/kartor/A 14636-2025 karta.png", "A 14636-2025")</f>
        <v/>
      </c>
      <c r="V134">
        <f>HYPERLINK("https://klasma.github.io/Logging_050581/klagomål/A 14636-2025 FSC-klagomål.docx", "A 14636-2025")</f>
        <v/>
      </c>
      <c r="W134">
        <f>HYPERLINK("https://klasma.github.io/Logging_050581/klagomålsmail/A 14636-2025 FSC-klagomål mail.docx", "A 14636-2025")</f>
        <v/>
      </c>
      <c r="X134">
        <f>HYPERLINK("https://klasma.github.io/Logging_050581/tillsyn/A 14636-2025 tillsynsbegäran.docx", "A 14636-2025")</f>
        <v/>
      </c>
      <c r="Y134">
        <f>HYPERLINK("https://klasma.github.io/Logging_050581/tillsynsmail/A 14636-2025 tillsynsbegäran mail.docx", "A 14636-2025")</f>
        <v/>
      </c>
      <c r="Z134">
        <f>HYPERLINK("https://klasma.github.io/Logging_050581/fåglar/A 14636-2025 prioriterade fågelarter.docx", "A 14636-2025")</f>
        <v/>
      </c>
    </row>
    <row r="135" ht="15" customHeight="1">
      <c r="A135" t="inlineStr">
        <is>
          <t>A 18315-2019</t>
        </is>
      </c>
      <c r="B135" s="1" t="n">
        <v>43558</v>
      </c>
      <c r="C135" s="1" t="n">
        <v>45752</v>
      </c>
      <c r="D135" t="inlineStr">
        <is>
          <t>ÖSTERGÖTLANDS LÄN</t>
        </is>
      </c>
      <c r="E135" t="inlineStr">
        <is>
          <t>NORRKÖPING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18343-2019</t>
        </is>
      </c>
      <c r="B136" s="1" t="n">
        <v>43558</v>
      </c>
      <c r="C136" s="1" t="n">
        <v>45752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18369-2019</t>
        </is>
      </c>
      <c r="B137" s="1" t="n">
        <v>43558</v>
      </c>
      <c r="C137" s="1" t="n">
        <v>45752</v>
      </c>
      <c r="D137" t="inlineStr">
        <is>
          <t>ÖSTERGÖTLANDS LÄN</t>
        </is>
      </c>
      <c r="E137" t="inlineStr">
        <is>
          <t>NORRKÖPING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18970-2019</t>
        </is>
      </c>
      <c r="B138" s="1" t="n">
        <v>43563</v>
      </c>
      <c r="C138" s="1" t="n">
        <v>45752</v>
      </c>
      <c r="D138" t="inlineStr">
        <is>
          <t>ÖSTERGÖTLANDS LÄN</t>
        </is>
      </c>
      <c r="E138" t="inlineStr">
        <is>
          <t>NORRKÖPING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19139-2019</t>
        </is>
      </c>
      <c r="B139" s="1" t="n">
        <v>43564</v>
      </c>
      <c r="C139" s="1" t="n">
        <v>45752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19888-2019</t>
        </is>
      </c>
      <c r="B140" s="1" t="n">
        <v>43567</v>
      </c>
      <c r="C140" s="1" t="n">
        <v>45752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22133-2019</t>
        </is>
      </c>
      <c r="B141" s="1" t="n">
        <v>43584</v>
      </c>
      <c r="C141" s="1" t="n">
        <v>45752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22699-2019</t>
        </is>
      </c>
      <c r="B142" s="1" t="n">
        <v>43588</v>
      </c>
      <c r="C142" s="1" t="n">
        <v>45752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22704-2019</t>
        </is>
      </c>
      <c r="B143" s="1" t="n">
        <v>43588</v>
      </c>
      <c r="C143" s="1" t="n">
        <v>45752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23027-2019</t>
        </is>
      </c>
      <c r="B144" s="1" t="n">
        <v>43591</v>
      </c>
      <c r="C144" s="1" t="n">
        <v>45752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24056-2019</t>
        </is>
      </c>
      <c r="B145" s="1" t="n">
        <v>43598</v>
      </c>
      <c r="C145" s="1" t="n">
        <v>45752</v>
      </c>
      <c r="D145" t="inlineStr">
        <is>
          <t>ÖSTERGÖTLANDS LÄN</t>
        </is>
      </c>
      <c r="E145" t="inlineStr">
        <is>
          <t>NORRKÖPING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24854-2019</t>
        </is>
      </c>
      <c r="B146" s="1" t="n">
        <v>43602</v>
      </c>
      <c r="C146" s="1" t="n">
        <v>45752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25567-2019</t>
        </is>
      </c>
      <c r="B147" s="1" t="n">
        <v>43607</v>
      </c>
      <c r="C147" s="1" t="n">
        <v>45752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25815-2019</t>
        </is>
      </c>
      <c r="B148" s="1" t="n">
        <v>43608</v>
      </c>
      <c r="C148" s="1" t="n">
        <v>45752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26283-2019</t>
        </is>
      </c>
      <c r="B149" s="1" t="n">
        <v>43611</v>
      </c>
      <c r="C149" s="1" t="n">
        <v>45752</v>
      </c>
      <c r="D149" t="inlineStr">
        <is>
          <t>ÖSTERGÖTLANDS LÄN</t>
        </is>
      </c>
      <c r="E149" t="inlineStr">
        <is>
          <t>NORRKÖPING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29181-2019</t>
        </is>
      </c>
      <c r="B150" s="1" t="n">
        <v>43628</v>
      </c>
      <c r="C150" s="1" t="n">
        <v>45752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29673-2019</t>
        </is>
      </c>
      <c r="B151" s="1" t="n">
        <v>43630</v>
      </c>
      <c r="C151" s="1" t="n">
        <v>45752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30998-2019</t>
        </is>
      </c>
      <c r="B152" s="1" t="n">
        <v>43640</v>
      </c>
      <c r="C152" s="1" t="n">
        <v>45752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32292-2019</t>
        </is>
      </c>
      <c r="B153" s="1" t="n">
        <v>43644</v>
      </c>
      <c r="C153" s="1" t="n">
        <v>45752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34300-2019</t>
        </is>
      </c>
      <c r="B154" s="1" t="n">
        <v>43655</v>
      </c>
      <c r="C154" s="1" t="n">
        <v>45752</v>
      </c>
      <c r="D154" t="inlineStr">
        <is>
          <t>ÖSTERGÖTLANDS LÄN</t>
        </is>
      </c>
      <c r="E154" t="inlineStr">
        <is>
          <t>NORRKÖPING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36319-2019</t>
        </is>
      </c>
      <c r="B155" s="1" t="n">
        <v>43661</v>
      </c>
      <c r="C155" s="1" t="n">
        <v>45752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36869-2019</t>
        </is>
      </c>
      <c r="B156" s="1" t="n">
        <v>43675</v>
      </c>
      <c r="C156" s="1" t="n">
        <v>45752</v>
      </c>
      <c r="D156" t="inlineStr">
        <is>
          <t>ÖSTERGÖTLANDS LÄN</t>
        </is>
      </c>
      <c r="E156" t="inlineStr">
        <is>
          <t>NORRKÖPING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38361-2019</t>
        </is>
      </c>
      <c r="B157" s="1" t="n">
        <v>43685</v>
      </c>
      <c r="C157" s="1" t="n">
        <v>45752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39413-2019</t>
        </is>
      </c>
      <c r="B158" s="1" t="n">
        <v>43691</v>
      </c>
      <c r="C158" s="1" t="n">
        <v>45752</v>
      </c>
      <c r="D158" t="inlineStr">
        <is>
          <t>ÖSTERGÖTLANDS LÄN</t>
        </is>
      </c>
      <c r="E158" t="inlineStr">
        <is>
          <t>NORRKÖPING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39437-2019</t>
        </is>
      </c>
      <c r="B159" s="1" t="n">
        <v>43691</v>
      </c>
      <c r="C159" s="1" t="n">
        <v>45752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39640-2019</t>
        </is>
      </c>
      <c r="B160" s="1" t="n">
        <v>43691</v>
      </c>
      <c r="C160" s="1" t="n">
        <v>45752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40375-2019</t>
        </is>
      </c>
      <c r="B161" s="1" t="n">
        <v>43696</v>
      </c>
      <c r="C161" s="1" t="n">
        <v>45752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40928-2019</t>
        </is>
      </c>
      <c r="B162" s="1" t="n">
        <v>43697</v>
      </c>
      <c r="C162" s="1" t="n">
        <v>45752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40889-2019</t>
        </is>
      </c>
      <c r="B163" s="1" t="n">
        <v>43697</v>
      </c>
      <c r="C163" s="1" t="n">
        <v>45752</v>
      </c>
      <c r="D163" t="inlineStr">
        <is>
          <t>ÖSTERGÖTLANDS LÄN</t>
        </is>
      </c>
      <c r="E163" t="inlineStr">
        <is>
          <t>NORRKÖPING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40908-2019</t>
        </is>
      </c>
      <c r="B164" s="1" t="n">
        <v>43697</v>
      </c>
      <c r="C164" s="1" t="n">
        <v>45752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41800-2019</t>
        </is>
      </c>
      <c r="B165" s="1" t="n">
        <v>43700</v>
      </c>
      <c r="C165" s="1" t="n">
        <v>45752</v>
      </c>
      <c r="D165" t="inlineStr">
        <is>
          <t>ÖSTERGÖTLANDS LÄN</t>
        </is>
      </c>
      <c r="E165" t="inlineStr">
        <is>
          <t>NORRKÖPING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43114-2019</t>
        </is>
      </c>
      <c r="B166" s="1" t="n">
        <v>43705</v>
      </c>
      <c r="C166" s="1" t="n">
        <v>45752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42901-2019</t>
        </is>
      </c>
      <c r="B167" s="1" t="n">
        <v>43705</v>
      </c>
      <c r="C167" s="1" t="n">
        <v>45752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43813-2019</t>
        </is>
      </c>
      <c r="B168" s="1" t="n">
        <v>43707</v>
      </c>
      <c r="C168" s="1" t="n">
        <v>45752</v>
      </c>
      <c r="D168" t="inlineStr">
        <is>
          <t>ÖSTERGÖTLANDS LÄN</t>
        </is>
      </c>
      <c r="E168" t="inlineStr">
        <is>
          <t>NORRKÖPING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43918-2019</t>
        </is>
      </c>
      <c r="B169" s="1" t="n">
        <v>43707</v>
      </c>
      <c r="C169" s="1" t="n">
        <v>45752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46123-2019</t>
        </is>
      </c>
      <c r="B170" s="1" t="n">
        <v>43713</v>
      </c>
      <c r="C170" s="1" t="n">
        <v>45752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46595-2019</t>
        </is>
      </c>
      <c r="B171" s="1" t="n">
        <v>43719</v>
      </c>
      <c r="C171" s="1" t="n">
        <v>45752</v>
      </c>
      <c r="D171" t="inlineStr">
        <is>
          <t>ÖSTERGÖTLANDS LÄN</t>
        </is>
      </c>
      <c r="E171" t="inlineStr">
        <is>
          <t>NORRKÖPING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46757-2019</t>
        </is>
      </c>
      <c r="B172" s="1" t="n">
        <v>43720</v>
      </c>
      <c r="C172" s="1" t="n">
        <v>45752</v>
      </c>
      <c r="D172" t="inlineStr">
        <is>
          <t>ÖSTERGÖTLANDS LÄN</t>
        </is>
      </c>
      <c r="E172" t="inlineStr">
        <is>
          <t>NORRKÖPING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47024-2019</t>
        </is>
      </c>
      <c r="B173" s="1" t="n">
        <v>43720</v>
      </c>
      <c r="C173" s="1" t="n">
        <v>45752</v>
      </c>
      <c r="D173" t="inlineStr">
        <is>
          <t>ÖSTERGÖTLANDS LÄN</t>
        </is>
      </c>
      <c r="E173" t="inlineStr">
        <is>
          <t>NORRKÖPING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47555-2019</t>
        </is>
      </c>
      <c r="B174" s="1" t="n">
        <v>43724</v>
      </c>
      <c r="C174" s="1" t="n">
        <v>45752</v>
      </c>
      <c r="D174" t="inlineStr">
        <is>
          <t>ÖSTERGÖTLANDS LÄN</t>
        </is>
      </c>
      <c r="E174" t="inlineStr">
        <is>
          <t>NORRKÖPING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47726-2019</t>
        </is>
      </c>
      <c r="B175" s="1" t="n">
        <v>43724</v>
      </c>
      <c r="C175" s="1" t="n">
        <v>45752</v>
      </c>
      <c r="D175" t="inlineStr">
        <is>
          <t>ÖSTERGÖTLANDS LÄN</t>
        </is>
      </c>
      <c r="E175" t="inlineStr">
        <is>
          <t>NORRKÖPING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51924-2019</t>
        </is>
      </c>
      <c r="B176" s="1" t="n">
        <v>43741</v>
      </c>
      <c r="C176" s="1" t="n">
        <v>45752</v>
      </c>
      <c r="D176" t="inlineStr">
        <is>
          <t>ÖSTERGÖTLANDS LÄN</t>
        </is>
      </c>
      <c r="E176" t="inlineStr">
        <is>
          <t>NORRKÖPING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52468-2019</t>
        </is>
      </c>
      <c r="B177" s="1" t="n">
        <v>43745</v>
      </c>
      <c r="C177" s="1" t="n">
        <v>45752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54265-2019</t>
        </is>
      </c>
      <c r="B178" s="1" t="n">
        <v>43745</v>
      </c>
      <c r="C178" s="1" t="n">
        <v>45752</v>
      </c>
      <c r="D178" t="inlineStr">
        <is>
          <t>ÖSTERGÖTLANDS LÄN</t>
        </is>
      </c>
      <c r="E178" t="inlineStr">
        <is>
          <t>NORRKÖPING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53675-2019</t>
        </is>
      </c>
      <c r="B179" s="1" t="n">
        <v>43749</v>
      </c>
      <c r="C179" s="1" t="n">
        <v>45752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53869-2019</t>
        </is>
      </c>
      <c r="B180" s="1" t="n">
        <v>43752</v>
      </c>
      <c r="C180" s="1" t="n">
        <v>45752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53871-2019</t>
        </is>
      </c>
      <c r="B181" s="1" t="n">
        <v>43752</v>
      </c>
      <c r="C181" s="1" t="n">
        <v>45752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54287-2019</t>
        </is>
      </c>
      <c r="B182" s="1" t="n">
        <v>43753</v>
      </c>
      <c r="C182" s="1" t="n">
        <v>45752</v>
      </c>
      <c r="D182" t="inlineStr">
        <is>
          <t>ÖSTERGÖTLANDS LÄN</t>
        </is>
      </c>
      <c r="E182" t="inlineStr">
        <is>
          <t>NORRKÖPING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54420-2019</t>
        </is>
      </c>
      <c r="B183" s="1" t="n">
        <v>43754</v>
      </c>
      <c r="C183" s="1" t="n">
        <v>45752</v>
      </c>
      <c r="D183" t="inlineStr">
        <is>
          <t>ÖSTERGÖTLANDS LÄN</t>
        </is>
      </c>
      <c r="E183" t="inlineStr">
        <is>
          <t>NORRKÖPING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55086-2019</t>
        </is>
      </c>
      <c r="B184" s="1" t="n">
        <v>43756</v>
      </c>
      <c r="C184" s="1" t="n">
        <v>45752</v>
      </c>
      <c r="D184" t="inlineStr">
        <is>
          <t>ÖSTERGÖTLANDS LÄN</t>
        </is>
      </c>
      <c r="E184" t="inlineStr">
        <is>
          <t>NORRKÖPING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55339-2019</t>
        </is>
      </c>
      <c r="B185" s="1" t="n">
        <v>43756</v>
      </c>
      <c r="C185" s="1" t="n">
        <v>45752</v>
      </c>
      <c r="D185" t="inlineStr">
        <is>
          <t>ÖSTERGÖTLANDS LÄN</t>
        </is>
      </c>
      <c r="E185" t="inlineStr">
        <is>
          <t>NORRKÖPING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55097-2019</t>
        </is>
      </c>
      <c r="B186" s="1" t="n">
        <v>43756</v>
      </c>
      <c r="C186" s="1" t="n">
        <v>45752</v>
      </c>
      <c r="D186" t="inlineStr">
        <is>
          <t>ÖSTERGÖTLANDS LÄN</t>
        </is>
      </c>
      <c r="E186" t="inlineStr">
        <is>
          <t>NORRKÖPING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55547-2019</t>
        </is>
      </c>
      <c r="B187" s="1" t="n">
        <v>43757</v>
      </c>
      <c r="C187" s="1" t="n">
        <v>45752</v>
      </c>
      <c r="D187" t="inlineStr">
        <is>
          <t>ÖSTERGÖTLANDS LÄN</t>
        </is>
      </c>
      <c r="E187" t="inlineStr">
        <is>
          <t>NORRKÖPING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55511-2019</t>
        </is>
      </c>
      <c r="B188" s="1" t="n">
        <v>43759</v>
      </c>
      <c r="C188" s="1" t="n">
        <v>45752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57000-2019</t>
        </is>
      </c>
      <c r="B189" s="1" t="n">
        <v>43766</v>
      </c>
      <c r="C189" s="1" t="n">
        <v>45752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56995-2019</t>
        </is>
      </c>
      <c r="B190" s="1" t="n">
        <v>43766</v>
      </c>
      <c r="C190" s="1" t="n">
        <v>45752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57263-2019</t>
        </is>
      </c>
      <c r="B191" s="1" t="n">
        <v>43767</v>
      </c>
      <c r="C191" s="1" t="n">
        <v>45752</v>
      </c>
      <c r="D191" t="inlineStr">
        <is>
          <t>ÖSTERGÖTLANDS LÄN</t>
        </is>
      </c>
      <c r="E191" t="inlineStr">
        <is>
          <t>NORRKÖPING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57496-2019</t>
        </is>
      </c>
      <c r="B192" s="1" t="n">
        <v>43767</v>
      </c>
      <c r="C192" s="1" t="n">
        <v>45752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59720-2019</t>
        </is>
      </c>
      <c r="B193" s="1" t="n">
        <v>43776</v>
      </c>
      <c r="C193" s="1" t="n">
        <v>45752</v>
      </c>
      <c r="D193" t="inlineStr">
        <is>
          <t>ÖSTERGÖTLANDS LÄN</t>
        </is>
      </c>
      <c r="E193" t="inlineStr">
        <is>
          <t>NORRKÖPING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59939-2019</t>
        </is>
      </c>
      <c r="B194" s="1" t="n">
        <v>43777</v>
      </c>
      <c r="C194" s="1" t="n">
        <v>45752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60610-2019</t>
        </is>
      </c>
      <c r="B195" s="1" t="n">
        <v>43781</v>
      </c>
      <c r="C195" s="1" t="n">
        <v>45752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60984-2019</t>
        </is>
      </c>
      <c r="B196" s="1" t="n">
        <v>43782</v>
      </c>
      <c r="C196" s="1" t="n">
        <v>45752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60987-2019</t>
        </is>
      </c>
      <c r="B197" s="1" t="n">
        <v>43782</v>
      </c>
      <c r="C197" s="1" t="n">
        <v>45752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61913-2019</t>
        </is>
      </c>
      <c r="B198" s="1" t="n">
        <v>43787</v>
      </c>
      <c r="C198" s="1" t="n">
        <v>45752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63984-2019</t>
        </is>
      </c>
      <c r="B199" s="1" t="n">
        <v>43796</v>
      </c>
      <c r="C199" s="1" t="n">
        <v>45752</v>
      </c>
      <c r="D199" t="inlineStr">
        <is>
          <t>ÖSTERGÖTLANDS LÄN</t>
        </is>
      </c>
      <c r="E199" t="inlineStr">
        <is>
          <t>NORRKÖPING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64360-2019</t>
        </is>
      </c>
      <c r="B200" s="1" t="n">
        <v>43797</v>
      </c>
      <c r="C200" s="1" t="n">
        <v>45752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64731-2019</t>
        </is>
      </c>
      <c r="B201" s="1" t="n">
        <v>43800</v>
      </c>
      <c r="C201" s="1" t="n">
        <v>45752</v>
      </c>
      <c r="D201" t="inlineStr">
        <is>
          <t>ÖSTERGÖTLANDS LÄN</t>
        </is>
      </c>
      <c r="E201" t="inlineStr">
        <is>
          <t>NORRKÖPING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64734-2019</t>
        </is>
      </c>
      <c r="B202" s="1" t="n">
        <v>43800</v>
      </c>
      <c r="C202" s="1" t="n">
        <v>45752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64815-2019</t>
        </is>
      </c>
      <c r="B203" s="1" t="n">
        <v>43801</v>
      </c>
      <c r="C203" s="1" t="n">
        <v>45752</v>
      </c>
      <c r="D203" t="inlineStr">
        <is>
          <t>ÖSTERGÖTLANDS LÄN</t>
        </is>
      </c>
      <c r="E203" t="inlineStr">
        <is>
          <t>NORRKÖPING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66996-2019</t>
        </is>
      </c>
      <c r="B204" s="1" t="n">
        <v>43805</v>
      </c>
      <c r="C204" s="1" t="n">
        <v>45752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66245-2019</t>
        </is>
      </c>
      <c r="B205" s="1" t="n">
        <v>43808</v>
      </c>
      <c r="C205" s="1" t="n">
        <v>45752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68428-2019</t>
        </is>
      </c>
      <c r="B206" s="1" t="n">
        <v>43809</v>
      </c>
      <c r="C206" s="1" t="n">
        <v>45752</v>
      </c>
      <c r="D206" t="inlineStr">
        <is>
          <t>ÖSTERGÖTLANDS LÄN</t>
        </is>
      </c>
      <c r="E206" t="inlineStr">
        <is>
          <t>NORRKÖPING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67090-2019</t>
        </is>
      </c>
      <c r="B207" s="1" t="n">
        <v>43811</v>
      </c>
      <c r="C207" s="1" t="n">
        <v>45752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67452-2019</t>
        </is>
      </c>
      <c r="B208" s="1" t="n">
        <v>43812</v>
      </c>
      <c r="C208" s="1" t="n">
        <v>45752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67451-2019</t>
        </is>
      </c>
      <c r="B209" s="1" t="n">
        <v>43812</v>
      </c>
      <c r="C209" s="1" t="n">
        <v>45752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68465-2019</t>
        </is>
      </c>
      <c r="B210" s="1" t="n">
        <v>43818</v>
      </c>
      <c r="C210" s="1" t="n">
        <v>45752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69105-2019</t>
        </is>
      </c>
      <c r="B211" s="1" t="n">
        <v>43826</v>
      </c>
      <c r="C211" s="1" t="n">
        <v>45752</v>
      </c>
      <c r="D211" t="inlineStr">
        <is>
          <t>ÖSTERGÖTLANDS LÄN</t>
        </is>
      </c>
      <c r="E211" t="inlineStr">
        <is>
          <t>NORRKÖPING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69103-2019</t>
        </is>
      </c>
      <c r="B212" s="1" t="n">
        <v>43826</v>
      </c>
      <c r="C212" s="1" t="n">
        <v>45752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4207-2020</t>
        </is>
      </c>
      <c r="B213" s="1" t="n">
        <v>43857</v>
      </c>
      <c r="C213" s="1" t="n">
        <v>45752</v>
      </c>
      <c r="D213" t="inlineStr">
        <is>
          <t>ÖSTERGÖTLANDS LÄN</t>
        </is>
      </c>
      <c r="E213" t="inlineStr">
        <is>
          <t>NORRKÖPING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4247-2020</t>
        </is>
      </c>
      <c r="B214" s="1" t="n">
        <v>43857</v>
      </c>
      <c r="C214" s="1" t="n">
        <v>45752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4199-2020</t>
        </is>
      </c>
      <c r="B215" s="1" t="n">
        <v>43857</v>
      </c>
      <c r="C215" s="1" t="n">
        <v>45752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4195-2020</t>
        </is>
      </c>
      <c r="B216" s="1" t="n">
        <v>43857</v>
      </c>
      <c r="C216" s="1" t="n">
        <v>45752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4250-2020</t>
        </is>
      </c>
      <c r="B217" s="1" t="n">
        <v>43857</v>
      </c>
      <c r="C217" s="1" t="n">
        <v>45752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4248-2020</t>
        </is>
      </c>
      <c r="B218" s="1" t="n">
        <v>43857</v>
      </c>
      <c r="C218" s="1" t="n">
        <v>45752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5294-2020</t>
        </is>
      </c>
      <c r="B219" s="1" t="n">
        <v>43860</v>
      </c>
      <c r="C219" s="1" t="n">
        <v>45752</v>
      </c>
      <c r="D219" t="inlineStr">
        <is>
          <t>ÖSTERGÖTLANDS LÄN</t>
        </is>
      </c>
      <c r="E219" t="inlineStr">
        <is>
          <t>NORRKÖPING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5412-2020</t>
        </is>
      </c>
      <c r="B220" s="1" t="n">
        <v>43860</v>
      </c>
      <c r="C220" s="1" t="n">
        <v>45752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5305-2020</t>
        </is>
      </c>
      <c r="B221" s="1" t="n">
        <v>43860</v>
      </c>
      <c r="C221" s="1" t="n">
        <v>45752</v>
      </c>
      <c r="D221" t="inlineStr">
        <is>
          <t>ÖSTERGÖTLANDS LÄN</t>
        </is>
      </c>
      <c r="E221" t="inlineStr">
        <is>
          <t>NORRKÖPING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6000-2020</t>
        </is>
      </c>
      <c r="B222" s="1" t="n">
        <v>43864</v>
      </c>
      <c r="C222" s="1" t="n">
        <v>45752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6414-2020</t>
        </is>
      </c>
      <c r="B223" s="1" t="n">
        <v>43866</v>
      </c>
      <c r="C223" s="1" t="n">
        <v>45752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6338-2020</t>
        </is>
      </c>
      <c r="B224" s="1" t="n">
        <v>43866</v>
      </c>
      <c r="C224" s="1" t="n">
        <v>45752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6900-2020</t>
        </is>
      </c>
      <c r="B225" s="1" t="n">
        <v>43868</v>
      </c>
      <c r="C225" s="1" t="n">
        <v>45752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6951-2020</t>
        </is>
      </c>
      <c r="B226" s="1" t="n">
        <v>43868</v>
      </c>
      <c r="C226" s="1" t="n">
        <v>45752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8499-2020</t>
        </is>
      </c>
      <c r="B227" s="1" t="n">
        <v>43875</v>
      </c>
      <c r="C227" s="1" t="n">
        <v>45752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9143-2020</t>
        </is>
      </c>
      <c r="B228" s="1" t="n">
        <v>43879</v>
      </c>
      <c r="C228" s="1" t="n">
        <v>45752</v>
      </c>
      <c r="D228" t="inlineStr">
        <is>
          <t>ÖSTERGÖTLANDS LÄN</t>
        </is>
      </c>
      <c r="E228" t="inlineStr">
        <is>
          <t>NORRKÖPING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9374-2020</t>
        </is>
      </c>
      <c r="B229" s="1" t="n">
        <v>43880</v>
      </c>
      <c r="C229" s="1" t="n">
        <v>45752</v>
      </c>
      <c r="D229" t="inlineStr">
        <is>
          <t>ÖSTERGÖTLANDS LÄN</t>
        </is>
      </c>
      <c r="E229" t="inlineStr">
        <is>
          <t>NORRKÖPING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10274-2020</t>
        </is>
      </c>
      <c r="B230" s="1" t="n">
        <v>43885</v>
      </c>
      <c r="C230" s="1" t="n">
        <v>45752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10329-2020</t>
        </is>
      </c>
      <c r="B231" s="1" t="n">
        <v>43885</v>
      </c>
      <c r="C231" s="1" t="n">
        <v>45752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10355-2020</t>
        </is>
      </c>
      <c r="B232" s="1" t="n">
        <v>43885</v>
      </c>
      <c r="C232" s="1" t="n">
        <v>45752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10936-2020</t>
        </is>
      </c>
      <c r="B233" s="1" t="n">
        <v>43888</v>
      </c>
      <c r="C233" s="1" t="n">
        <v>45752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11644-2020</t>
        </is>
      </c>
      <c r="B234" s="1" t="n">
        <v>43893</v>
      </c>
      <c r="C234" s="1" t="n">
        <v>45752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11714-2020</t>
        </is>
      </c>
      <c r="B235" s="1" t="n">
        <v>43894</v>
      </c>
      <c r="C235" s="1" t="n">
        <v>45752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13697-2020</t>
        </is>
      </c>
      <c r="B236" s="1" t="n">
        <v>43895</v>
      </c>
      <c r="C236" s="1" t="n">
        <v>45752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14631-2020</t>
        </is>
      </c>
      <c r="B237" s="1" t="n">
        <v>43901</v>
      </c>
      <c r="C237" s="1" t="n">
        <v>45752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13450-2020</t>
        </is>
      </c>
      <c r="B238" s="1" t="n">
        <v>43902</v>
      </c>
      <c r="C238" s="1" t="n">
        <v>45752</v>
      </c>
      <c r="D238" t="inlineStr">
        <is>
          <t>ÖSTERGÖTLANDS LÄN</t>
        </is>
      </c>
      <c r="E238" t="inlineStr">
        <is>
          <t>NORRKÖPING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14493-2020</t>
        </is>
      </c>
      <c r="B239" s="1" t="n">
        <v>43908</v>
      </c>
      <c r="C239" s="1" t="n">
        <v>45752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14942-2020</t>
        </is>
      </c>
      <c r="B240" s="1" t="n">
        <v>43910</v>
      </c>
      <c r="C240" s="1" t="n">
        <v>45752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17251-2020</t>
        </is>
      </c>
      <c r="B241" s="1" t="n">
        <v>43915</v>
      </c>
      <c r="C241" s="1" t="n">
        <v>45752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16015-2020</t>
        </is>
      </c>
      <c r="B242" s="1" t="n">
        <v>43916</v>
      </c>
      <c r="C242" s="1" t="n">
        <v>45752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16462-2020</t>
        </is>
      </c>
      <c r="B243" s="1" t="n">
        <v>43920</v>
      </c>
      <c r="C243" s="1" t="n">
        <v>45752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16463-2020</t>
        </is>
      </c>
      <c r="B244" s="1" t="n">
        <v>43920</v>
      </c>
      <c r="C244" s="1" t="n">
        <v>45752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16465-2020</t>
        </is>
      </c>
      <c r="B245" s="1" t="n">
        <v>43920</v>
      </c>
      <c r="C245" s="1" t="n">
        <v>45752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24468-2020</t>
        </is>
      </c>
      <c r="B246" s="1" t="n">
        <v>43976</v>
      </c>
      <c r="C246" s="1" t="n">
        <v>45752</v>
      </c>
      <c r="D246" t="inlineStr">
        <is>
          <t>ÖSTERGÖTLANDS LÄN</t>
        </is>
      </c>
      <c r="E246" t="inlineStr">
        <is>
          <t>NORRKÖPING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24905-2020</t>
        </is>
      </c>
      <c r="B247" s="1" t="n">
        <v>43979</v>
      </c>
      <c r="C247" s="1" t="n">
        <v>45752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25521-2020</t>
        </is>
      </c>
      <c r="B248" s="1" t="n">
        <v>43983</v>
      </c>
      <c r="C248" s="1" t="n">
        <v>45752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25685-2020</t>
        </is>
      </c>
      <c r="B249" s="1" t="n">
        <v>43984</v>
      </c>
      <c r="C249" s="1" t="n">
        <v>45752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27170-2020</t>
        </is>
      </c>
      <c r="B250" s="1" t="n">
        <v>43991</v>
      </c>
      <c r="C250" s="1" t="n">
        <v>45752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27088-2020</t>
        </is>
      </c>
      <c r="B251" s="1" t="n">
        <v>43991</v>
      </c>
      <c r="C251" s="1" t="n">
        <v>45752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27160-2020</t>
        </is>
      </c>
      <c r="B252" s="1" t="n">
        <v>43991</v>
      </c>
      <c r="C252" s="1" t="n">
        <v>45752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27446-2020</t>
        </is>
      </c>
      <c r="B253" s="1" t="n">
        <v>43993</v>
      </c>
      <c r="C253" s="1" t="n">
        <v>45752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27542-2020</t>
        </is>
      </c>
      <c r="B254" s="1" t="n">
        <v>43993</v>
      </c>
      <c r="C254" s="1" t="n">
        <v>45752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27649-2020</t>
        </is>
      </c>
      <c r="B255" s="1" t="n">
        <v>43993</v>
      </c>
      <c r="C255" s="1" t="n">
        <v>45752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27779-2020</t>
        </is>
      </c>
      <c r="B256" s="1" t="n">
        <v>43994</v>
      </c>
      <c r="C256" s="1" t="n">
        <v>45752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27851-2020</t>
        </is>
      </c>
      <c r="B257" s="1" t="n">
        <v>43994</v>
      </c>
      <c r="C257" s="1" t="n">
        <v>45752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27871-2020</t>
        </is>
      </c>
      <c r="B258" s="1" t="n">
        <v>43994</v>
      </c>
      <c r="C258" s="1" t="n">
        <v>45752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28044-2020</t>
        </is>
      </c>
      <c r="B259" s="1" t="n">
        <v>43997</v>
      </c>
      <c r="C259" s="1" t="n">
        <v>45752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28364-2020</t>
        </is>
      </c>
      <c r="B260" s="1" t="n">
        <v>43998</v>
      </c>
      <c r="C260" s="1" t="n">
        <v>45752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28677-2020</t>
        </is>
      </c>
      <c r="B261" s="1" t="n">
        <v>43999</v>
      </c>
      <c r="C261" s="1" t="n">
        <v>45752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30057-2020</t>
        </is>
      </c>
      <c r="B262" s="1" t="n">
        <v>44006</v>
      </c>
      <c r="C262" s="1" t="n">
        <v>45752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30034-2020</t>
        </is>
      </c>
      <c r="B263" s="1" t="n">
        <v>44006</v>
      </c>
      <c r="C263" s="1" t="n">
        <v>45752</v>
      </c>
      <c r="D263" t="inlineStr">
        <is>
          <t>ÖSTERGÖTLANDS LÄN</t>
        </is>
      </c>
      <c r="E263" t="inlineStr">
        <is>
          <t>NORRKÖPING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30042-2020</t>
        </is>
      </c>
      <c r="B264" s="1" t="n">
        <v>44006</v>
      </c>
      <c r="C264" s="1" t="n">
        <v>45752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30045-2020</t>
        </is>
      </c>
      <c r="B265" s="1" t="n">
        <v>44006</v>
      </c>
      <c r="C265" s="1" t="n">
        <v>45752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30055-2020</t>
        </is>
      </c>
      <c r="B266" s="1" t="n">
        <v>44006</v>
      </c>
      <c r="C266" s="1" t="n">
        <v>45752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30040-2020</t>
        </is>
      </c>
      <c r="B267" s="1" t="n">
        <v>44006</v>
      </c>
      <c r="C267" s="1" t="n">
        <v>45752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30036-2020</t>
        </is>
      </c>
      <c r="B268" s="1" t="n">
        <v>44006</v>
      </c>
      <c r="C268" s="1" t="n">
        <v>45752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30647-2020</t>
        </is>
      </c>
      <c r="B269" s="1" t="n">
        <v>44008</v>
      </c>
      <c r="C269" s="1" t="n">
        <v>45752</v>
      </c>
      <c r="D269" t="inlineStr">
        <is>
          <t>ÖSTERGÖTLANDS LÄN</t>
        </is>
      </c>
      <c r="E269" t="inlineStr">
        <is>
          <t>NORRKÖPING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30615-2020</t>
        </is>
      </c>
      <c r="B270" s="1" t="n">
        <v>44008</v>
      </c>
      <c r="C270" s="1" t="n">
        <v>45752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30643-2020</t>
        </is>
      </c>
      <c r="B271" s="1" t="n">
        <v>44008</v>
      </c>
      <c r="C271" s="1" t="n">
        <v>45752</v>
      </c>
      <c r="D271" t="inlineStr">
        <is>
          <t>ÖSTERGÖTLANDS LÄN</t>
        </is>
      </c>
      <c r="E271" t="inlineStr">
        <is>
          <t>NORRKÖPING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30717-2020</t>
        </is>
      </c>
      <c r="B272" s="1" t="n">
        <v>44008</v>
      </c>
      <c r="C272" s="1" t="n">
        <v>45752</v>
      </c>
      <c r="D272" t="inlineStr">
        <is>
          <t>ÖSTERGÖTLANDS LÄN</t>
        </is>
      </c>
      <c r="E272" t="inlineStr">
        <is>
          <t>NORRKÖPING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31047-2020</t>
        </is>
      </c>
      <c r="B273" s="1" t="n">
        <v>44011</v>
      </c>
      <c r="C273" s="1" t="n">
        <v>45752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31046-2020</t>
        </is>
      </c>
      <c r="B274" s="1" t="n">
        <v>44011</v>
      </c>
      <c r="C274" s="1" t="n">
        <v>45752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31461-2020</t>
        </is>
      </c>
      <c r="B275" s="1" t="n">
        <v>44012</v>
      </c>
      <c r="C275" s="1" t="n">
        <v>45752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31954-2020</t>
        </is>
      </c>
      <c r="B276" s="1" t="n">
        <v>44014</v>
      </c>
      <c r="C276" s="1" t="n">
        <v>45752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32102-2020</t>
        </is>
      </c>
      <c r="B277" s="1" t="n">
        <v>44015</v>
      </c>
      <c r="C277" s="1" t="n">
        <v>45752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32545-2020</t>
        </is>
      </c>
      <c r="B278" s="1" t="n">
        <v>44018</v>
      </c>
      <c r="C278" s="1" t="n">
        <v>45752</v>
      </c>
      <c r="D278" t="inlineStr">
        <is>
          <t>ÖSTERGÖTLANDS LÄN</t>
        </is>
      </c>
      <c r="E278" t="inlineStr">
        <is>
          <t>NORRKÖPING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32637-2020</t>
        </is>
      </c>
      <c r="B279" s="1" t="n">
        <v>44018</v>
      </c>
      <c r="C279" s="1" t="n">
        <v>45752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32641-2020</t>
        </is>
      </c>
      <c r="B280" s="1" t="n">
        <v>44018</v>
      </c>
      <c r="C280" s="1" t="n">
        <v>45752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32555-2020</t>
        </is>
      </c>
      <c r="B281" s="1" t="n">
        <v>44018</v>
      </c>
      <c r="C281" s="1" t="n">
        <v>45752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32642-2020</t>
        </is>
      </c>
      <c r="B282" s="1" t="n">
        <v>44018</v>
      </c>
      <c r="C282" s="1" t="n">
        <v>45752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33857-2020</t>
        </is>
      </c>
      <c r="B283" s="1" t="n">
        <v>44027</v>
      </c>
      <c r="C283" s="1" t="n">
        <v>45752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34250-2020</t>
        </is>
      </c>
      <c r="B284" s="1" t="n">
        <v>44029</v>
      </c>
      <c r="C284" s="1" t="n">
        <v>45752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36237-2020</t>
        </is>
      </c>
      <c r="B285" s="1" t="n">
        <v>44048</v>
      </c>
      <c r="C285" s="1" t="n">
        <v>45752</v>
      </c>
      <c r="D285" t="inlineStr">
        <is>
          <t>ÖSTERGÖTLANDS LÄN</t>
        </is>
      </c>
      <c r="E285" t="inlineStr">
        <is>
          <t>NORRKÖPING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36779-2020</t>
        </is>
      </c>
      <c r="B286" s="1" t="n">
        <v>44053</v>
      </c>
      <c r="C286" s="1" t="n">
        <v>45752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37524-2020</t>
        </is>
      </c>
      <c r="B287" s="1" t="n">
        <v>44055</v>
      </c>
      <c r="C287" s="1" t="n">
        <v>45752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37821-2020</t>
        </is>
      </c>
      <c r="B288" s="1" t="n">
        <v>44057</v>
      </c>
      <c r="C288" s="1" t="n">
        <v>45752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38566-2020</t>
        </is>
      </c>
      <c r="B289" s="1" t="n">
        <v>44061</v>
      </c>
      <c r="C289" s="1" t="n">
        <v>45752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39164-2020</t>
        </is>
      </c>
      <c r="B290" s="1" t="n">
        <v>44063</v>
      </c>
      <c r="C290" s="1" t="n">
        <v>45752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39294-2020</t>
        </is>
      </c>
      <c r="B291" s="1" t="n">
        <v>44063</v>
      </c>
      <c r="C291" s="1" t="n">
        <v>45752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39496-2020</t>
        </is>
      </c>
      <c r="B292" s="1" t="n">
        <v>44064</v>
      </c>
      <c r="C292" s="1" t="n">
        <v>45752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39954-2020</t>
        </is>
      </c>
      <c r="B293" s="1" t="n">
        <v>44067</v>
      </c>
      <c r="C293" s="1" t="n">
        <v>45752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39970-2020</t>
        </is>
      </c>
      <c r="B294" s="1" t="n">
        <v>44067</v>
      </c>
      <c r="C294" s="1" t="n">
        <v>45752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39957-2020</t>
        </is>
      </c>
      <c r="B295" s="1" t="n">
        <v>44067</v>
      </c>
      <c r="C295" s="1" t="n">
        <v>45752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39966-2020</t>
        </is>
      </c>
      <c r="B296" s="1" t="n">
        <v>44067</v>
      </c>
      <c r="C296" s="1" t="n">
        <v>45752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44040-2020</t>
        </is>
      </c>
      <c r="B297" s="1" t="n">
        <v>44083</v>
      </c>
      <c r="C297" s="1" t="n">
        <v>45752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44467-2020</t>
        </is>
      </c>
      <c r="B298" s="1" t="n">
        <v>44084</v>
      </c>
      <c r="C298" s="1" t="n">
        <v>45752</v>
      </c>
      <c r="D298" t="inlineStr">
        <is>
          <t>ÖSTERGÖTLANDS LÄN</t>
        </is>
      </c>
      <c r="E298" t="inlineStr">
        <is>
          <t>NORRKÖPING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46571-2020</t>
        </is>
      </c>
      <c r="B299" s="1" t="n">
        <v>44095</v>
      </c>
      <c r="C299" s="1" t="n">
        <v>45752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47067-2020</t>
        </is>
      </c>
      <c r="B300" s="1" t="n">
        <v>44096</v>
      </c>
      <c r="C300" s="1" t="n">
        <v>45752</v>
      </c>
      <c r="D300" t="inlineStr">
        <is>
          <t>ÖSTERGÖTLANDS LÄN</t>
        </is>
      </c>
      <c r="E300" t="inlineStr">
        <is>
          <t>NORRKÖPING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46841-2020</t>
        </is>
      </c>
      <c r="B301" s="1" t="n">
        <v>44096</v>
      </c>
      <c r="C301" s="1" t="n">
        <v>45752</v>
      </c>
      <c r="D301" t="inlineStr">
        <is>
          <t>ÖSTERGÖTLANDS LÄN</t>
        </is>
      </c>
      <c r="E301" t="inlineStr">
        <is>
          <t>NORRKÖPING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47552-2020</t>
        </is>
      </c>
      <c r="B302" s="1" t="n">
        <v>44096</v>
      </c>
      <c r="C302" s="1" t="n">
        <v>45752</v>
      </c>
      <c r="D302" t="inlineStr">
        <is>
          <t>ÖSTERGÖTLANDS LÄN</t>
        </is>
      </c>
      <c r="E302" t="inlineStr">
        <is>
          <t>NORRKÖPING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47651-2020</t>
        </is>
      </c>
      <c r="B303" s="1" t="n">
        <v>44098</v>
      </c>
      <c r="C303" s="1" t="n">
        <v>45752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48655-2020</t>
        </is>
      </c>
      <c r="B304" s="1" t="n">
        <v>44103</v>
      </c>
      <c r="C304" s="1" t="n">
        <v>45752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49238-2020</t>
        </is>
      </c>
      <c r="B305" s="1" t="n">
        <v>44105</v>
      </c>
      <c r="C305" s="1" t="n">
        <v>45752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49867-2020</t>
        </is>
      </c>
      <c r="B306" s="1" t="n">
        <v>44107</v>
      </c>
      <c r="C306" s="1" t="n">
        <v>45752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53728-2020</t>
        </is>
      </c>
      <c r="B307" s="1" t="n">
        <v>44124</v>
      </c>
      <c r="C307" s="1" t="n">
        <v>45752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53724-2020</t>
        </is>
      </c>
      <c r="B308" s="1" t="n">
        <v>44124</v>
      </c>
      <c r="C308" s="1" t="n">
        <v>45752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54973-2020</t>
        </is>
      </c>
      <c r="B309" s="1" t="n">
        <v>44130</v>
      </c>
      <c r="C309" s="1" t="n">
        <v>45752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55467-2020</t>
        </is>
      </c>
      <c r="B310" s="1" t="n">
        <v>44131</v>
      </c>
      <c r="C310" s="1" t="n">
        <v>45752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56313-2020</t>
        </is>
      </c>
      <c r="B311" s="1" t="n">
        <v>44134</v>
      </c>
      <c r="C311" s="1" t="n">
        <v>45752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56530-2020</t>
        </is>
      </c>
      <c r="B312" s="1" t="n">
        <v>44137</v>
      </c>
      <c r="C312" s="1" t="n">
        <v>45752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45752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56528-2020</t>
        </is>
      </c>
      <c r="B314" s="1" t="n">
        <v>44137</v>
      </c>
      <c r="C314" s="1" t="n">
        <v>45752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56511-2020</t>
        </is>
      </c>
      <c r="B315" s="1" t="n">
        <v>44137</v>
      </c>
      <c r="C315" s="1" t="n">
        <v>45752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57965-2020</t>
        </is>
      </c>
      <c r="B316" s="1" t="n">
        <v>44143</v>
      </c>
      <c r="C316" s="1" t="n">
        <v>45752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58829-2020</t>
        </is>
      </c>
      <c r="B317" s="1" t="n">
        <v>44146</v>
      </c>
      <c r="C317" s="1" t="n">
        <v>45752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58963-2020</t>
        </is>
      </c>
      <c r="B318" s="1" t="n">
        <v>44146</v>
      </c>
      <c r="C318" s="1" t="n">
        <v>45752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59023-2020</t>
        </is>
      </c>
      <c r="B319" s="1" t="n">
        <v>44147</v>
      </c>
      <c r="C319" s="1" t="n">
        <v>45752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59847-2020</t>
        </is>
      </c>
      <c r="B320" s="1" t="n">
        <v>44151</v>
      </c>
      <c r="C320" s="1" t="n">
        <v>45752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59899-2020</t>
        </is>
      </c>
      <c r="B321" s="1" t="n">
        <v>44151</v>
      </c>
      <c r="C321" s="1" t="n">
        <v>45752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60210-2020</t>
        </is>
      </c>
      <c r="B322" s="1" t="n">
        <v>44152</v>
      </c>
      <c r="C322" s="1" t="n">
        <v>45752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61707-2020</t>
        </is>
      </c>
      <c r="B323" s="1" t="n">
        <v>44158</v>
      </c>
      <c r="C323" s="1" t="n">
        <v>45752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61785-2020</t>
        </is>
      </c>
      <c r="B324" s="1" t="n">
        <v>44158</v>
      </c>
      <c r="C324" s="1" t="n">
        <v>45752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61860-2020</t>
        </is>
      </c>
      <c r="B325" s="1" t="n">
        <v>44159</v>
      </c>
      <c r="C325" s="1" t="n">
        <v>45752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61869-2020</t>
        </is>
      </c>
      <c r="B326" s="1" t="n">
        <v>44159</v>
      </c>
      <c r="C326" s="1" t="n">
        <v>45752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62800-2020</t>
        </is>
      </c>
      <c r="B327" s="1" t="n">
        <v>44161</v>
      </c>
      <c r="C327" s="1" t="n">
        <v>45752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63102-2020</t>
        </is>
      </c>
      <c r="B328" s="1" t="n">
        <v>44162</v>
      </c>
      <c r="C328" s="1" t="n">
        <v>45752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63208-2020</t>
        </is>
      </c>
      <c r="B329" s="1" t="n">
        <v>44163</v>
      </c>
      <c r="C329" s="1" t="n">
        <v>45752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63371-2020</t>
        </is>
      </c>
      <c r="B330" s="1" t="n">
        <v>44165</v>
      </c>
      <c r="C330" s="1" t="n">
        <v>45752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64573-2020</t>
        </is>
      </c>
      <c r="B331" s="1" t="n">
        <v>44166</v>
      </c>
      <c r="C331" s="1" t="n">
        <v>45752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64366-2020</t>
        </is>
      </c>
      <c r="B332" s="1" t="n">
        <v>44168</v>
      </c>
      <c r="C332" s="1" t="n">
        <v>45752</v>
      </c>
      <c r="D332" t="inlineStr">
        <is>
          <t>ÖSTERGÖTLANDS LÄN</t>
        </is>
      </c>
      <c r="E332" t="inlineStr">
        <is>
          <t>NORRKÖPING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64561-2020</t>
        </is>
      </c>
      <c r="B333" s="1" t="n">
        <v>44169</v>
      </c>
      <c r="C333" s="1" t="n">
        <v>45752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64576-2020</t>
        </is>
      </c>
      <c r="B334" s="1" t="n">
        <v>44169</v>
      </c>
      <c r="C334" s="1" t="n">
        <v>45752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64549-2020</t>
        </is>
      </c>
      <c r="B335" s="1" t="n">
        <v>44169</v>
      </c>
      <c r="C335" s="1" t="n">
        <v>45752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64788-2020</t>
        </is>
      </c>
      <c r="B336" s="1" t="n">
        <v>44169</v>
      </c>
      <c r="C336" s="1" t="n">
        <v>45752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45752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66403-2020</t>
        </is>
      </c>
      <c r="B338" s="1" t="n">
        <v>44176</v>
      </c>
      <c r="C338" s="1" t="n">
        <v>45752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66476-2020</t>
        </is>
      </c>
      <c r="B339" s="1" t="n">
        <v>44177</v>
      </c>
      <c r="C339" s="1" t="n">
        <v>45752</v>
      </c>
      <c r="D339" t="inlineStr">
        <is>
          <t>ÖSTERGÖTLANDS LÄN</t>
        </is>
      </c>
      <c r="E339" t="inlineStr">
        <is>
          <t>NORRKÖPING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66475-2020</t>
        </is>
      </c>
      <c r="B340" s="1" t="n">
        <v>44177</v>
      </c>
      <c r="C340" s="1" t="n">
        <v>45752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45752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67358-2020</t>
        </is>
      </c>
      <c r="B342" s="1" t="n">
        <v>44181</v>
      </c>
      <c r="C342" s="1" t="n">
        <v>45752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67557-2020</t>
        </is>
      </c>
      <c r="B343" s="1" t="n">
        <v>44181</v>
      </c>
      <c r="C343" s="1" t="n">
        <v>45752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69227-2020</t>
        </is>
      </c>
      <c r="B344" s="1" t="n">
        <v>44192</v>
      </c>
      <c r="C344" s="1" t="n">
        <v>45752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1248-2021</t>
        </is>
      </c>
      <c r="B345" s="1" t="n">
        <v>44208</v>
      </c>
      <c r="C345" s="1" t="n">
        <v>45752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1217-2021</t>
        </is>
      </c>
      <c r="B346" s="1" t="n">
        <v>44208</v>
      </c>
      <c r="C346" s="1" t="n">
        <v>45752</v>
      </c>
      <c r="D346" t="inlineStr">
        <is>
          <t>ÖSTERGÖTLANDS LÄN</t>
        </is>
      </c>
      <c r="E346" t="inlineStr">
        <is>
          <t>NORRKÖPING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1660-2021</t>
        </is>
      </c>
      <c r="B347" s="1" t="n">
        <v>44209</v>
      </c>
      <c r="C347" s="1" t="n">
        <v>45752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2265-2021</t>
        </is>
      </c>
      <c r="B348" s="1" t="n">
        <v>44211</v>
      </c>
      <c r="C348" s="1" t="n">
        <v>45752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2266-2021</t>
        </is>
      </c>
      <c r="B349" s="1" t="n">
        <v>44211</v>
      </c>
      <c r="C349" s="1" t="n">
        <v>45752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2261-2021</t>
        </is>
      </c>
      <c r="B350" s="1" t="n">
        <v>44211</v>
      </c>
      <c r="C350" s="1" t="n">
        <v>45752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2267-2021</t>
        </is>
      </c>
      <c r="B351" s="1" t="n">
        <v>44211</v>
      </c>
      <c r="C351" s="1" t="n">
        <v>45752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2264-2021</t>
        </is>
      </c>
      <c r="B352" s="1" t="n">
        <v>44211</v>
      </c>
      <c r="C352" s="1" t="n">
        <v>45752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2268-2021</t>
        </is>
      </c>
      <c r="B353" s="1" t="n">
        <v>44211</v>
      </c>
      <c r="C353" s="1" t="n">
        <v>45752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2300-2021</t>
        </is>
      </c>
      <c r="B354" s="1" t="n">
        <v>44212</v>
      </c>
      <c r="C354" s="1" t="n">
        <v>45752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2582-2021</t>
        </is>
      </c>
      <c r="B355" s="1" t="n">
        <v>44214</v>
      </c>
      <c r="C355" s="1" t="n">
        <v>45752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2592-2021</t>
        </is>
      </c>
      <c r="B356" s="1" t="n">
        <v>44214</v>
      </c>
      <c r="C356" s="1" t="n">
        <v>45752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2581-2021</t>
        </is>
      </c>
      <c r="B357" s="1" t="n">
        <v>44214</v>
      </c>
      <c r="C357" s="1" t="n">
        <v>45752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2638-2021</t>
        </is>
      </c>
      <c r="B358" s="1" t="n">
        <v>44215</v>
      </c>
      <c r="C358" s="1" t="n">
        <v>45752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3040-2021</t>
        </is>
      </c>
      <c r="B359" s="1" t="n">
        <v>44216</v>
      </c>
      <c r="C359" s="1" t="n">
        <v>45752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3153-2021</t>
        </is>
      </c>
      <c r="B360" s="1" t="n">
        <v>44217</v>
      </c>
      <c r="C360" s="1" t="n">
        <v>45752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3484-2021</t>
        </is>
      </c>
      <c r="B361" s="1" t="n">
        <v>44218</v>
      </c>
      <c r="C361" s="1" t="n">
        <v>45752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3558-2021</t>
        </is>
      </c>
      <c r="B362" s="1" t="n">
        <v>44218</v>
      </c>
      <c r="C362" s="1" t="n">
        <v>45752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3556-2021</t>
        </is>
      </c>
      <c r="B363" s="1" t="n">
        <v>44218</v>
      </c>
      <c r="C363" s="1" t="n">
        <v>45752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3577-2021</t>
        </is>
      </c>
      <c r="B364" s="1" t="n">
        <v>44219</v>
      </c>
      <c r="C364" s="1" t="n">
        <v>45752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3578-2021</t>
        </is>
      </c>
      <c r="B365" s="1" t="n">
        <v>44219</v>
      </c>
      <c r="C365" s="1" t="n">
        <v>45752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4210-2021</t>
        </is>
      </c>
      <c r="B366" s="1" t="n">
        <v>44221</v>
      </c>
      <c r="C366" s="1" t="n">
        <v>45752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45752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4852-2021</t>
        </is>
      </c>
      <c r="B368" s="1" t="n">
        <v>44225</v>
      </c>
      <c r="C368" s="1" t="n">
        <v>45752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6614-2021</t>
        </is>
      </c>
      <c r="B369" s="1" t="n">
        <v>44236</v>
      </c>
      <c r="C369" s="1" t="n">
        <v>45752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6833-2021</t>
        </is>
      </c>
      <c r="B370" s="1" t="n">
        <v>44237</v>
      </c>
      <c r="C370" s="1" t="n">
        <v>45752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6844-2021</t>
        </is>
      </c>
      <c r="B371" s="1" t="n">
        <v>44237</v>
      </c>
      <c r="C371" s="1" t="n">
        <v>45752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7918-2021</t>
        </is>
      </c>
      <c r="B372" s="1" t="n">
        <v>44243</v>
      </c>
      <c r="C372" s="1" t="n">
        <v>45752</v>
      </c>
      <c r="D372" t="inlineStr">
        <is>
          <t>ÖSTERGÖTLANDS LÄN</t>
        </is>
      </c>
      <c r="E372" t="inlineStr">
        <is>
          <t>NORRKÖPING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9278-2021</t>
        </is>
      </c>
      <c r="B373" s="1" t="n">
        <v>44249</v>
      </c>
      <c r="C373" s="1" t="n">
        <v>45752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9281-2021</t>
        </is>
      </c>
      <c r="B374" s="1" t="n">
        <v>44249</v>
      </c>
      <c r="C374" s="1" t="n">
        <v>45752</v>
      </c>
      <c r="D374" t="inlineStr">
        <is>
          <t>ÖSTERGÖTLANDS LÄN</t>
        </is>
      </c>
      <c r="E374" t="inlineStr">
        <is>
          <t>NORRKÖPING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9764-2021</t>
        </is>
      </c>
      <c r="B375" s="1" t="n">
        <v>44252</v>
      </c>
      <c r="C375" s="1" t="n">
        <v>45752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10597-2021</t>
        </is>
      </c>
      <c r="B376" s="1" t="n">
        <v>44258</v>
      </c>
      <c r="C376" s="1" t="n">
        <v>45752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12685-2021</t>
        </is>
      </c>
      <c r="B377" s="1" t="n">
        <v>44270</v>
      </c>
      <c r="C377" s="1" t="n">
        <v>45752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13021-2021</t>
        </is>
      </c>
      <c r="B378" s="1" t="n">
        <v>44271</v>
      </c>
      <c r="C378" s="1" t="n">
        <v>45752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13022-2021</t>
        </is>
      </c>
      <c r="B379" s="1" t="n">
        <v>44271</v>
      </c>
      <c r="C379" s="1" t="n">
        <v>45752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13163-2021</t>
        </is>
      </c>
      <c r="B380" s="1" t="n">
        <v>44272</v>
      </c>
      <c r="C380" s="1" t="n">
        <v>45752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13262-2021</t>
        </is>
      </c>
      <c r="B381" s="1" t="n">
        <v>44272</v>
      </c>
      <c r="C381" s="1" t="n">
        <v>45752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13275-2021</t>
        </is>
      </c>
      <c r="B382" s="1" t="n">
        <v>44272</v>
      </c>
      <c r="C382" s="1" t="n">
        <v>45752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14480-2021</t>
        </is>
      </c>
      <c r="B383" s="1" t="n">
        <v>44279</v>
      </c>
      <c r="C383" s="1" t="n">
        <v>45752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14484-2021</t>
        </is>
      </c>
      <c r="B384" s="1" t="n">
        <v>44279</v>
      </c>
      <c r="C384" s="1" t="n">
        <v>45752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14483-2021</t>
        </is>
      </c>
      <c r="B385" s="1" t="n">
        <v>44279</v>
      </c>
      <c r="C385" s="1" t="n">
        <v>45752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15870-2021</t>
        </is>
      </c>
      <c r="B386" s="1" t="n">
        <v>44286</v>
      </c>
      <c r="C386" s="1" t="n">
        <v>45752</v>
      </c>
      <c r="D386" t="inlineStr">
        <is>
          <t>ÖSTERGÖTLANDS LÄN</t>
        </is>
      </c>
      <c r="E386" t="inlineStr">
        <is>
          <t>NORRKÖPING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15866-2021</t>
        </is>
      </c>
      <c r="B387" s="1" t="n">
        <v>44286</v>
      </c>
      <c r="C387" s="1" t="n">
        <v>45752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15872-2021</t>
        </is>
      </c>
      <c r="B388" s="1" t="n">
        <v>44286</v>
      </c>
      <c r="C388" s="1" t="n">
        <v>45752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16626-2021</t>
        </is>
      </c>
      <c r="B389" s="1" t="n">
        <v>44294</v>
      </c>
      <c r="C389" s="1" t="n">
        <v>45752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16737-2021</t>
        </is>
      </c>
      <c r="B390" s="1" t="n">
        <v>44294</v>
      </c>
      <c r="C390" s="1" t="n">
        <v>45752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17233-2021</t>
        </is>
      </c>
      <c r="B391" s="1" t="n">
        <v>44298</v>
      </c>
      <c r="C391" s="1" t="n">
        <v>45752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17636-2021</t>
        </is>
      </c>
      <c r="B392" s="1" t="n">
        <v>44300</v>
      </c>
      <c r="C392" s="1" t="n">
        <v>45752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17633-2021</t>
        </is>
      </c>
      <c r="B393" s="1" t="n">
        <v>44300</v>
      </c>
      <c r="C393" s="1" t="n">
        <v>45752</v>
      </c>
      <c r="D393" t="inlineStr">
        <is>
          <t>ÖSTERGÖTLANDS LÄN</t>
        </is>
      </c>
      <c r="E393" t="inlineStr">
        <is>
          <t>NORRKÖPING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17890-2021</t>
        </is>
      </c>
      <c r="B394" s="1" t="n">
        <v>44301</v>
      </c>
      <c r="C394" s="1" t="n">
        <v>45752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17523-2021</t>
        </is>
      </c>
      <c r="B395" s="1" t="n">
        <v>44301</v>
      </c>
      <c r="C395" s="1" t="n">
        <v>45752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17901-2021</t>
        </is>
      </c>
      <c r="B396" s="1" t="n">
        <v>44301</v>
      </c>
      <c r="C396" s="1" t="n">
        <v>45752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18177-2021</t>
        </is>
      </c>
      <c r="B397" s="1" t="n">
        <v>44302</v>
      </c>
      <c r="C397" s="1" t="n">
        <v>45752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18009-2021</t>
        </is>
      </c>
      <c r="B398" s="1" t="n">
        <v>44302</v>
      </c>
      <c r="C398" s="1" t="n">
        <v>45752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18549-2021</t>
        </is>
      </c>
      <c r="B399" s="1" t="n">
        <v>44306</v>
      </c>
      <c r="C399" s="1" t="n">
        <v>45752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18765-2021</t>
        </is>
      </c>
      <c r="B400" s="1" t="n">
        <v>44307</v>
      </c>
      <c r="C400" s="1" t="n">
        <v>45752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19119-2021</t>
        </is>
      </c>
      <c r="B401" s="1" t="n">
        <v>44308</v>
      </c>
      <c r="C401" s="1" t="n">
        <v>45752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45752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45752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45752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45752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45752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45752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45752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45752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45752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45752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45752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45752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45752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45752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45752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45752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45752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45752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45752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45752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45752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45752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45752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45752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45752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45752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45752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45752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45752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45752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45752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45752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45752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45752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45752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45752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45752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45752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45752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45752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45752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45752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45752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45752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45752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45752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45752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45752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45752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45752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45752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45752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45752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45752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45752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45752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45752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45752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45752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45752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45752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45752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45752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45752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45752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45752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45752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45752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45752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45752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45752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45752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45752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45752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45752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45752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45752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45752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45752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45752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45752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45752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45752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45752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45752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45752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45752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45752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45752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45752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45752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45752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45752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45752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45752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45752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45752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45752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45752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45752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45752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45752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45752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45752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45752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45752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45752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45752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45752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45752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45752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45752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45752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45752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45752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45752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45752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45752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45752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45752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45752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45752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45752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45752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45752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45752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45752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45752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45752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45752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45752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45752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45752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45752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45752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45752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45752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45752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45752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45752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45752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45752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45752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45752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45752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45752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45752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45752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45752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45752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45752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45752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45752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45752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45752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45752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45752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45752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45752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45752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45752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45752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45752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45752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45752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45752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45752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45752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45752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45752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45752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45752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45752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45752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45752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45752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45752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45752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45752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45752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45752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45752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45752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45752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45752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45752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45752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45752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45752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45752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45752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45752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45752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45752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45752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45752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45752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45752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45752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45752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45752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45752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45752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45752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45752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45752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45752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45752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45752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45752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45752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45752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45752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45752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45752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45752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45752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45752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45752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45752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45752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45752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45752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45752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45752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45752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45752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45752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45752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45752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45752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45752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45752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45752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45752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45752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45752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45752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45752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45752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45752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45752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45752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45752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45752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45752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45752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45752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45752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45752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45752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45752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45752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45752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45752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45752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45752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45752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45752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45752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45752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45752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45752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45752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45752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45752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45752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45752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45752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45752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45752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45752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45752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45752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45752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45752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45752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45752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45752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45752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45752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45752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45752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45752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45752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45752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45752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45752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45752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45752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45752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45752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45752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45752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45752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45752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45752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45752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45752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45752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45752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45752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45752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45752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45752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45752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45752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45752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45752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45752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45752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45752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45752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45752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45752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45752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45752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45752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45752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45752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45752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45752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45752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45752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45752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45752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45752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45752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45752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45752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45752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45752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45752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45752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45752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45752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45752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45752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45752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45752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45752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45752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45752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45752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45752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45752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45752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45752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45752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45752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45752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45752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45752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45752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45752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45752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45752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45752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45752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45752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45752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45752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45752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45752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45752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45752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45752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45752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45752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45752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45752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45752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45752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45752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45752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45752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45752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45752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45752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45752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45752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45752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45752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45752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45752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45752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45752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45752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45752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45752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45752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45752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45752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45752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45752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45752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45752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45752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45752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45752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45752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45752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45752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45752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45752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45752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45752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45752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45752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45752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45752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45752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45752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45752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45752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45752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45752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45752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45752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45752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45752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45752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45752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45752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45752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45752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45752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45752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45752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45752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45752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45752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45752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45752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45752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45752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45752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45752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45752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45752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45752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45752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45752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45752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45752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45752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45752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45752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45752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45752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45752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45752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45752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45752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45752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45752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45752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45752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45752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45752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45752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45752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45752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45752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45752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45752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45752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45752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45752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45752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45752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45752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45752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45752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45752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45752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45752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45752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45752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45752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45752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45752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45752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45752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45752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45752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45752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45752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45752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45752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45752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45752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45752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45752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45752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45752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45752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45752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45752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45752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45752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45752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45752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45752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45752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45752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45752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45752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45752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45752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45752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45752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45752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45752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45752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45752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45752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45752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45752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45752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45752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45752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45752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45752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45752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45752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45752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45752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45752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45752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45752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45752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45752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45752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45752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45752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45752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45752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45752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45752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45752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45752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45752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45752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45752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45752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45752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45752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45752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45752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45752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45752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45752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45752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45752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45752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45752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45752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45752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45752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45752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45752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45752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45752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45752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45752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45752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45752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45752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45752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45752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45752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45752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45752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45752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45752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45752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45752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45752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45752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45752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45752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45752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45752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45752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45752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45752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45752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45752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45752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45752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45752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45752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45752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45752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45752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45752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45752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45752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45752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45752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45752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45752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45752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45752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45752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45752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45752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45752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45752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45752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45752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45752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45752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45752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45752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45752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45752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45752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45752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45752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45752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45752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45752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45752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45752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45752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45752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45752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45752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45752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45752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45752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45752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45752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45752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45752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45752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45752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45752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45752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45752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45752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45752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45752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45752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45752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45752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45752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45752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45752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45752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45752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45752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45752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45752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45752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45752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45752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45752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45752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45752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45752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45752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45752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45752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45752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45752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45752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45752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45752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45752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45752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45752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45752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45752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45752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45752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45752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45752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45752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45752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45752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45752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45752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45752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45752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45752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45752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45752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45752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45752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45752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45752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45752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45752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45752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45752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45752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45752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45752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45752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45752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45752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45752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45752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45752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45752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45752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45752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45752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45752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45752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45752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45752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45752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45752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45752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45752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45752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45752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45752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45752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45752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45752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45752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45752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45752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45752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45752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45752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45752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45752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45752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45752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45752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45752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45752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45752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45752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45752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45752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45752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45752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45752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45752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45752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45752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45752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45752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45752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45752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45752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45752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45752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45752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45752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45752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45752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45752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45752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45752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45752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45752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45752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45752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45752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45752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45752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45752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45752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45752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45752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45752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45752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45752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45752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45752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45752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45752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45752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45752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45752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45752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45752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45752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45752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45752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45752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45752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45752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45752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45752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45752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45752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45752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45752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45752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45752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45752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45752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45752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45752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45752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11520-2025</t>
        </is>
      </c>
      <c r="B1533" s="1" t="n">
        <v>45726</v>
      </c>
      <c r="C1533" s="1" t="n">
        <v>45752</v>
      </c>
      <c r="D1533" t="inlineStr">
        <is>
          <t>ÖSTERGÖTLANDS LÄN</t>
        </is>
      </c>
      <c r="E1533" t="inlineStr">
        <is>
          <t>NORRKÖPING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11519-2025</t>
        </is>
      </c>
      <c r="B1534" s="1" t="n">
        <v>45726</v>
      </c>
      <c r="C1534" s="1" t="n">
        <v>45752</v>
      </c>
      <c r="D1534" t="inlineStr">
        <is>
          <t>ÖSTERGÖTLANDS LÄN</t>
        </is>
      </c>
      <c r="E1534" t="inlineStr">
        <is>
          <t>NORRKÖPING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45752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45752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45752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12045-2025</t>
        </is>
      </c>
      <c r="B1538" s="1" t="n">
        <v>45728</v>
      </c>
      <c r="C1538" s="1" t="n">
        <v>45752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12055-2025</t>
        </is>
      </c>
      <c r="B1539" s="1" t="n">
        <v>45728</v>
      </c>
      <c r="C1539" s="1" t="n">
        <v>45752</v>
      </c>
      <c r="D1539" t="inlineStr">
        <is>
          <t>ÖSTERGÖTLANDS LÄN</t>
        </is>
      </c>
      <c r="E1539" t="inlineStr">
        <is>
          <t>NORRKÖPING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45752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45752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45752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45752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45752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45752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45752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45752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45752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45752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45752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45752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45752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45752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45752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45752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45752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45752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45752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45752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45752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45752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45752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45752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15448-2025</t>
        </is>
      </c>
      <c r="B1564" s="1" t="n">
        <v>45747</v>
      </c>
      <c r="C1564" s="1" t="n">
        <v>45752</v>
      </c>
      <c r="D1564" t="inlineStr">
        <is>
          <t>ÖSTERGÖTLANDS LÄN</t>
        </is>
      </c>
      <c r="E1564" t="inlineStr">
        <is>
          <t>NORRKÖPING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15402-2025</t>
        </is>
      </c>
      <c r="B1565" s="1" t="n">
        <v>45747</v>
      </c>
      <c r="C1565" s="1" t="n">
        <v>45752</v>
      </c>
      <c r="D1565" t="inlineStr">
        <is>
          <t>ÖSTERGÖTLANDS LÄN</t>
        </is>
      </c>
      <c r="E1565" t="inlineStr">
        <is>
          <t>NORRKÖPING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15497-2025</t>
        </is>
      </c>
      <c r="B1566" s="1" t="n">
        <v>45747</v>
      </c>
      <c r="C1566" s="1" t="n">
        <v>45752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15505-2025</t>
        </is>
      </c>
      <c r="B1567" s="1" t="n">
        <v>45747</v>
      </c>
      <c r="C1567" s="1" t="n">
        <v>45752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2025-04-05T16:46:11Z</dcterms:created>
  <dcterms:modified xmlns:dcterms="http://purl.org/dc/terms/" xmlns:xsi="http://www.w3.org/2001/XMLSchema-instance" xsi:type="dcterms:W3CDTF">2025-04-05T16:46:12Z</dcterms:modified>
</cp:coreProperties>
</file>