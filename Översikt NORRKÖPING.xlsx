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45709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45709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45709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45709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45709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45709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45709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45709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45709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45709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45709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45709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45709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45709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45709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45709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45709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45709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45709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45709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45709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45709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45709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45709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45709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45709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45709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45709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45709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45709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45709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45709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45709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45709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45709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45709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45709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45709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45709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45709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45709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46648-2024</t>
        </is>
      </c>
      <c r="B43" s="1" t="n">
        <v>45583</v>
      </c>
      <c r="C43" s="1" t="n">
        <v>45709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6.8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Spillkråka
Talltita
Vedskivlav</t>
        </is>
      </c>
      <c r="S43">
        <f>HYPERLINK("https://klasma.github.io/Logging_0581/artfynd/A 46648-2024 artfynd.xlsx", "A 46648-2024")</f>
        <v/>
      </c>
      <c r="T43">
        <f>HYPERLINK("https://klasma.github.io/Logging_0581/kartor/A 46648-2024 karta.png", "A 46648-2024")</f>
        <v/>
      </c>
      <c r="V43">
        <f>HYPERLINK("https://klasma.github.io/Logging_0581/klagomål/A 46648-2024 FSC-klagomål.docx", "A 46648-2024")</f>
        <v/>
      </c>
      <c r="W43">
        <f>HYPERLINK("https://klasma.github.io/Logging_0581/klagomålsmail/A 46648-2024 FSC-klagomål mail.docx", "A 46648-2024")</f>
        <v/>
      </c>
      <c r="X43">
        <f>HYPERLINK("https://klasma.github.io/Logging_0581/tillsyn/A 46648-2024 tillsynsbegäran.docx", "A 46648-2024")</f>
        <v/>
      </c>
      <c r="Y43">
        <f>HYPERLINK("https://klasma.github.io/Logging_0581/tillsynsmail/A 46648-2024 tillsynsbegäran mail.docx", "A 46648-2024")</f>
        <v/>
      </c>
      <c r="Z43">
        <f>HYPERLINK("https://klasma.github.io/Logging_0581/fåglar/A 46648-2024 prioriterade fågelarter.docx", "A 46648-2024")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45709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45709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1260-2025</t>
        </is>
      </c>
      <c r="B46" s="1" t="n">
        <v>45667</v>
      </c>
      <c r="C46" s="1" t="n">
        <v>45709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Mjukdån
Nattviol
Revlummer</t>
        </is>
      </c>
      <c r="S46">
        <f>HYPERLINK("https://klasma.github.io/Logging_0581/artfynd/A 1260-2025 artfynd.xlsx", "A 1260-2025")</f>
        <v/>
      </c>
      <c r="T46">
        <f>HYPERLINK("https://klasma.github.io/Logging_0581/kartor/A 1260-2025 karta.png", "A 1260-2025")</f>
        <v/>
      </c>
      <c r="V46">
        <f>HYPERLINK("https://klasma.github.io/Logging_0581/klagomål/A 1260-2025 FSC-klagomål.docx", "A 1260-2025")</f>
        <v/>
      </c>
      <c r="W46">
        <f>HYPERLINK("https://klasma.github.io/Logging_0581/klagomålsmail/A 1260-2025 FSC-klagomål mail.docx", "A 1260-2025")</f>
        <v/>
      </c>
      <c r="X46">
        <f>HYPERLINK("https://klasma.github.io/Logging_0581/tillsyn/A 1260-2025 tillsynsbegäran.docx", "A 1260-2025")</f>
        <v/>
      </c>
      <c r="Y46">
        <f>HYPERLINK("https://klasma.github.io/Logging_0581/tillsynsmail/A 1260-2025 tillsynsbegäran mail.docx", "A 1260-2025")</f>
        <v/>
      </c>
    </row>
    <row r="47" ht="15" customHeight="1">
      <c r="A47" t="inlineStr">
        <is>
          <t>A 40291-2020</t>
        </is>
      </c>
      <c r="B47" s="1" t="n">
        <v>44067</v>
      </c>
      <c r="C47" s="1" t="n">
        <v>45709</v>
      </c>
      <c r="D47" t="inlineStr">
        <is>
          <t>ÖSTERGÖTLANDS LÄN</t>
        </is>
      </c>
      <c r="E47" t="inlineStr">
        <is>
          <t>NORRKÖPING</t>
        </is>
      </c>
      <c r="G47" t="n">
        <v>11.6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Gullgröppa</t>
        </is>
      </c>
      <c r="S47">
        <f>HYPERLINK("https://klasma.github.io/Logging_0581/artfynd/A 40291-2020 artfynd.xlsx", "A 40291-2020")</f>
        <v/>
      </c>
      <c r="T47">
        <f>HYPERLINK("https://klasma.github.io/Logging_0581/kartor/A 40291-2020 karta.png", "A 40291-2020")</f>
        <v/>
      </c>
      <c r="V47">
        <f>HYPERLINK("https://klasma.github.io/Logging_0581/klagomål/A 40291-2020 FSC-klagomål.docx", "A 40291-2020")</f>
        <v/>
      </c>
      <c r="W47">
        <f>HYPERLINK("https://klasma.github.io/Logging_0581/klagomålsmail/A 40291-2020 FSC-klagomål mail.docx", "A 40291-2020")</f>
        <v/>
      </c>
      <c r="X47">
        <f>HYPERLINK("https://klasma.github.io/Logging_0581/tillsyn/A 40291-2020 tillsynsbegäran.docx", "A 40291-2020")</f>
        <v/>
      </c>
      <c r="Y47">
        <f>HYPERLINK("https://klasma.github.io/Logging_0581/tillsynsmail/A 40291-2020 tillsynsbegäran mail.docx", "A 40291-2020")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45709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33659-2022</t>
        </is>
      </c>
      <c r="B49" s="1" t="n">
        <v>44789</v>
      </c>
      <c r="C49" s="1" t="n">
        <v>45709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Sotlav</t>
        </is>
      </c>
      <c r="S49">
        <f>HYPERLINK("https://klasma.github.io/Logging_0581/artfynd/A 33659-2022 artfynd.xlsx", "A 33659-2022")</f>
        <v/>
      </c>
      <c r="T49">
        <f>HYPERLINK("https://klasma.github.io/Logging_0581/kartor/A 33659-2022 karta.png", "A 33659-2022")</f>
        <v/>
      </c>
      <c r="V49">
        <f>HYPERLINK("https://klasma.github.io/Logging_0581/klagomål/A 33659-2022 FSC-klagomål.docx", "A 33659-2022")</f>
        <v/>
      </c>
      <c r="W49">
        <f>HYPERLINK("https://klasma.github.io/Logging_0581/klagomålsmail/A 33659-2022 FSC-klagomål mail.docx", "A 33659-2022")</f>
        <v/>
      </c>
      <c r="X49">
        <f>HYPERLINK("https://klasma.github.io/Logging_0581/tillsyn/A 33659-2022 tillsynsbegäran.docx", "A 33659-2022")</f>
        <v/>
      </c>
      <c r="Y49">
        <f>HYPERLINK("https://klasma.github.io/Logging_0581/tillsynsmail/A 33659-2022 tillsynsbegäran mail.docx", "A 33659-2022")</f>
        <v/>
      </c>
    </row>
    <row r="50" ht="15" customHeight="1">
      <c r="A50" t="inlineStr">
        <is>
          <t>A 1083-2023</t>
        </is>
      </c>
      <c r="B50" s="1" t="n">
        <v>44935</v>
      </c>
      <c r="C50" s="1" t="n">
        <v>45709</v>
      </c>
      <c r="D50" t="inlineStr">
        <is>
          <t>ÖSTERGÖTLANDS LÄN</t>
        </is>
      </c>
      <c r="E50" t="inlineStr">
        <is>
          <t>NORRKÖPING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HYPERLINK("https://klasma.github.io/Logging_0581/artfynd/A 1083-2023 artfynd.xlsx", "A 1083-2023")</f>
        <v/>
      </c>
      <c r="T50">
        <f>HYPERLINK("https://klasma.github.io/Logging_0581/kartor/A 1083-2023 karta.png", "A 1083-2023")</f>
        <v/>
      </c>
      <c r="U50">
        <f>HYPERLINK("https://klasma.github.io/Logging_0581/knärot/A 1083-2023 karta knärot.png", "A 1083-2023")</f>
        <v/>
      </c>
      <c r="V50">
        <f>HYPERLINK("https://klasma.github.io/Logging_0581/klagomål/A 1083-2023 FSC-klagomål.docx", "A 1083-2023")</f>
        <v/>
      </c>
      <c r="W50">
        <f>HYPERLINK("https://klasma.github.io/Logging_0581/klagomålsmail/A 1083-2023 FSC-klagomål mail.docx", "A 1083-2023")</f>
        <v/>
      </c>
      <c r="X50">
        <f>HYPERLINK("https://klasma.github.io/Logging_0581/tillsyn/A 1083-2023 tillsynsbegäran.docx", "A 1083-2023")</f>
        <v/>
      </c>
      <c r="Y50">
        <f>HYPERLINK("https://klasma.github.io/Logging_0581/tillsynsmail/A 1083-2023 tillsynsbegäran mail.docx", "A 1083-2023")</f>
        <v/>
      </c>
    </row>
    <row r="51" ht="15" customHeight="1">
      <c r="A51" t="inlineStr">
        <is>
          <t>A 7211-2023</t>
        </is>
      </c>
      <c r="B51" s="1" t="n">
        <v>44970</v>
      </c>
      <c r="C51" s="1" t="n">
        <v>45709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Skogsklocka</t>
        </is>
      </c>
      <c r="S51">
        <f>HYPERLINK("https://klasma.github.io/Logging_0581/artfynd/A 7211-2023 artfynd.xlsx", "A 7211-2023")</f>
        <v/>
      </c>
      <c r="T51">
        <f>HYPERLINK("https://klasma.github.io/Logging_0581/kartor/A 7211-2023 karta.png", "A 7211-2023")</f>
        <v/>
      </c>
      <c r="V51">
        <f>HYPERLINK("https://klasma.github.io/Logging_0581/klagomål/A 7211-2023 FSC-klagomål.docx", "A 7211-2023")</f>
        <v/>
      </c>
      <c r="W51">
        <f>HYPERLINK("https://klasma.github.io/Logging_0581/klagomålsmail/A 7211-2023 FSC-klagomål mail.docx", "A 7211-2023")</f>
        <v/>
      </c>
      <c r="X51">
        <f>HYPERLINK("https://klasma.github.io/Logging_0581/tillsyn/A 7211-2023 tillsynsbegäran.docx", "A 7211-2023")</f>
        <v/>
      </c>
      <c r="Y51">
        <f>HYPERLINK("https://klasma.github.io/Logging_0581/tillsynsmail/A 7211-2023 tillsynsbegäran mail.docx", "A 7211-2023")</f>
        <v/>
      </c>
    </row>
    <row r="52" ht="15" customHeight="1">
      <c r="A52" t="inlineStr">
        <is>
          <t>A 14504-2023</t>
        </is>
      </c>
      <c r="B52" s="1" t="n">
        <v>45012</v>
      </c>
      <c r="C52" s="1" t="n">
        <v>45709</v>
      </c>
      <c r="D52" t="inlineStr">
        <is>
          <t>ÖSTERGÖTLANDS LÄN</t>
        </is>
      </c>
      <c r="E52" t="inlineStr">
        <is>
          <t>NORRKÖPING</t>
        </is>
      </c>
      <c r="G52" t="n">
        <v>0.5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Orange taggsvamp
Blåmossa</t>
        </is>
      </c>
      <c r="S52">
        <f>HYPERLINK("https://klasma.github.io/Logging_0581/artfynd/A 14504-2023 artfynd.xlsx", "A 14504-2023")</f>
        <v/>
      </c>
      <c r="T52">
        <f>HYPERLINK("https://klasma.github.io/Logging_0581/kartor/A 14504-2023 karta.png", "A 14504-2023")</f>
        <v/>
      </c>
      <c r="U52">
        <f>HYPERLINK("https://klasma.github.io/Logging_0581/knärot/A 14504-2023 karta knärot.png", "A 14504-2023")</f>
        <v/>
      </c>
      <c r="V52">
        <f>HYPERLINK("https://klasma.github.io/Logging_0581/klagomål/A 14504-2023 FSC-klagomål.docx", "A 14504-2023")</f>
        <v/>
      </c>
      <c r="W52">
        <f>HYPERLINK("https://klasma.github.io/Logging_0581/klagomålsmail/A 14504-2023 FSC-klagomål mail.docx", "A 14504-2023")</f>
        <v/>
      </c>
      <c r="X52">
        <f>HYPERLINK("https://klasma.github.io/Logging_0581/tillsyn/A 14504-2023 tillsynsbegäran.docx", "A 14504-2023")</f>
        <v/>
      </c>
      <c r="Y52">
        <f>HYPERLINK("https://klasma.github.io/Logging_0581/tillsynsmail/A 14504-2023 tillsynsbegäran mail.docx", "A 14504-2023")</f>
        <v/>
      </c>
    </row>
    <row r="53" ht="15" customHeight="1">
      <c r="A53" t="inlineStr">
        <is>
          <t>A 18491-2023</t>
        </is>
      </c>
      <c r="B53" s="1" t="n">
        <v>45042</v>
      </c>
      <c r="C53" s="1" t="n">
        <v>45709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7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Tibast</t>
        </is>
      </c>
      <c r="S53">
        <f>HYPERLINK("https://klasma.github.io/Logging_0581/artfynd/A 18491-2023 artfynd.xlsx", "A 18491-2023")</f>
        <v/>
      </c>
      <c r="T53">
        <f>HYPERLINK("https://klasma.github.io/Logging_0581/kartor/A 18491-2023 karta.png", "A 18491-2023")</f>
        <v/>
      </c>
      <c r="V53">
        <f>HYPERLINK("https://klasma.github.io/Logging_0581/klagomål/A 18491-2023 FSC-klagomål.docx", "A 18491-2023")</f>
        <v/>
      </c>
      <c r="W53">
        <f>HYPERLINK("https://klasma.github.io/Logging_0581/klagomålsmail/A 18491-2023 FSC-klagomål mail.docx", "A 18491-2023")</f>
        <v/>
      </c>
      <c r="X53">
        <f>HYPERLINK("https://klasma.github.io/Logging_0581/tillsyn/A 18491-2023 tillsynsbegäran.docx", "A 18491-2023")</f>
        <v/>
      </c>
      <c r="Y53">
        <f>HYPERLINK("https://klasma.github.io/Logging_0581/tillsynsmail/A 18491-2023 tillsynsbegäran mail.docx", "A 18491-2023")</f>
        <v/>
      </c>
      <c r="Z53">
        <f>HYPERLINK("https://klasma.github.io/Logging_0581/fåglar/A 18491-2023 prioriterade fågelarter.docx", "A 18491-2023")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45709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45709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45709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45709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45709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45709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45709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45709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45709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45709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45709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45709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45709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45709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45709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45709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45709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45709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45709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45709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45709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45709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45709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45709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45709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45709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45709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45709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45709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45709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45709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45709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45709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45709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45709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45709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45709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45709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45709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45709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45709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45709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45709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45709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45709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45709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45709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45709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45709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45709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45709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45709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45709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45709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45709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45709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45709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45709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45709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45709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45709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45709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45709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45709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45709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45709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45709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45709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45709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45709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45709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45709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45709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45709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45709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45709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45709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45709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45709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45709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45709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45709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45709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45709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45709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45709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45709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45709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45709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45709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45709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45709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45709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45709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45709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45709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45709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45709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45709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45709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45709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45709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45709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45709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45709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45709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45709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45709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45709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45709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45709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45709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45709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45709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45709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45709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45709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45709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45709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45709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45709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45709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45709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45709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45709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45709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45709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45709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45709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45709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45709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45709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45709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45709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45709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45709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45709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45709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45709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45709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45709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45709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45709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45709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45709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45709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45709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45709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45709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45709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45709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45709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45709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45709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45709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45709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45709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45709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45709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45709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45709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45709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45709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45709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45709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45709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45709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45709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45709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45709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45709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45709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45709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45709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45709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45709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45709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45709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45709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45709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45709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45709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45709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45709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45709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45709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45709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45709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45709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45709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45709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45709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45709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45709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45709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45709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45709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45709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45709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45709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45709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45709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45709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45709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45709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45709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45709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45709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45709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45709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45709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45709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45709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45709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45709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45709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45709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45709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45709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45709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45709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45709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45709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45709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45709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45709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45709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45709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45709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45709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45709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45709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45709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45709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45709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45709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45709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45709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45709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45709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45709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45709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45709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45709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45709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45709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45709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45709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45709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45709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45709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45709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45709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45709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45709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45709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45709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45709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45709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45709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45709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45709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45709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45709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45709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45709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45709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45709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45709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45709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45709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45709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45709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45709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45709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45709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45709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45709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45709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45709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45709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45709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45709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45709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45709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45709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45709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45709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45709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45709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45709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45709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45709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45709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45709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45709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45709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45709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45709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45709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45709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45709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45709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45709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45709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45709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45709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45709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45709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45709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45709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45709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45709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45709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45709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45709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45709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45709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45709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45709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45709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45709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45709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45709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45709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45709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45709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45709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45709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45709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45709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45709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45709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45709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45709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45709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45709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45709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45709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45709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45709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45709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45709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45709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45709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45709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45709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45709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45709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45709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45709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45709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45709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45709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45709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45709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45709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45709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45709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45709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45709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45709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45709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45709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45709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45709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45709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45709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45709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45709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45709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45709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45709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45709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45709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45709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45709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45709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45709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45709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45709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45709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45709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45709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45709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45709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45709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45709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45709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45709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45709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45709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45709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45709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45709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45709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45709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45709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45709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45709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45709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45709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45709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45709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45709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45709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45709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45709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45709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45709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45709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45709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45709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45709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45709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45709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45709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45709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45709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45709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45709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45709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45709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45709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45709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45709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45709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45709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45709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45709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45709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45709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45709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45709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45709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45709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45709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45709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45709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45709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45709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45709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45709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45709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45709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45709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45709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45709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45709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45709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45709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45709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45709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45709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45709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45709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45709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45709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45709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45709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45709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45709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45709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45709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45709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45709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45709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45709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45709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45709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45709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45709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45709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45709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45709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45709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45709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45709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45709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45709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45709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45709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45709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45709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45709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45709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45709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45709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45709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45709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45709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45709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45709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45709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45709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45709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45709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45709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45709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45709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45709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45709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45709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45709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45709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45709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45709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45709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45709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45709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45709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45709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45709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45709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45709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45709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45709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45709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45709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45709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45709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45709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45709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45709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45709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45709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45709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45709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45709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45709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45709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45709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45709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45709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45709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45709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45709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45709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45709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45709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45709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45709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45709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45709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45709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45709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45709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45709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45709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45709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45709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45709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45709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45709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45709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45709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45709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45709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45709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45709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45709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45709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45709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45709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45709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45709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45709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45709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45709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45709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45709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45709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45709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45709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45709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45709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45709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45709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45709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45709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45709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45709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45709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45709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45709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45709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45709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45709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45709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45709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45709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45709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45709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45709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45709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45709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45709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45709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45709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45709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45709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45709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45709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45709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45709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45709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45709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45709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45709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45709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45709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45709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45709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45709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45709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45709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45709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45709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45709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45709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45709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45709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45709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45709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45709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45709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45709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45709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45709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45709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45709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45709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45709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45709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45709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45709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45709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45709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45709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45709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45709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45709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45709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45709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45709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45709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45709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45709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45709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45709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45709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45709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45709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45709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45709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45709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45709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45709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45709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45709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45709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45709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45709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45709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45709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45709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45709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45709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45709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45709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45709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45709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45709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45709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45709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45709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45709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45709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45709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45709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45709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45709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45709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45709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45709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45709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45709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45709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45709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45709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45709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45709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45709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45709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45709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45709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45709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45709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45709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45709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45709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45709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45709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45709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45709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45709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45709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45709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45709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45709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45709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45709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45709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45709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45709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45709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45709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45709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45709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45709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45709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45709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45709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45709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45709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45709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45709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45709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45709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45709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45709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45709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45709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45709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45709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45709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45709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45709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45709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45709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45709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45709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45709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45709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45709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45709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45709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45709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45709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45709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45709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45709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45709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45709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45709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45709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45709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45709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45709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45709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45709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45709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45709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45709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45709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45709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45709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45709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45709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45709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45709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45709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45709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45709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45709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45709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45709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45709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45709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45709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45709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45709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45709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45709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45709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45709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45709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45709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45709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45709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45709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45709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45709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45709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45709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45709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45709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45709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45709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45709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45709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45709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45709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45709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45709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45709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45709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45709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45709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45709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45709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45709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45709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45709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45709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45709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45709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45709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45709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45709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45709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45709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45709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45709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45709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45709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45709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45709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45709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45709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45709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45709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45709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45709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45709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45709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45709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45709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45709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45709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45709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45709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45709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45709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45709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45709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45709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45709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45709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45709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45709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45709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45709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45709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45709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45709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45709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27728-2023</t>
        </is>
      </c>
      <c r="B911" s="1" t="n">
        <v>45098</v>
      </c>
      <c r="C911" s="1" t="n">
        <v>45709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45709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45709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45709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45709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45709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45709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45709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45709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45709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45709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45709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45709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45709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45709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45709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45709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45709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45709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45709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45709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45709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45709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45709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45709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45709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45709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45709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45709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45709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45709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45709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45709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45709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45709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45709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45709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45709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45709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45709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45709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45709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45709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45709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45709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45709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45709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45709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45709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45709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45709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45709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45709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45709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45709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45709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45709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45709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45709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45709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45709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45709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45709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45709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45709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45709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45709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45709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45709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45709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45709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45709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45709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45709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45709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45709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45709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45709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45709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45709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45709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45709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45709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45709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45709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45709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45709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45709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45709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45709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45709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45709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45709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45709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45709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45709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45709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45709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45709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45709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45709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45709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45709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45709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45709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45709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45709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45709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45709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45709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45709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45709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45709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45709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45709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45709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45709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45709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45709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45709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45709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45709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45709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45709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45709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45709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45709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45709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45709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45709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45709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45709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45709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45709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45709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45709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45709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45709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45709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45709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45709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45709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45709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45709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45709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45709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45709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45709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45709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45709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45709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45709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45709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45709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45709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45709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45709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45709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45709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45709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45709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45709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45709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45709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45709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45709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45709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45709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45709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45709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45709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45709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45709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45709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45709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45709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45709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45709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45709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45709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45709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45709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45709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45709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45709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45709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45709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45709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45709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45709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45709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45709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45709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45709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45709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45709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45709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45709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45709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45709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45709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45709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45709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45709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45709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45709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45709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45709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45709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45709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45709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45709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45709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45709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45709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45709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45709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45709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45709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45709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45709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45709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45709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45709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45709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45709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45709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45709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45709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45709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45709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45709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45709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45709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45709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45709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45709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45709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45709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45709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45709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45709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45709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45709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45709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45709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45709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45709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45709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45709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45709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45709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45709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45709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45709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45709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45709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45709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45709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45709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45709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45709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45709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45709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45709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45709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45709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45709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45709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45709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45709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45709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45709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45709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45709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45709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45709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45709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45709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45709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45709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45709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45709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45709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45709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45709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45709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45709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45709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45709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45709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45709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45709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45709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45709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45709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45709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45709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45709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45709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45709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45709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45709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45709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45709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45709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45709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45709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45709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45709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45709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45709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45709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45709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45709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45709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45709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45709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45709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45709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45709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45709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45709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45709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45709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45709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45709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45709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45709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45709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45709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45709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45709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45709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45709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45709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45709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45709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45709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45709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45709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45709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45709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45709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45709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45709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45709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45709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45709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45709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45709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45709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45709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45709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45709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45709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45709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45709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45709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45709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45709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45709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45709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45709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45709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45709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45709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45709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45709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45709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45709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45709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45709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45709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45709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45709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45709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45709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45709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45709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45709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45709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45709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45709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45709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45709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45709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45709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45709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45709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45709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45709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45709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45709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45709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45709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45709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45709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45709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45709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45709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45709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45709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45709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45709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45709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45709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45709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45709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45709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45709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45709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45709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45709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45709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45709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45709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45709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45709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45709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45709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45709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45709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45709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45709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45709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45709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45709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45709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45709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45709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45709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45709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45709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45709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45709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45709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45709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45709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45709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45709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45709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45709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45709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45709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45709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45709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45709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45709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45709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45709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45709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45709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45709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45709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45709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45709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45709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45709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45709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45709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45709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45709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45709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45709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45709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45709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45709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45709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45709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45709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45709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45709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45709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45709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45709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45709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45709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45709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45709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45709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45709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45709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45709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45709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45709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45709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45709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45709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45709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45709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45709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45709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45709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45709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45709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45709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45709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45709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45709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45709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45709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45709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45709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45709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45709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45709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45709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45709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45709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45709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45709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45709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45709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45709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45709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45709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45709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45709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45709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45709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45709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45709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45709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45709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45709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45709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45709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45709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45709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45709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45709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45709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45709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45709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45709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45709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45709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45709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45709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45709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45709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45709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45709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45709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45709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45709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45709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45709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45709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45709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45709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45709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45709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45709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45709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45709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45709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45709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45709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45709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45709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45709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45709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45709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45709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45709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45709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45709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45709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45709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45709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6567-2025</t>
        </is>
      </c>
      <c r="B1483" s="1" t="n">
        <v>45699</v>
      </c>
      <c r="C1483" s="1" t="n">
        <v>45709</v>
      </c>
      <c r="D1483" t="inlineStr">
        <is>
          <t>ÖSTERGÖTLANDS LÄN</t>
        </is>
      </c>
      <c r="E1483" t="inlineStr">
        <is>
          <t>NORRKÖPING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6561-2025</t>
        </is>
      </c>
      <c r="B1484" s="1" t="n">
        <v>45699</v>
      </c>
      <c r="C1484" s="1" t="n">
        <v>45709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6565-2025</t>
        </is>
      </c>
      <c r="B1485" s="1" t="n">
        <v>45699</v>
      </c>
      <c r="C1485" s="1" t="n">
        <v>45709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6569-2025</t>
        </is>
      </c>
      <c r="B1486" s="1" t="n">
        <v>45699</v>
      </c>
      <c r="C1486" s="1" t="n">
        <v>45709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6566-2025</t>
        </is>
      </c>
      <c r="B1487" s="1" t="n">
        <v>45699</v>
      </c>
      <c r="C1487" s="1" t="n">
        <v>45709</v>
      </c>
      <c r="D1487" t="inlineStr">
        <is>
          <t>ÖSTERGÖTLANDS LÄN</t>
        </is>
      </c>
      <c r="E1487" t="inlineStr">
        <is>
          <t>NORRKÖPING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6560-2025</t>
        </is>
      </c>
      <c r="B1488" s="1" t="n">
        <v>45699</v>
      </c>
      <c r="C1488" s="1" t="n">
        <v>45709</v>
      </c>
      <c r="D1488" t="inlineStr">
        <is>
          <t>ÖSTERGÖTLANDS LÄN</t>
        </is>
      </c>
      <c r="E1488" t="inlineStr">
        <is>
          <t>NORRKÖPING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45709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45709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45709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45709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7517-2025</t>
        </is>
      </c>
      <c r="B1493" s="1" t="n">
        <v>45705</v>
      </c>
      <c r="C1493" s="1" t="n">
        <v>45709</v>
      </c>
      <c r="D1493" t="inlineStr">
        <is>
          <t>ÖSTERGÖTLANDS LÄN</t>
        </is>
      </c>
      <c r="E1493" t="inlineStr">
        <is>
          <t>NORRKÖPING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45709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7714-2025</t>
        </is>
      </c>
      <c r="B1495" s="1" t="n">
        <v>45706</v>
      </c>
      <c r="C1495" s="1" t="n">
        <v>45709</v>
      </c>
      <c r="D1495" t="inlineStr">
        <is>
          <t>ÖSTERGÖTLANDS LÄN</t>
        </is>
      </c>
      <c r="E1495" t="inlineStr">
        <is>
          <t>NORRKÖPING</t>
        </is>
      </c>
      <c r="G1495" t="n">
        <v>13.8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7763-2025</t>
        </is>
      </c>
      <c r="B1496" s="1" t="n">
        <v>45706</v>
      </c>
      <c r="C1496" s="1" t="n">
        <v>45709</v>
      </c>
      <c r="D1496" t="inlineStr">
        <is>
          <t>ÖSTERGÖTLANDS LÄN</t>
        </is>
      </c>
      <c r="E1496" t="inlineStr">
        <is>
          <t>NORRKÖPING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7761-2025</t>
        </is>
      </c>
      <c r="B1497" s="1" t="n">
        <v>45706</v>
      </c>
      <c r="C1497" s="1" t="n">
        <v>45709</v>
      </c>
      <c r="D1497" t="inlineStr">
        <is>
          <t>ÖSTERGÖTLANDS LÄN</t>
        </is>
      </c>
      <c r="E1497" t="inlineStr">
        <is>
          <t>NORRKÖPING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7742-2025</t>
        </is>
      </c>
      <c r="B1498" s="1" t="n">
        <v>45706</v>
      </c>
      <c r="C1498" s="1" t="n">
        <v>45709</v>
      </c>
      <c r="D1498" t="inlineStr">
        <is>
          <t>ÖSTERGÖTLANDS LÄN</t>
        </is>
      </c>
      <c r="E1498" t="inlineStr">
        <is>
          <t>NORRKÖPING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7750-2025</t>
        </is>
      </c>
      <c r="B1499" s="1" t="n">
        <v>45706</v>
      </c>
      <c r="C1499" s="1" t="n">
        <v>45709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45709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8354-2025</t>
        </is>
      </c>
      <c r="B1501" s="1" t="n">
        <v>45708</v>
      </c>
      <c r="C1501" s="1" t="n">
        <v>45709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2025-02-21T16:56:34Z</dcterms:created>
  <dcterms:modified xmlns:dcterms="http://purl.org/dc/terms/" xmlns:xsi="http://www.w3.org/2001/XMLSchema-instance" xsi:type="dcterms:W3CDTF">2025-02-21T16:56:35Z</dcterms:modified>
</cp:coreProperties>
</file>