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45706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45706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45706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45706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45706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45706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45706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45706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45706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46648-2024</t>
        </is>
      </c>
      <c r="B43" s="1" t="n">
        <v>45583</v>
      </c>
      <c r="C43" s="1" t="n">
        <v>45706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6.8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Spillkråka
Talltita
Vedskivlav</t>
        </is>
      </c>
      <c r="S43">
        <f>HYPERLINK("https://klasma.github.io/Logging_0581/artfynd/A 46648-2024 artfynd.xlsx", "A 46648-2024")</f>
        <v/>
      </c>
      <c r="T43">
        <f>HYPERLINK("https://klasma.github.io/Logging_0581/kartor/A 46648-2024 karta.png", "A 46648-2024")</f>
        <v/>
      </c>
      <c r="V43">
        <f>HYPERLINK("https://klasma.github.io/Logging_0581/klagomål/A 46648-2024 FSC-klagomål.docx", "A 46648-2024")</f>
        <v/>
      </c>
      <c r="W43">
        <f>HYPERLINK("https://klasma.github.io/Logging_0581/klagomålsmail/A 46648-2024 FSC-klagomål mail.docx", "A 46648-2024")</f>
        <v/>
      </c>
      <c r="X43">
        <f>HYPERLINK("https://klasma.github.io/Logging_0581/tillsyn/A 46648-2024 tillsynsbegäran.docx", "A 46648-2024")</f>
        <v/>
      </c>
      <c r="Y43">
        <f>HYPERLINK("https://klasma.github.io/Logging_0581/tillsynsmail/A 46648-2024 tillsynsbegäran mail.docx", "A 46648-2024")</f>
        <v/>
      </c>
      <c r="Z43">
        <f>HYPERLINK("https://klasma.github.io/Logging_0581/fåglar/A 46648-2024 prioriterade fågelarter.docx", "A 46648-2024")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45706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45706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1260-2025</t>
        </is>
      </c>
      <c r="B46" s="1" t="n">
        <v>45667</v>
      </c>
      <c r="C46" s="1" t="n">
        <v>45706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Mjukdån
Nattviol
Revlummer</t>
        </is>
      </c>
      <c r="S46">
        <f>HYPERLINK("https://klasma.github.io/Logging_0581/artfynd/A 1260-2025 artfynd.xlsx", "A 1260-2025")</f>
        <v/>
      </c>
      <c r="T46">
        <f>HYPERLINK("https://klasma.github.io/Logging_0581/kartor/A 1260-2025 karta.png", "A 1260-2025")</f>
        <v/>
      </c>
      <c r="V46">
        <f>HYPERLINK("https://klasma.github.io/Logging_0581/klagomål/A 1260-2025 FSC-klagomål.docx", "A 1260-2025")</f>
        <v/>
      </c>
      <c r="W46">
        <f>HYPERLINK("https://klasma.github.io/Logging_0581/klagomålsmail/A 1260-2025 FSC-klagomål mail.docx", "A 1260-2025")</f>
        <v/>
      </c>
      <c r="X46">
        <f>HYPERLINK("https://klasma.github.io/Logging_0581/tillsyn/A 1260-2025 tillsynsbegäran.docx", "A 1260-2025")</f>
        <v/>
      </c>
      <c r="Y46">
        <f>HYPERLINK("https://klasma.github.io/Logging_0581/tillsynsmail/A 1260-2025 tillsynsbegäran mail.docx", "A 1260-2025")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45706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45706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45706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1083-2023</t>
        </is>
      </c>
      <c r="B50" s="1" t="n">
        <v>44935</v>
      </c>
      <c r="C50" s="1" t="n">
        <v>45706</v>
      </c>
      <c r="D50" t="inlineStr">
        <is>
          <t>ÖSTERGÖTLANDS LÄN</t>
        </is>
      </c>
      <c r="E50" t="inlineStr">
        <is>
          <t>NORRKÖPING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HYPERLINK("https://klasma.github.io/Logging_0581/artfynd/A 1083-2023 artfynd.xlsx", "A 1083-2023")</f>
        <v/>
      </c>
      <c r="T50">
        <f>HYPERLINK("https://klasma.github.io/Logging_0581/kartor/A 1083-2023 karta.png", "A 1083-2023")</f>
        <v/>
      </c>
      <c r="U50">
        <f>HYPERLINK("https://klasma.github.io/Logging_0581/knärot/A 1083-2023 karta knärot.png", "A 1083-2023")</f>
        <v/>
      </c>
      <c r="V50">
        <f>HYPERLINK("https://klasma.github.io/Logging_0581/klagomål/A 1083-2023 FSC-klagomål.docx", "A 1083-2023")</f>
        <v/>
      </c>
      <c r="W50">
        <f>HYPERLINK("https://klasma.github.io/Logging_0581/klagomålsmail/A 1083-2023 FSC-klagomål mail.docx", "A 1083-2023")</f>
        <v/>
      </c>
      <c r="X50">
        <f>HYPERLINK("https://klasma.github.io/Logging_0581/tillsyn/A 1083-2023 tillsynsbegäran.docx", "A 1083-2023")</f>
        <v/>
      </c>
      <c r="Y50">
        <f>HYPERLINK("https://klasma.github.io/Logging_0581/tillsynsmail/A 1083-2023 tillsynsbegäran mail.docx", "A 1083-2023")</f>
        <v/>
      </c>
    </row>
    <row r="51" ht="15" customHeight="1">
      <c r="A51" t="inlineStr">
        <is>
          <t>A 7211-2023</t>
        </is>
      </c>
      <c r="B51" s="1" t="n">
        <v>44970</v>
      </c>
      <c r="C51" s="1" t="n">
        <v>45706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Skogsklocka</t>
        </is>
      </c>
      <c r="S51">
        <f>HYPERLINK("https://klasma.github.io/Logging_0581/artfynd/A 7211-2023 artfynd.xlsx", "A 7211-2023")</f>
        <v/>
      </c>
      <c r="T51">
        <f>HYPERLINK("https://klasma.github.io/Logging_0581/kartor/A 7211-2023 karta.png", "A 7211-2023")</f>
        <v/>
      </c>
      <c r="V51">
        <f>HYPERLINK("https://klasma.github.io/Logging_0581/klagomål/A 7211-2023 FSC-klagomål.docx", "A 7211-2023")</f>
        <v/>
      </c>
      <c r="W51">
        <f>HYPERLINK("https://klasma.github.io/Logging_0581/klagomålsmail/A 7211-2023 FSC-klagomål mail.docx", "A 7211-2023")</f>
        <v/>
      </c>
      <c r="X51">
        <f>HYPERLINK("https://klasma.github.io/Logging_0581/tillsyn/A 7211-2023 tillsynsbegäran.docx", "A 7211-2023")</f>
        <v/>
      </c>
      <c r="Y51">
        <f>HYPERLINK("https://klasma.github.io/Logging_0581/tillsynsmail/A 7211-2023 tillsynsbegäran mail.docx", "A 7211-2023")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45706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Orange taggsvamp
Blåmossa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18491-2023</t>
        </is>
      </c>
      <c r="B53" s="1" t="n">
        <v>45042</v>
      </c>
      <c r="C53" s="1" t="n">
        <v>45706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7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Tibast</t>
        </is>
      </c>
      <c r="S53">
        <f>HYPERLINK("https://klasma.github.io/Logging_0581/artfynd/A 18491-2023 artfynd.xlsx", "A 18491-2023")</f>
        <v/>
      </c>
      <c r="T53">
        <f>HYPERLINK("https://klasma.github.io/Logging_0581/kartor/A 18491-2023 karta.png", "A 18491-2023")</f>
        <v/>
      </c>
      <c r="V53">
        <f>HYPERLINK("https://klasma.github.io/Logging_0581/klagomål/A 18491-2023 FSC-klagomål.docx", "A 18491-2023")</f>
        <v/>
      </c>
      <c r="W53">
        <f>HYPERLINK("https://klasma.github.io/Logging_0581/klagomålsmail/A 18491-2023 FSC-klagomål mail.docx", "A 18491-2023")</f>
        <v/>
      </c>
      <c r="X53">
        <f>HYPERLINK("https://klasma.github.io/Logging_0581/tillsyn/A 18491-2023 tillsynsbegäran.docx", "A 18491-2023")</f>
        <v/>
      </c>
      <c r="Y53">
        <f>HYPERLINK("https://klasma.github.io/Logging_0581/tillsynsmail/A 18491-2023 tillsynsbegäran mail.docx", "A 18491-2023")</f>
        <v/>
      </c>
      <c r="Z53">
        <f>HYPERLINK("https://klasma.github.io/Logging_0581/fåglar/A 18491-2023 prioriterade fågelarter.docx", "A 18491-2023")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45706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45706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45706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45706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45706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45706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45706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45706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45706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45706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45706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45706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45706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45706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45706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45706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45706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45706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45706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45706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45706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45706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45706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45706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45706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45706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45706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45706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45706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45706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45706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45706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45706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45706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45706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45706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45706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45706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45706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45706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45706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45706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45706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45706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45706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45706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45706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45706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45706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45706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45706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45706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45706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45706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45706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45706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45706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45706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45706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45706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45706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45706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45706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45706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45706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45706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45706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45706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45706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45706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45706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45706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45706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45706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45706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45706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45706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45706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45706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45706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45706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45706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45706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45706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45706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45706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45706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45706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45706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45706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45706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45706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45706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45706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45706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45706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45706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45706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45706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45706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45706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45706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45706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45706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45706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45706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45706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45706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45706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45706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45706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45706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45706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45706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45706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45706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45706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45706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45706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45706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45706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45706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45706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45706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45706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45706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45706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45706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45706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45706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45706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45706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45706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45706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45706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45706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45706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45706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45706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45706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45706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45706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45706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45706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45706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45706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45706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45706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45706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45706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45706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45706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45706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45706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45706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45706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45706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45706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45706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45706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45706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45706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45706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45706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45706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45706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45706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45706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45706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45706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45706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45706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45706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45706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45706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45706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45706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45706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45706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45706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45706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45706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45706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45706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45706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45706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45706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45706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45706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45706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45706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45706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45706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45706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45706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45706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45706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45706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45706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45706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45706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45706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45706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45706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45706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45706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45706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45706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45706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45706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45706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45706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45706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45706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45706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45706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45706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45706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45706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45706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45706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45706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45706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45706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45706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45706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45706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45706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45706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45706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45706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45706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45706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45706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45706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45706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45706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45706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45706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45706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45706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45706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45706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45706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45706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45706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45706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45706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45706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45706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45706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45706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45706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45706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45706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45706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45706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45706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45706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45706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45706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45706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45706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45706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45706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45706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45706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45706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45706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45706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45706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45706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45706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45706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45706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45706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45706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45706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45706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45706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45706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45706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45706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45706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45706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45706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45706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45706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45706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45706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45706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45706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45706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45706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45706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45706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45706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45706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45706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45706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45706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45706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45706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45706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45706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45706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45706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45706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45706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45706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45706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45706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45706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45706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45706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45706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45706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45706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45706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45706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45706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45706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45706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45706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45706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45706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45706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45706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45706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45706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45706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45706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45706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45706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45706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45706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45706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45706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45706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45706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45706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45706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45706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45706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45706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45706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45706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45706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45706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45706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45706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45706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45706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45706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45706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45706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45706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45706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45706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45706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45706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45706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45706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45706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45706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45706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45706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45706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45706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45706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45706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45706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45706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45706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45706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45706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45706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45706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45706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45706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45706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45706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45706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45706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45706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45706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45706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45706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45706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45706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45706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45706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45706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45706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45706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45706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45706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45706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45706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45706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45706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45706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45706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45706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45706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45706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45706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45706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45706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45706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45706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45706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45706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45706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45706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45706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45706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45706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45706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45706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45706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45706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45706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45706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45706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45706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45706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45706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45706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45706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45706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45706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45706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45706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45706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45706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45706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45706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45706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45706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45706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45706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45706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45706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45706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45706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45706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45706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45706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45706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45706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45706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45706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45706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45706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45706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45706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45706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45706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45706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45706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45706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45706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45706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45706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45706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45706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45706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45706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45706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45706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45706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45706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45706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45706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45706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45706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45706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45706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45706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45706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45706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45706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45706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45706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45706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45706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45706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45706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45706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45706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45706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45706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45706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45706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45706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45706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45706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45706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45706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45706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45706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45706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45706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45706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45706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45706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45706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45706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45706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45706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45706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45706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45706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45706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45706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45706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45706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45706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45706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45706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45706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45706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45706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45706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45706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45706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45706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45706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45706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45706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45706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45706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45706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45706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45706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45706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45706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45706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45706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45706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45706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45706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45706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45706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45706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45706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45706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45706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45706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45706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45706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45706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45706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45706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45706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45706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45706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45706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45706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45706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45706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45706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45706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45706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45706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45706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45706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45706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45706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45706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45706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45706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45706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45706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45706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45706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45706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45706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45706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45706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45706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45706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45706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45706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45706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45706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45706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45706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45706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45706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45706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45706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45706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45706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45706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45706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45706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45706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45706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45706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45706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45706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45706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45706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45706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45706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45706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45706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45706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45706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45706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45706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45706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45706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45706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45706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45706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45706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45706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45706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45706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45706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45706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45706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45706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45706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45706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45706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45706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45706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45706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45706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45706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45706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45706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45706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45706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45706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45706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45706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45706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45706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45706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45706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45706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45706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45706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45706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45706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45706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45706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45706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45706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45706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45706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45706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45706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45706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45706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45706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45706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45706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45706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45706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45706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45706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45706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45706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45706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45706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45706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45706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45706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45706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45706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45706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45706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45706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45706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45706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45706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45706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45706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45706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45706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45706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45706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45706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45706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45706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45706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45706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45706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45706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45706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45706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45706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45706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45706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45706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45706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45706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45706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45706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45706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45706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45706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45706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45706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45706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45706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45706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45706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45706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45706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45706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45706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45706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45706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45706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45706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45706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45706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45706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45706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45706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45706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45706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45706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45706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45706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45706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45706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45706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45706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45706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45706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45706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45706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45706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45706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45706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45706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45706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45706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45706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45706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45706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45706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45706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45706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45706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45706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45706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45706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45706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45706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45706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45706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45706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45706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45706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45706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45706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45706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45706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45706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45706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45706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45706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45706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45706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45706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45706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45706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45706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45706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45706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45706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45706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45706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45706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45706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45706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45706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45706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45706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45706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45706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45706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45706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45706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45706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45706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45706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45706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45706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45706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45706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45706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45706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45706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45706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45706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45706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45706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45706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45706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45706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45706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45706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45706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45706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45706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45706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45706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45706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45706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45706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45706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45706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45706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45706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45706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45706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45706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45706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45706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45706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45706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45706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45706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45706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45706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45706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45706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45706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45706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45706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45706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45706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45706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45706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45706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45706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45706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45706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45706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45706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45706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45706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45706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45706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45706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45706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45706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27728-2023</t>
        </is>
      </c>
      <c r="B911" s="1" t="n">
        <v>45098</v>
      </c>
      <c r="C911" s="1" t="n">
        <v>45706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45706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45706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45706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45706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45706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45706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45706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45706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45706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45706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45706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45706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45706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45706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45706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45706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45706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45706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45706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45706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45706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45706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45706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45706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45706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45706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45706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45706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45706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45706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45706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45706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45706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45706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45706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45706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45706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45706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45706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45706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45706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45706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45706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45706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45706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45706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45706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45706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45706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45706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45706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45706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45706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45706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45706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45706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45706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45706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45706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45706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45706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45706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45706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45706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45706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45706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45706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45706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45706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45706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45706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45706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45706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45706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45706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45706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45706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45706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45706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45706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45706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45706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45706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45706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45706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45706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45706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45706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45706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45706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45706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45706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45706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45706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45706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45706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45706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45706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45706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45706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45706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45706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45706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45706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45706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45706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45706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45706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45706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45706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45706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45706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45706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45706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45706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45706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45706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45706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45706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45706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45706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45706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45706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45706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45706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45706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45706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45706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45706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45706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45706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45706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45706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45706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45706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45706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45706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45706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45706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45706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45706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45706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45706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45706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45706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45706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45706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45706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45706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45706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45706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45706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45706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45706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45706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45706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45706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45706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45706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45706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45706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45706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45706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45706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45706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45706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45706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45706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45706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45706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45706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45706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45706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45706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45706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45706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45706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45706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45706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45706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45706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45706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45706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45706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45706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45706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45706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45706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45706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45706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45706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45706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45706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45706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45706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45706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45706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45706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45706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45706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45706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45706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45706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45706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45706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45706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45706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45706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45706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45706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45706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45706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45706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45706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45706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45706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45706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45706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45706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45706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45706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45706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45706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45706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45706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45706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45706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45706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45706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45706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45706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45706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45706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45706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45706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45706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45706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45706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45706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45706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45706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45706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45706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45706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45706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45706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45706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45706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45706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45706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45706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45706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45706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45706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45706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45706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45706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45706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45706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45706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45706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45706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45706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45706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45706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45706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45706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45706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45706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45706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45706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45706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45706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45706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45706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45706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45706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45706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45706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45706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45706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45706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45706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45706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45706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45706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45706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45706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45706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45706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45706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45706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45706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45706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45706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45706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45706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45706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45706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45706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45706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45706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45706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45706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45706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45706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45706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45706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45706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45706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45706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45706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45706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45706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45706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45706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45706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45706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45706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45706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45706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45706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45706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45706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45706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45706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45706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45706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45706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45706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45706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45706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45706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45706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45706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45706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45706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45706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45706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45706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45706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45706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45706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45706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45706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45706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45706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45706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45706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45706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45706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45706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45706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45706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45706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45706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45706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45706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45706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45706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45706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45706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45706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45706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45706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45706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45706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45706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45706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45706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45706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45706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45706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45706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45706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45706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45706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45706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45706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45706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45706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45706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45706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45706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45706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45706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45706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45706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45706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45706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45706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45706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45706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45706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45706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45706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45706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45706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45706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45706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45706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45706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45706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45706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45706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45706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45706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45706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45706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45706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45706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45706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45706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45706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45706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45706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45706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45706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45706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45706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45706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45706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45706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45706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45706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45706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45706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45706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45706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45706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45706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45706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45706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45706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45706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45706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45706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45706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45706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45706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45706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45706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45706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45706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45706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45706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45706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45706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45706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45706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45706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45706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45706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45706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45706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45706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45706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45706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45706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45706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45706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45706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45706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45706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45706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45706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45706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45706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45706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45706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45706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45706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45706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45706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45706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45706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45706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45706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45706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45706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45706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45706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45706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45706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45706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45706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45706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45706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45706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45706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45706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45706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45706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45706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45706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45706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45706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45706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45706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45706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45706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45706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45706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45706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45706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45706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45706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45706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45706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45706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45706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45706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45706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45706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45706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45706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45706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45706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45706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45706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45706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45706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45706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45706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45706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45706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45706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45706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45706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45706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45706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45706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45706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45706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45706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45706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45706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45706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45706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45706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45706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45706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45706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45706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45706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45706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45706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45706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45706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45706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45706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2978-2025</t>
        </is>
      </c>
      <c r="B1463" s="1" t="n">
        <v>45678</v>
      </c>
      <c r="C1463" s="1" t="n">
        <v>45706</v>
      </c>
      <c r="D1463" t="inlineStr">
        <is>
          <t>ÖSTERGÖTLANDS LÄN</t>
        </is>
      </c>
      <c r="E1463" t="inlineStr">
        <is>
          <t>NORRKÖPING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3011-2025</t>
        </is>
      </c>
      <c r="B1464" s="1" t="n">
        <v>45678</v>
      </c>
      <c r="C1464" s="1" t="n">
        <v>45706</v>
      </c>
      <c r="D1464" t="inlineStr">
        <is>
          <t>ÖSTERGÖTLANDS LÄN</t>
        </is>
      </c>
      <c r="E1464" t="inlineStr">
        <is>
          <t>NORRKÖPING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3020-2025</t>
        </is>
      </c>
      <c r="B1465" s="1" t="n">
        <v>45678</v>
      </c>
      <c r="C1465" s="1" t="n">
        <v>45706</v>
      </c>
      <c r="D1465" t="inlineStr">
        <is>
          <t>ÖSTERGÖTLANDS LÄN</t>
        </is>
      </c>
      <c r="E1465" t="inlineStr">
        <is>
          <t>NORRKÖPING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3044-2025</t>
        </is>
      </c>
      <c r="B1466" s="1" t="n">
        <v>45678</v>
      </c>
      <c r="C1466" s="1" t="n">
        <v>45706</v>
      </c>
      <c r="D1466" t="inlineStr">
        <is>
          <t>ÖSTERGÖTLANDS LÄN</t>
        </is>
      </c>
      <c r="E1466" t="inlineStr">
        <is>
          <t>NORRKÖPING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3013-2025</t>
        </is>
      </c>
      <c r="B1467" s="1" t="n">
        <v>45678</v>
      </c>
      <c r="C1467" s="1" t="n">
        <v>45706</v>
      </c>
      <c r="D1467" t="inlineStr">
        <is>
          <t>ÖSTERGÖTLANDS LÄN</t>
        </is>
      </c>
      <c r="E1467" t="inlineStr">
        <is>
          <t>NORRKÖPING</t>
        </is>
      </c>
      <c r="G1467" t="n">
        <v>10.9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3018-2025</t>
        </is>
      </c>
      <c r="B1468" s="1" t="n">
        <v>45678</v>
      </c>
      <c r="C1468" s="1" t="n">
        <v>45706</v>
      </c>
      <c r="D1468" t="inlineStr">
        <is>
          <t>ÖSTERGÖTLANDS LÄN</t>
        </is>
      </c>
      <c r="E1468" t="inlineStr">
        <is>
          <t>NORRKÖPING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3070-2025</t>
        </is>
      </c>
      <c r="B1469" s="1" t="n">
        <v>45678</v>
      </c>
      <c r="C1469" s="1" t="n">
        <v>45706</v>
      </c>
      <c r="D1469" t="inlineStr">
        <is>
          <t>ÖSTERGÖTLANDS LÄN</t>
        </is>
      </c>
      <c r="E1469" t="inlineStr">
        <is>
          <t>NORRKÖPING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3086-2025</t>
        </is>
      </c>
      <c r="B1470" s="1" t="n">
        <v>45678</v>
      </c>
      <c r="C1470" s="1" t="n">
        <v>45706</v>
      </c>
      <c r="D1470" t="inlineStr">
        <is>
          <t>ÖSTERGÖTLANDS LÄN</t>
        </is>
      </c>
      <c r="E1470" t="inlineStr">
        <is>
          <t>NORRKÖPING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3023-2025</t>
        </is>
      </c>
      <c r="B1471" s="1" t="n">
        <v>45678</v>
      </c>
      <c r="C1471" s="1" t="n">
        <v>45706</v>
      </c>
      <c r="D1471" t="inlineStr">
        <is>
          <t>ÖSTERGÖTLANDS LÄN</t>
        </is>
      </c>
      <c r="E1471" t="inlineStr">
        <is>
          <t>NORRKÖPING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3035-2025</t>
        </is>
      </c>
      <c r="B1472" s="1" t="n">
        <v>45678</v>
      </c>
      <c r="C1472" s="1" t="n">
        <v>45706</v>
      </c>
      <c r="D1472" t="inlineStr">
        <is>
          <t>ÖSTERGÖTLANDS LÄN</t>
        </is>
      </c>
      <c r="E1472" t="inlineStr">
        <is>
          <t>NORRKÖPING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2955-2025</t>
        </is>
      </c>
      <c r="B1473" s="1" t="n">
        <v>45678</v>
      </c>
      <c r="C1473" s="1" t="n">
        <v>45706</v>
      </c>
      <c r="D1473" t="inlineStr">
        <is>
          <t>ÖSTERGÖTLANDS LÄN</t>
        </is>
      </c>
      <c r="E1473" t="inlineStr">
        <is>
          <t>NORRKÖPING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45706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3004-2025</t>
        </is>
      </c>
      <c r="B1475" s="1" t="n">
        <v>45678</v>
      </c>
      <c r="C1475" s="1" t="n">
        <v>45706</v>
      </c>
      <c r="D1475" t="inlineStr">
        <is>
          <t>ÖSTERGÖTLANDS LÄN</t>
        </is>
      </c>
      <c r="E1475" t="inlineStr">
        <is>
          <t>NORRKÖPING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45706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45706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45706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45706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45706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45706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6567-2025</t>
        </is>
      </c>
      <c r="B1482" s="1" t="n">
        <v>45699</v>
      </c>
      <c r="C1482" s="1" t="n">
        <v>45706</v>
      </c>
      <c r="D1482" t="inlineStr">
        <is>
          <t>ÖSTERGÖTLANDS LÄN</t>
        </is>
      </c>
      <c r="E1482" t="inlineStr">
        <is>
          <t>NORRKÖPING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6566-2025</t>
        </is>
      </c>
      <c r="B1483" s="1" t="n">
        <v>45699</v>
      </c>
      <c r="C1483" s="1" t="n">
        <v>45706</v>
      </c>
      <c r="D1483" t="inlineStr">
        <is>
          <t>ÖSTERGÖTLANDS LÄN</t>
        </is>
      </c>
      <c r="E1483" t="inlineStr">
        <is>
          <t>NORRKÖPING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6516-2025</t>
        </is>
      </c>
      <c r="B1484" s="1" t="n">
        <v>45699</v>
      </c>
      <c r="C1484" s="1" t="n">
        <v>45706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6560-2025</t>
        </is>
      </c>
      <c r="B1485" s="1" t="n">
        <v>45699</v>
      </c>
      <c r="C1485" s="1" t="n">
        <v>45706</v>
      </c>
      <c r="D1485" t="inlineStr">
        <is>
          <t>ÖSTERGÖTLANDS LÄN</t>
        </is>
      </c>
      <c r="E1485" t="inlineStr">
        <is>
          <t>NORRKÖPING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6568-2025</t>
        </is>
      </c>
      <c r="B1486" s="1" t="n">
        <v>45699</v>
      </c>
      <c r="C1486" s="1" t="n">
        <v>45706</v>
      </c>
      <c r="D1486" t="inlineStr">
        <is>
          <t>ÖSTERGÖTLANDS LÄN</t>
        </is>
      </c>
      <c r="E1486" t="inlineStr">
        <is>
          <t>NORRKÖPING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6561-2025</t>
        </is>
      </c>
      <c r="B1487" s="1" t="n">
        <v>45699</v>
      </c>
      <c r="C1487" s="1" t="n">
        <v>45706</v>
      </c>
      <c r="D1487" t="inlineStr">
        <is>
          <t>ÖSTERGÖTLANDS LÄN</t>
        </is>
      </c>
      <c r="E1487" t="inlineStr">
        <is>
          <t>NORRKÖPING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6565-2025</t>
        </is>
      </c>
      <c r="B1488" s="1" t="n">
        <v>45699</v>
      </c>
      <c r="C1488" s="1" t="n">
        <v>45706</v>
      </c>
      <c r="D1488" t="inlineStr">
        <is>
          <t>ÖSTERGÖTLANDS LÄN</t>
        </is>
      </c>
      <c r="E1488" t="inlineStr">
        <is>
          <t>NORRKÖPING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6569-2025</t>
        </is>
      </c>
      <c r="B1489" s="1" t="n">
        <v>45699</v>
      </c>
      <c r="C1489" s="1" t="n">
        <v>45706</v>
      </c>
      <c r="D1489" t="inlineStr">
        <is>
          <t>ÖSTERGÖTLANDS LÄN</t>
        </is>
      </c>
      <c r="E1489" t="inlineStr">
        <is>
          <t>NORRKÖPING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7318-2025</t>
        </is>
      </c>
      <c r="B1490" s="1" t="n">
        <v>45702</v>
      </c>
      <c r="C1490" s="1" t="n">
        <v>45706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45706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45706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7518-2025</t>
        </is>
      </c>
      <c r="B1493" s="1" t="n">
        <v>45705</v>
      </c>
      <c r="C1493" s="1" t="n">
        <v>45706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7517-2025</t>
        </is>
      </c>
      <c r="B1494" s="1" t="n">
        <v>45705</v>
      </c>
      <c r="C1494" s="1" t="n">
        <v>45706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2025-02-18T16:19:55Z</dcterms:created>
  <dcterms:modified xmlns:dcterms="http://purl.org/dc/terms/" xmlns:xsi="http://www.w3.org/2001/XMLSchema-instance" xsi:type="dcterms:W3CDTF">2025-02-18T16:19:56Z</dcterms:modified>
</cp:coreProperties>
</file>