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45877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45877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45877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45877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45877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45877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45877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45877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45877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45877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45877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45877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45877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45877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45877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45877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45877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45877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45877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45877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45877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45877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45877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45877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45877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45877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45877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45877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45877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45877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45877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45877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45877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45877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45877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45877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45877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45877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45877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45877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45877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45877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45877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45877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45877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45877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45877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45877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45877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45877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45877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45877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45877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45877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45877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45877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30863-2025</t>
        </is>
      </c>
      <c r="B58" s="1" t="n">
        <v>45832</v>
      </c>
      <c r="C58" s="1" t="n">
        <v>45877</v>
      </c>
      <c r="D58" t="inlineStr">
        <is>
          <t>ÖSTERGÖTLANDS LÄN</t>
        </is>
      </c>
      <c r="E58" t="inlineStr">
        <is>
          <t>NORRKÖPING</t>
        </is>
      </c>
      <c r="G58" t="n">
        <v>2.9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Vedskivlav
Flagellkvastmossa
Grönpyrola</t>
        </is>
      </c>
      <c r="S58">
        <f>HYPERLINK("https://klasma.github.io/Logging_050581/artfynd/A 30863-2025 artfynd.xlsx", "A 30863-2025")</f>
        <v/>
      </c>
      <c r="T58">
        <f>HYPERLINK("https://klasma.github.io/Logging_050581/kartor/A 30863-2025 karta.png", "A 30863-2025")</f>
        <v/>
      </c>
      <c r="V58">
        <f>HYPERLINK("https://klasma.github.io/Logging_050581/klagomål/A 30863-2025 FSC-klagomål.docx", "A 30863-2025")</f>
        <v/>
      </c>
      <c r="W58">
        <f>HYPERLINK("https://klasma.github.io/Logging_050581/klagomålsmail/A 30863-2025 FSC-klagomål mail.docx", "A 30863-2025")</f>
        <v/>
      </c>
      <c r="X58">
        <f>HYPERLINK("https://klasma.github.io/Logging_050581/tillsyn/A 30863-2025 tillsynsbegäran.docx", "A 30863-2025")</f>
        <v/>
      </c>
      <c r="Y58">
        <f>HYPERLINK("https://klasma.github.io/Logging_050581/tillsynsmail/A 30863-2025 tillsynsbegäran mail.docx", "A 30863-2025")</f>
        <v/>
      </c>
    </row>
    <row r="59" ht="15" customHeight="1">
      <c r="A59" t="inlineStr">
        <is>
          <t>A 31468-2025</t>
        </is>
      </c>
      <c r="B59" s="1" t="n">
        <v>45833</v>
      </c>
      <c r="C59" s="1" t="n">
        <v>45877</v>
      </c>
      <c r="D59" t="inlineStr">
        <is>
          <t>ÖSTERGÖTLANDS LÄN</t>
        </is>
      </c>
      <c r="E59" t="inlineStr">
        <is>
          <t>NORRKÖPING</t>
        </is>
      </c>
      <c r="G59" t="n">
        <v>6.3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Talltita
Vedskivlav
Grönpyrola</t>
        </is>
      </c>
      <c r="S59">
        <f>HYPERLINK("https://klasma.github.io/Logging_050581/artfynd/A 31468-2025 artfynd.xlsx", "A 31468-2025")</f>
        <v/>
      </c>
      <c r="T59">
        <f>HYPERLINK("https://klasma.github.io/Logging_050581/kartor/A 31468-2025 karta.png", "A 31468-2025")</f>
        <v/>
      </c>
      <c r="V59">
        <f>HYPERLINK("https://klasma.github.io/Logging_050581/klagomål/A 31468-2025 FSC-klagomål.docx", "A 31468-2025")</f>
        <v/>
      </c>
      <c r="W59">
        <f>HYPERLINK("https://klasma.github.io/Logging_050581/klagomålsmail/A 31468-2025 FSC-klagomål mail.docx", "A 31468-2025")</f>
        <v/>
      </c>
      <c r="X59">
        <f>HYPERLINK("https://klasma.github.io/Logging_050581/tillsyn/A 31468-2025 tillsynsbegäran.docx", "A 31468-2025")</f>
        <v/>
      </c>
      <c r="Y59">
        <f>HYPERLINK("https://klasma.github.io/Logging_050581/tillsynsmail/A 31468-2025 tillsynsbegäran mail.docx", "A 31468-2025")</f>
        <v/>
      </c>
      <c r="Z59">
        <f>HYPERLINK("https://klasma.github.io/Logging_050581/fåglar/A 31468-2025 prioriterade fågelarter.docx", "A 31468-2025")</f>
        <v/>
      </c>
    </row>
    <row r="60" ht="15" customHeight="1">
      <c r="A60" t="inlineStr">
        <is>
          <t>A 40291-2020</t>
        </is>
      </c>
      <c r="B60" s="1" t="n">
        <v>44067</v>
      </c>
      <c r="C60" s="1" t="n">
        <v>45877</v>
      </c>
      <c r="D60" t="inlineStr">
        <is>
          <t>ÖSTERGÖTLANDS LÄN</t>
        </is>
      </c>
      <c r="E60" t="inlineStr">
        <is>
          <t>NORRKÖPING</t>
        </is>
      </c>
      <c r="G60" t="n">
        <v>11.6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Gullgröppa</t>
        </is>
      </c>
      <c r="S60">
        <f>HYPERLINK("https://klasma.github.io/Logging_0581/artfynd/A 40291-2020 artfynd.xlsx", "A 40291-2020")</f>
        <v/>
      </c>
      <c r="T60">
        <f>HYPERLINK("https://klasma.github.io/Logging_0581/kartor/A 40291-2020 karta.png", "A 40291-2020")</f>
        <v/>
      </c>
      <c r="V60">
        <f>HYPERLINK("https://klasma.github.io/Logging_0581/klagomål/A 40291-2020 FSC-klagomål.docx", "A 40291-2020")</f>
        <v/>
      </c>
      <c r="W60">
        <f>HYPERLINK("https://klasma.github.io/Logging_0581/klagomålsmail/A 40291-2020 FSC-klagomål mail.docx", "A 40291-2020")</f>
        <v/>
      </c>
      <c r="X60">
        <f>HYPERLINK("https://klasma.github.io/Logging_0581/tillsyn/A 40291-2020 tillsynsbegäran.docx", "A 40291-2020")</f>
        <v/>
      </c>
      <c r="Y60">
        <f>HYPERLINK("https://klasma.github.io/Logging_0581/tillsynsmail/A 40291-2020 tillsynsbegäran mail.docx", "A 40291-2020")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45877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45877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1083-2023</t>
        </is>
      </c>
      <c r="B63" s="1" t="n">
        <v>44935</v>
      </c>
      <c r="C63" s="1" t="n">
        <v>45877</v>
      </c>
      <c r="D63" t="inlineStr">
        <is>
          <t>ÖSTERGÖTLANDS LÄN</t>
        </is>
      </c>
      <c r="E63" t="inlineStr">
        <is>
          <t>NORRKÖPING</t>
        </is>
      </c>
      <c r="G63" t="n">
        <v>1.9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Grönpyrola</t>
        </is>
      </c>
      <c r="S63">
        <f>HYPERLINK("https://klasma.github.io/Logging_0581/artfynd/A 1083-2023 artfynd.xlsx", "A 1083-2023")</f>
        <v/>
      </c>
      <c r="T63">
        <f>HYPERLINK("https://klasma.github.io/Logging_0581/kartor/A 1083-2023 karta.png", "A 1083-2023")</f>
        <v/>
      </c>
      <c r="U63">
        <f>HYPERLINK("https://klasma.github.io/Logging_0581/knärot/A 1083-2023 karta knärot.png", "A 1083-2023")</f>
        <v/>
      </c>
      <c r="V63">
        <f>HYPERLINK("https://klasma.github.io/Logging_0581/klagomål/A 1083-2023 FSC-klagomål.docx", "A 1083-2023")</f>
        <v/>
      </c>
      <c r="W63">
        <f>HYPERLINK("https://klasma.github.io/Logging_0581/klagomålsmail/A 1083-2023 FSC-klagomål mail.docx", "A 1083-2023")</f>
        <v/>
      </c>
      <c r="X63">
        <f>HYPERLINK("https://klasma.github.io/Logging_0581/tillsyn/A 1083-2023 tillsynsbegäran.docx", "A 1083-2023")</f>
        <v/>
      </c>
      <c r="Y63">
        <f>HYPERLINK("https://klasma.github.io/Logging_0581/tillsynsmail/A 1083-2023 tillsynsbegäran mail.docx", "A 1083-2023")</f>
        <v/>
      </c>
    </row>
    <row r="64" ht="15" customHeight="1">
      <c r="A64" t="inlineStr">
        <is>
          <t>A 7211-2023</t>
        </is>
      </c>
      <c r="B64" s="1" t="n">
        <v>44970</v>
      </c>
      <c r="C64" s="1" t="n">
        <v>45877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Gullklöver
Skogsklocka</t>
        </is>
      </c>
      <c r="S64">
        <f>HYPERLINK("https://klasma.github.io/Logging_0581/artfynd/A 7211-2023 artfynd.xlsx", "A 7211-2023")</f>
        <v/>
      </c>
      <c r="T64">
        <f>HYPERLINK("https://klasma.github.io/Logging_0581/kartor/A 7211-2023 karta.png", "A 7211-2023")</f>
        <v/>
      </c>
      <c r="V64">
        <f>HYPERLINK("https://klasma.github.io/Logging_0581/klagomål/A 7211-2023 FSC-klagomål.docx", "A 7211-2023")</f>
        <v/>
      </c>
      <c r="W64">
        <f>HYPERLINK("https://klasma.github.io/Logging_0581/klagomålsmail/A 7211-2023 FSC-klagomål mail.docx", "A 7211-2023")</f>
        <v/>
      </c>
      <c r="X64">
        <f>HYPERLINK("https://klasma.github.io/Logging_0581/tillsyn/A 7211-2023 tillsynsbegäran.docx", "A 7211-2023")</f>
        <v/>
      </c>
      <c r="Y64">
        <f>HYPERLINK("https://klasma.github.io/Logging_0581/tillsynsmail/A 7211-2023 tillsynsbegäran mail.docx", "A 7211-2023")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45877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38978-2023</t>
        </is>
      </c>
      <c r="B66" s="1" t="n">
        <v>45163</v>
      </c>
      <c r="C66" s="1" t="n">
        <v>45877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8.9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Småflikig brosklav</t>
        </is>
      </c>
      <c r="S66">
        <f>HYPERLINK("https://klasma.github.io/Logging_0581/artfynd/A 38978-2023 artfynd.xlsx", "A 38978-2023")</f>
        <v/>
      </c>
      <c r="T66">
        <f>HYPERLINK("https://klasma.github.io/Logging_0581/kartor/A 38978-2023 karta.png", "A 38978-2023")</f>
        <v/>
      </c>
      <c r="V66">
        <f>HYPERLINK("https://klasma.github.io/Logging_0581/klagomål/A 38978-2023 FSC-klagomål.docx", "A 38978-2023")</f>
        <v/>
      </c>
      <c r="W66">
        <f>HYPERLINK("https://klasma.github.io/Logging_0581/klagomålsmail/A 38978-2023 FSC-klagomål mail.docx", "A 38978-2023")</f>
        <v/>
      </c>
      <c r="X66">
        <f>HYPERLINK("https://klasma.github.io/Logging_0581/tillsyn/A 38978-2023 tillsynsbegäran.docx", "A 38978-2023")</f>
        <v/>
      </c>
      <c r="Y66">
        <f>HYPERLINK("https://klasma.github.io/Logging_0581/tillsynsmail/A 38978-2023 tillsynsbegäran mail.docx", "A 38978-2023")</f>
        <v/>
      </c>
      <c r="Z66">
        <f>HYPERLINK("https://klasma.github.io/Logging_0581/fåglar/A 38978-2023 prioriterade fågelarter.docx", "A 38978-2023")</f>
        <v/>
      </c>
    </row>
    <row r="67" ht="15" customHeight="1">
      <c r="A67" t="inlineStr">
        <is>
          <t>A 38988-2023</t>
        </is>
      </c>
      <c r="B67" s="1" t="n">
        <v>45163</v>
      </c>
      <c r="C67" s="1" t="n">
        <v>45877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0.8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Korallrot</t>
        </is>
      </c>
      <c r="S67">
        <f>HYPERLINK("https://klasma.github.io/Logging_0581/artfynd/A 38988-2023 artfynd.xlsx", "A 38988-2023")</f>
        <v/>
      </c>
      <c r="T67">
        <f>HYPERLINK("https://klasma.github.io/Logging_0581/kartor/A 38988-2023 karta.png", "A 38988-2023")</f>
        <v/>
      </c>
      <c r="V67">
        <f>HYPERLINK("https://klasma.github.io/Logging_0581/klagomål/A 38988-2023 FSC-klagomål.docx", "A 38988-2023")</f>
        <v/>
      </c>
      <c r="W67">
        <f>HYPERLINK("https://klasma.github.io/Logging_0581/klagomålsmail/A 38988-2023 FSC-klagomål mail.docx", "A 38988-2023")</f>
        <v/>
      </c>
      <c r="X67">
        <f>HYPERLINK("https://klasma.github.io/Logging_0581/tillsyn/A 38988-2023 tillsynsbegäran.docx", "A 38988-2023")</f>
        <v/>
      </c>
      <c r="Y67">
        <f>HYPERLINK("https://klasma.github.io/Logging_0581/tillsynsmail/A 38988-2023 tillsynsbegäran mail.docx", "A 38988-2023")</f>
        <v/>
      </c>
      <c r="Z67">
        <f>HYPERLINK("https://klasma.github.io/Logging_0581/fåglar/A 38988-2023 prioriterade fågelarter.docx", "A 38988-2023")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45877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60171-2023</t>
        </is>
      </c>
      <c r="B69" s="1" t="n">
        <v>45258</v>
      </c>
      <c r="C69" s="1" t="n">
        <v>45877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Blomkålssvamp</t>
        </is>
      </c>
      <c r="S69">
        <f>HYPERLINK("https://klasma.github.io/Logging_0581/artfynd/A 60171-2023 artfynd.xlsx", "A 60171-2023")</f>
        <v/>
      </c>
      <c r="T69">
        <f>HYPERLINK("https://klasma.github.io/Logging_0581/kartor/A 60171-2023 karta.png", "A 60171-2023")</f>
        <v/>
      </c>
      <c r="V69">
        <f>HYPERLINK("https://klasma.github.io/Logging_0581/klagomål/A 60171-2023 FSC-klagomål.docx", "A 60171-2023")</f>
        <v/>
      </c>
      <c r="W69">
        <f>HYPERLINK("https://klasma.github.io/Logging_0581/klagomålsmail/A 60171-2023 FSC-klagomål mail.docx", "A 60171-2023")</f>
        <v/>
      </c>
      <c r="X69">
        <f>HYPERLINK("https://klasma.github.io/Logging_0581/tillsyn/A 60171-2023 tillsynsbegäran.docx", "A 60171-2023")</f>
        <v/>
      </c>
      <c r="Y69">
        <f>HYPERLINK("https://klasma.github.io/Logging_0581/tillsynsmail/A 60171-2023 tillsynsbegäran mail.docx", "A 60171-2023")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45877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Vedticka
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18209-2024</t>
        </is>
      </c>
      <c r="B71" s="1" t="n">
        <v>45420</v>
      </c>
      <c r="C71" s="1" t="n">
        <v>45877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Blåmossa
Granbarkgnagare</t>
        </is>
      </c>
      <c r="S71">
        <f>HYPERLINK("https://klasma.github.io/Logging_0581/artfynd/A 18209-2024 artfynd.xlsx", "A 18209-2024")</f>
        <v/>
      </c>
      <c r="T71">
        <f>HYPERLINK("https://klasma.github.io/Logging_0581/kartor/A 18209-2024 karta.png", "A 18209-2024")</f>
        <v/>
      </c>
      <c r="V71">
        <f>HYPERLINK("https://klasma.github.io/Logging_0581/klagomål/A 18209-2024 FSC-klagomål.docx", "A 18209-2024")</f>
        <v/>
      </c>
      <c r="W71">
        <f>HYPERLINK("https://klasma.github.io/Logging_0581/klagomålsmail/A 18209-2024 FSC-klagomål mail.docx", "A 18209-2024")</f>
        <v/>
      </c>
      <c r="X71">
        <f>HYPERLINK("https://klasma.github.io/Logging_0581/tillsyn/A 18209-2024 tillsynsbegäran.docx", "A 18209-2024")</f>
        <v/>
      </c>
      <c r="Y71">
        <f>HYPERLINK("https://klasma.github.io/Logging_0581/tillsynsmail/A 18209-2024 tillsynsbegäran mail.docx", "A 18209-2024")</f>
        <v/>
      </c>
    </row>
    <row r="72" ht="15" customHeight="1">
      <c r="A72" t="inlineStr">
        <is>
          <t>A 21068-2024</t>
        </is>
      </c>
      <c r="B72" s="1" t="n">
        <v>45439</v>
      </c>
      <c r="C72" s="1" t="n">
        <v>45877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7.3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Havsörn
Kungsörn</t>
        </is>
      </c>
      <c r="S72">
        <f>HYPERLINK("https://klasma.github.io/Logging_0581/artfynd/A 21068-2024 artfynd.xlsx", "A 21068-2024")</f>
        <v/>
      </c>
      <c r="T72">
        <f>HYPERLINK("https://klasma.github.io/Logging_0581/kartor/A 21068-2024 karta.png", "A 21068-2024")</f>
        <v/>
      </c>
      <c r="V72">
        <f>HYPERLINK("https://klasma.github.io/Logging_0581/klagomål/A 21068-2024 FSC-klagomål.docx", "A 21068-2024")</f>
        <v/>
      </c>
      <c r="W72">
        <f>HYPERLINK("https://klasma.github.io/Logging_0581/klagomålsmail/A 21068-2024 FSC-klagomål mail.docx", "A 21068-2024")</f>
        <v/>
      </c>
      <c r="X72">
        <f>HYPERLINK("https://klasma.github.io/Logging_0581/tillsyn/A 21068-2024 tillsynsbegäran.docx", "A 21068-2024")</f>
        <v/>
      </c>
      <c r="Y72">
        <f>HYPERLINK("https://klasma.github.io/Logging_0581/tillsynsmail/A 21068-2024 tillsynsbegäran mail.docx", "A 21068-2024")</f>
        <v/>
      </c>
      <c r="Z72">
        <f>HYPERLINK("https://klasma.github.io/Logging_0581/fåglar/A 21068-2024 prioriterade fågelarter.docx", "A 21068-2024")</f>
        <v/>
      </c>
    </row>
    <row r="73" ht="15" customHeight="1">
      <c r="A73" t="inlineStr">
        <is>
          <t>A 43306-2024</t>
        </is>
      </c>
      <c r="B73" s="1" t="n">
        <v>45568</v>
      </c>
      <c r="C73" s="1" t="n">
        <v>45877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Mindre märgborre</t>
        </is>
      </c>
      <c r="S73">
        <f>HYPERLINK("https://klasma.github.io/Logging_0581/artfynd/A 43306-2024 artfynd.xlsx", "A 43306-2024")</f>
        <v/>
      </c>
      <c r="T73">
        <f>HYPERLINK("https://klasma.github.io/Logging_0581/kartor/A 43306-2024 karta.png", "A 43306-2024")</f>
        <v/>
      </c>
      <c r="V73">
        <f>HYPERLINK("https://klasma.github.io/Logging_0581/klagomål/A 43306-2024 FSC-klagomål.docx", "A 43306-2024")</f>
        <v/>
      </c>
      <c r="W73">
        <f>HYPERLINK("https://klasma.github.io/Logging_0581/klagomålsmail/A 43306-2024 FSC-klagomål mail.docx", "A 43306-2024")</f>
        <v/>
      </c>
      <c r="X73">
        <f>HYPERLINK("https://klasma.github.io/Logging_0581/tillsyn/A 43306-2024 tillsynsbegäran.docx", "A 43306-2024")</f>
        <v/>
      </c>
      <c r="Y73">
        <f>HYPERLINK("https://klasma.github.io/Logging_0581/tillsynsmail/A 43306-2024 tillsynsbegäran mail.docx", "A 43306-2024")</f>
        <v/>
      </c>
    </row>
    <row r="74" ht="15" customHeight="1">
      <c r="A74" t="inlineStr">
        <is>
          <t>A 46692-2024</t>
        </is>
      </c>
      <c r="B74" s="1" t="n">
        <v>45583</v>
      </c>
      <c r="C74" s="1" t="n">
        <v>45877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Flagellkvastmossa</t>
        </is>
      </c>
      <c r="S74">
        <f>HYPERLINK("https://klasma.github.io/Logging_0581/artfynd/A 46692-2024 artfynd.xlsx", "A 46692-2024")</f>
        <v/>
      </c>
      <c r="T74">
        <f>HYPERLINK("https://klasma.github.io/Logging_0581/kartor/A 46692-2024 karta.png", "A 46692-2024")</f>
        <v/>
      </c>
      <c r="V74">
        <f>HYPERLINK("https://klasma.github.io/Logging_0581/klagomål/A 46692-2024 FSC-klagomål.docx", "A 46692-2024")</f>
        <v/>
      </c>
      <c r="W74">
        <f>HYPERLINK("https://klasma.github.io/Logging_0581/klagomålsmail/A 46692-2024 FSC-klagomål mail.docx", "A 46692-2024")</f>
        <v/>
      </c>
      <c r="X74">
        <f>HYPERLINK("https://klasma.github.io/Logging_0581/tillsyn/A 46692-2024 tillsynsbegäran.docx", "A 46692-2024")</f>
        <v/>
      </c>
      <c r="Y74">
        <f>HYPERLINK("https://klasma.github.io/Logging_0581/tillsynsmail/A 46692-2024 tillsynsbegäran mail.docx", "A 46692-2024")</f>
        <v/>
      </c>
    </row>
    <row r="75" ht="15" customHeight="1">
      <c r="A75" t="inlineStr">
        <is>
          <t>A 50492-2024</t>
        </is>
      </c>
      <c r="B75" s="1" t="n">
        <v>45601</v>
      </c>
      <c r="C75" s="1" t="n">
        <v>45877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Dvärgbägarlav
Blåmossa</t>
        </is>
      </c>
      <c r="S75">
        <f>HYPERLINK("https://klasma.github.io/Logging_0581/artfynd/A 50492-2024 artfynd.xlsx", "A 50492-2024")</f>
        <v/>
      </c>
      <c r="T75">
        <f>HYPERLINK("https://klasma.github.io/Logging_0581/kartor/A 50492-2024 karta.png", "A 50492-2024")</f>
        <v/>
      </c>
      <c r="V75">
        <f>HYPERLINK("https://klasma.github.io/Logging_0581/klagomål/A 50492-2024 FSC-klagomål.docx", "A 50492-2024")</f>
        <v/>
      </c>
      <c r="W75">
        <f>HYPERLINK("https://klasma.github.io/Logging_0581/klagomålsmail/A 50492-2024 FSC-klagomål mail.docx", "A 50492-2024")</f>
        <v/>
      </c>
      <c r="X75">
        <f>HYPERLINK("https://klasma.github.io/Logging_0581/tillsyn/A 50492-2024 tillsynsbegäran.docx", "A 50492-2024")</f>
        <v/>
      </c>
      <c r="Y75">
        <f>HYPERLINK("https://klasma.github.io/Logging_0581/tillsynsmail/A 50492-2024 tillsynsbegäran mail.docx", "A 50492-2024")</f>
        <v/>
      </c>
    </row>
    <row r="76" ht="15" customHeight="1">
      <c r="A76" t="inlineStr">
        <is>
          <t>A 60900-2024</t>
        </is>
      </c>
      <c r="B76" s="1" t="n">
        <v>45645</v>
      </c>
      <c r="C76" s="1" t="n">
        <v>45877</v>
      </c>
      <c r="D76" t="inlineStr">
        <is>
          <t>ÖSTERGÖTLANDS LÄN</t>
        </is>
      </c>
      <c r="E76" t="inlineStr">
        <is>
          <t>NORRKÖPING</t>
        </is>
      </c>
      <c r="G76" t="n">
        <v>1.7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Grönpyrola</t>
        </is>
      </c>
      <c r="S76">
        <f>HYPERLINK("https://klasma.github.io/Logging_0581/artfynd/A 60900-2024 artfynd.xlsx", "A 60900-2024")</f>
        <v/>
      </c>
      <c r="T76">
        <f>HYPERLINK("https://klasma.github.io/Logging_0581/kartor/A 60900-2024 karta.png", "A 60900-2024")</f>
        <v/>
      </c>
      <c r="V76">
        <f>HYPERLINK("https://klasma.github.io/Logging_0581/klagomål/A 60900-2024 FSC-klagomål.docx", "A 60900-2024")</f>
        <v/>
      </c>
      <c r="W76">
        <f>HYPERLINK("https://klasma.github.io/Logging_0581/klagomålsmail/A 60900-2024 FSC-klagomål mail.docx", "A 60900-2024")</f>
        <v/>
      </c>
      <c r="X76">
        <f>HYPERLINK("https://klasma.github.io/Logging_0581/tillsyn/A 60900-2024 tillsynsbegäran.docx", "A 60900-2024")</f>
        <v/>
      </c>
      <c r="Y76">
        <f>HYPERLINK("https://klasma.github.io/Logging_0581/tillsynsmail/A 60900-2024 tillsynsbegäran mail.docx", "A 60900-2024")</f>
        <v/>
      </c>
      <c r="Z76">
        <f>HYPERLINK("https://klasma.github.io/Logging_0581/fåglar/A 60900-2024 prioriterade fågelarter.docx", "A 60900-2024")</f>
        <v/>
      </c>
    </row>
    <row r="77" ht="15" customHeight="1">
      <c r="A77" t="inlineStr">
        <is>
          <t>A 5809-2025</t>
        </is>
      </c>
      <c r="B77" s="1" t="n">
        <v>45694</v>
      </c>
      <c r="C77" s="1" t="n">
        <v>45877</v>
      </c>
      <c r="D77" t="inlineStr">
        <is>
          <t>ÖSTERGÖTLANDS LÄN</t>
        </is>
      </c>
      <c r="E77" t="inlineStr">
        <is>
          <t>NORRKÖPING</t>
        </is>
      </c>
      <c r="G77" t="n">
        <v>3.7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padda
Blåsippa</t>
        </is>
      </c>
      <c r="S77">
        <f>HYPERLINK("https://klasma.github.io/Logging_0581/artfynd/A 5809-2025 artfynd.xlsx", "A 5809-2025")</f>
        <v/>
      </c>
      <c r="T77">
        <f>HYPERLINK("https://klasma.github.io/Logging_0581/kartor/A 5809-2025 karta.png", "A 5809-2025")</f>
        <v/>
      </c>
      <c r="V77">
        <f>HYPERLINK("https://klasma.github.io/Logging_0581/klagomål/A 5809-2025 FSC-klagomål.docx", "A 5809-2025")</f>
        <v/>
      </c>
      <c r="W77">
        <f>HYPERLINK("https://klasma.github.io/Logging_0581/klagomålsmail/A 5809-2025 FSC-klagomål mail.docx", "A 5809-2025")</f>
        <v/>
      </c>
      <c r="X77">
        <f>HYPERLINK("https://klasma.github.io/Logging_0581/tillsyn/A 5809-2025 tillsynsbegäran.docx", "A 5809-2025")</f>
        <v/>
      </c>
      <c r="Y77">
        <f>HYPERLINK("https://klasma.github.io/Logging_0581/tillsynsmail/A 5809-2025 tillsynsbegäran mail.docx", "A 5809-2025")</f>
        <v/>
      </c>
    </row>
    <row r="78" ht="15" customHeight="1">
      <c r="A78" t="inlineStr">
        <is>
          <t>A 12297-2025</t>
        </is>
      </c>
      <c r="B78" s="1" t="n">
        <v>45729</v>
      </c>
      <c r="C78" s="1" t="n">
        <v>45877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Tallticka
Vedskivlav</t>
        </is>
      </c>
      <c r="S78">
        <f>HYPERLINK("https://klasma.github.io/Logging_050581/artfynd/A 12297-2025 artfynd.xlsx", "A 12297-2025")</f>
        <v/>
      </c>
      <c r="T78">
        <f>HYPERLINK("https://klasma.github.io/Logging_050581/kartor/A 12297-2025 karta.png", "A 12297-2025")</f>
        <v/>
      </c>
      <c r="V78">
        <f>HYPERLINK("https://klasma.github.io/Logging_050581/klagomål/A 12297-2025 FSC-klagomål.docx", "A 12297-2025")</f>
        <v/>
      </c>
      <c r="W78">
        <f>HYPERLINK("https://klasma.github.io/Logging_050581/klagomålsmail/A 12297-2025 FSC-klagomål mail.docx", "A 12297-2025")</f>
        <v/>
      </c>
      <c r="X78">
        <f>HYPERLINK("https://klasma.github.io/Logging_050581/tillsyn/A 12297-2025 tillsynsbegäran.docx", "A 12297-2025")</f>
        <v/>
      </c>
      <c r="Y78">
        <f>HYPERLINK("https://klasma.github.io/Logging_050581/tillsynsmail/A 12297-2025 tillsynsbegäran mail.docx", "A 12297-2025")</f>
        <v/>
      </c>
    </row>
    <row r="79" ht="15" customHeight="1">
      <c r="A79" t="inlineStr">
        <is>
          <t>A 12692-2025</t>
        </is>
      </c>
      <c r="B79" s="1" t="n">
        <v>45733</v>
      </c>
      <c r="C79" s="1" t="n">
        <v>45877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Mattlummer</t>
        </is>
      </c>
      <c r="S79">
        <f>HYPERLINK("https://klasma.github.io/Logging_050581/artfynd/A 12692-2025 artfynd.xlsx", "A 12692-2025")</f>
        <v/>
      </c>
      <c r="T79">
        <f>HYPERLINK("https://klasma.github.io/Logging_050581/kartor/A 12692-2025 karta.png", "A 12692-2025")</f>
        <v/>
      </c>
      <c r="V79">
        <f>HYPERLINK("https://klasma.github.io/Logging_050581/klagomål/A 12692-2025 FSC-klagomål.docx", "A 12692-2025")</f>
        <v/>
      </c>
      <c r="W79">
        <f>HYPERLINK("https://klasma.github.io/Logging_050581/klagomålsmail/A 12692-2025 FSC-klagomål mail.docx", "A 12692-2025")</f>
        <v/>
      </c>
      <c r="X79">
        <f>HYPERLINK("https://klasma.github.io/Logging_050581/tillsyn/A 12692-2025 tillsynsbegäran.docx", "A 12692-2025")</f>
        <v/>
      </c>
      <c r="Y79">
        <f>HYPERLINK("https://klasma.github.io/Logging_050581/tillsynsmail/A 12692-2025 tillsynsbegäran mail.docx", "A 12692-2025")</f>
        <v/>
      </c>
    </row>
    <row r="80" ht="15" customHeight="1">
      <c r="A80" t="inlineStr">
        <is>
          <t>A 17793-2025</t>
        </is>
      </c>
      <c r="B80" s="1" t="n">
        <v>45758</v>
      </c>
      <c r="C80" s="1" t="n">
        <v>45877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6.7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Huggorm</t>
        </is>
      </c>
      <c r="S80">
        <f>HYPERLINK("https://klasma.github.io/Logging_050581/artfynd/A 17793-2025 artfynd.xlsx", "A 17793-2025")</f>
        <v/>
      </c>
      <c r="T80">
        <f>HYPERLINK("https://klasma.github.io/Logging_050581/kartor/A 17793-2025 karta.png", "A 17793-2025")</f>
        <v/>
      </c>
      <c r="V80">
        <f>HYPERLINK("https://klasma.github.io/Logging_050581/klagomål/A 17793-2025 FSC-klagomål.docx", "A 17793-2025")</f>
        <v/>
      </c>
      <c r="W80">
        <f>HYPERLINK("https://klasma.github.io/Logging_050581/klagomålsmail/A 17793-2025 FSC-klagomål mail.docx", "A 17793-2025")</f>
        <v/>
      </c>
      <c r="X80">
        <f>HYPERLINK("https://klasma.github.io/Logging_050581/tillsyn/A 17793-2025 tillsynsbegäran.docx", "A 17793-2025")</f>
        <v/>
      </c>
      <c r="Y80">
        <f>HYPERLINK("https://klasma.github.io/Logging_050581/tillsynsmail/A 17793-2025 tillsynsbegäran mail.docx", "A 17793-2025")</f>
        <v/>
      </c>
    </row>
    <row r="81" ht="15" customHeight="1">
      <c r="A81" t="inlineStr">
        <is>
          <t>A 20224-2025</t>
        </is>
      </c>
      <c r="B81" s="1" t="n">
        <v>45772</v>
      </c>
      <c r="C81" s="1" t="n">
        <v>45877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Vågbandad barkbock</t>
        </is>
      </c>
      <c r="S81">
        <f>HYPERLINK("https://klasma.github.io/Logging_050581/artfynd/A 20224-2025 artfynd.xlsx", "A 20224-2025")</f>
        <v/>
      </c>
      <c r="T81">
        <f>HYPERLINK("https://klasma.github.io/Logging_050581/kartor/A 20224-2025 karta.png", "A 20224-2025")</f>
        <v/>
      </c>
      <c r="V81">
        <f>HYPERLINK("https://klasma.github.io/Logging_050581/klagomål/A 20224-2025 FSC-klagomål.docx", "A 20224-2025")</f>
        <v/>
      </c>
      <c r="W81">
        <f>HYPERLINK("https://klasma.github.io/Logging_050581/klagomålsmail/A 20224-2025 FSC-klagomål mail.docx", "A 20224-2025")</f>
        <v/>
      </c>
      <c r="X81">
        <f>HYPERLINK("https://klasma.github.io/Logging_050581/tillsyn/A 20224-2025 tillsynsbegäran.docx", "A 20224-2025")</f>
        <v/>
      </c>
      <c r="Y81">
        <f>HYPERLINK("https://klasma.github.io/Logging_050581/tillsynsmail/A 20224-2025 tillsynsbegäran mail.docx", "A 20224-2025")</f>
        <v/>
      </c>
    </row>
    <row r="82" ht="15" customHeight="1">
      <c r="A82" t="inlineStr">
        <is>
          <t>A 30871-2025</t>
        </is>
      </c>
      <c r="B82" s="1" t="n">
        <v>45832</v>
      </c>
      <c r="C82" s="1" t="n">
        <v>45877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Blåmossa</t>
        </is>
      </c>
      <c r="S82">
        <f>HYPERLINK("https://klasma.github.io/Logging_050581/artfynd/A 30871-2025 artfynd.xlsx", "A 30871-2025")</f>
        <v/>
      </c>
      <c r="T82">
        <f>HYPERLINK("https://klasma.github.io/Logging_050581/kartor/A 30871-2025 karta.png", "A 30871-2025")</f>
        <v/>
      </c>
      <c r="V82">
        <f>HYPERLINK("https://klasma.github.io/Logging_050581/klagomål/A 30871-2025 FSC-klagomål.docx", "A 30871-2025")</f>
        <v/>
      </c>
      <c r="W82">
        <f>HYPERLINK("https://klasma.github.io/Logging_050581/klagomålsmail/A 30871-2025 FSC-klagomål mail.docx", "A 30871-2025")</f>
        <v/>
      </c>
      <c r="X82">
        <f>HYPERLINK("https://klasma.github.io/Logging_050581/tillsyn/A 30871-2025 tillsynsbegäran.docx", "A 30871-2025")</f>
        <v/>
      </c>
      <c r="Y82">
        <f>HYPERLINK("https://klasma.github.io/Logging_050581/tillsynsmail/A 30871-2025 tillsynsbegäran mail.docx", "A 30871-2025")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45877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45877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45877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45877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45877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45877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45877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45877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45877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45877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45877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45877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45877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45877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45877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45877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45877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45877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45877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45877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45877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45877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45877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45877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45877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45877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45877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45877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45877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45877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45877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45877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45877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45877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45877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45877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45877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45877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45877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45877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45877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45877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45877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45877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45877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45877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45877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45877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45877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45877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45877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45877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45877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45877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45877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45877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45877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45877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45877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45877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45877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45877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45877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45877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45877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45877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45877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45877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45877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45877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45877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45877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45877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45877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45877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45877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45877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45877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45877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45877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45877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45877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45877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45877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45877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45877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45877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45877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45877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45877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45877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45877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45877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45877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45877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45877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45877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45877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45877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45877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45877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45877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45877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45877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45877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45877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45877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45877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45877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45877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45877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45877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45877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45877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45877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45877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45877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45877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45877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45877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45877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45877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45877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45877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45877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45877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45877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45877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45877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45877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45877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45877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45877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45877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45877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45877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45877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45877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45877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45877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45877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45877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45877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45877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45877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45877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45877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45877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45877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45877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45877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45877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45877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45877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45877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45877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45877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45877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45877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45877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45877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45877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45877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45877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45877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45877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45877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45877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45877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45877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45877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45877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45877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45877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45877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45877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45877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45877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45877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45877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45877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45877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45877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45877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45877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45877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45877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45877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45877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45877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45877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45877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45877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45877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45877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45877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45877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45877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45877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45877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45877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45877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45877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45877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45877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45877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45877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45877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45877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45877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45877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45877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45877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45877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45877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45877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45877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45877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45877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45877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45877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45877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45877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45877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45877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45877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45877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45877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45877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45877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45877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45877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45877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45877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45877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45877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45877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45877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45877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45877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45877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45877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45877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45877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45877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45877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45877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45877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45877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45877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45877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45877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45877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45877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45877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45877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45877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45877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45877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45877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45877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45877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45877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45877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45877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45877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45877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45877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45877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45877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45877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45877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45877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45877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45877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45877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45877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45877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45877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45877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45877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45877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45877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45877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45877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45877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45877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45877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45877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45877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45877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45877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45877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45877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45877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45877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45877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45877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45877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45877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45877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45877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45877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45877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45877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45877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45877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45877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45877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45877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45877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45877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45877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45877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45877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45877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45877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45877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45877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45877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45877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45877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45877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45877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45877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45877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45877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45877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45877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45877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45877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45877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45877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45877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45877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45877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45877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45877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45877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45877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45877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45877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45877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45877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45877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45877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45877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45877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45877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45877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45877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45877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45877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45877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45877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45877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45877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45877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45877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45877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45877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45877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45877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45877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45877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45877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45877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45877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45877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45877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45877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45877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45877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45877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45877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45877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45877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45877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45877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45877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45877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45877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45877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45877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45877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45877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45877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45877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45877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45877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45877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45877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45877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45877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45877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45877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45877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45877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45877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45877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45877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45877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45877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45877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45877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45877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45877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45877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45877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45877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45877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45877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45877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45877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45877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45877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45877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45877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45877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45877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45877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45877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45877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45877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45877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45877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45877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45877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45877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45877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45877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45877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45877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45877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45877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45877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45877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45877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45877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45877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45877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45877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45877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45877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45877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45877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45877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45877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45877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45877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45877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45877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45877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45877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45877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45877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45877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45877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45877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45877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45877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45877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45877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45877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45877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45877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45877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45877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45877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45877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45877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45877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45877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45877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45877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45877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45877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45877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45877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45877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45877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45877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45877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45877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45877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45877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45877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45877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45877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45877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45877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45877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45877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45877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45877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45877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45877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45877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45877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45877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45877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45877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45877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45877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45877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45877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45877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45877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45877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45877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45877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45877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45877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45877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45877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45877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45877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45877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45877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45877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45877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45877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45877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45877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45877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45877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45877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45877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45877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45877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45877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45877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45877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45877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45877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45877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45877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45877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45877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45877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45877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45877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45877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45877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45877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45877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45877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45877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45877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45877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45877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45877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45877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45877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45877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45877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45877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45877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45877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45877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45877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45877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45877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45877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45877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45877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45877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45877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45877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45877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45877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45877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45877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45877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45877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45877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45877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45877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45877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45877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45877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45877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45877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45877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45877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45877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45877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45877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45877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45877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45877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45877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45877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45877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45877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45877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45877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45877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45877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45877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45877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45877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45877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45877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45877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45877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45877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45877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45877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45877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45877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45877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45877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45877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45877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45877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45877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45877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45877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45877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45877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45877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45877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45877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45877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45877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45877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45877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45877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45877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45877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45877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45877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45877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45877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45877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45877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45877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45877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45877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45877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45877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45877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45877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45877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45877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45877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45877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45877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45877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45877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45877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45877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45877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45877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45877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45877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45877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45877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45877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45877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45877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45877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45877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45877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45877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45877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45877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45877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45877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45877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45877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45877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45877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45877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45877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45877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45877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45877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45877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45877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45877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45877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45877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45877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45877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45877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45877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45877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45877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45877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45877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45877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45877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45877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45877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45877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45877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45877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45877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45877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45877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45877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45877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45877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45877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45877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45877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45877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45877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45877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45877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45877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45877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45877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45877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45877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45877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45877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45877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45877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45877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45877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45877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45877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45877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45877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45877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45877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45877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45877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45877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45877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45877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45877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45877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45877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45877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45877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45877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45877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45877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45877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45877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45877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45877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45877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45877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45877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45877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45877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45877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45877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45877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45877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45877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45877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45877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45877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45877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45877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45877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45877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45877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45877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45877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45877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45877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45877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45877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45877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45877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45877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45877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45877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45877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45877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45877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45877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45877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45877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45877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45877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45877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45877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45877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45877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45877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45877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45877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45877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45877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45877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45877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45877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45877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45877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45877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45877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45877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45877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45877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45877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45877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45877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45877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45877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45877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45877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45877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45877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45877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45877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45877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45877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45877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45877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45877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45877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45877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45877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45877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45877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45877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45877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45877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45877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45877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45877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45877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45877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45877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45877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45877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45877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45877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45877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45877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45877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45877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45877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45877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45877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45877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45877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45877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45877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45877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45877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45877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45877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45877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45877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45877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45877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45877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45877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45877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45877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45877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45877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45877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45877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45877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45877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45877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45877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45877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45877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45877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45877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45877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45877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45877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45877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45877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45877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45877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45877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45877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45877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45877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45877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45877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45877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45877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45877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45877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45877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45877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45877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45877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45877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45877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45877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45877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45877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45877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45877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45877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45877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45877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45877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45877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45877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45877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45877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45877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45877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45877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45877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45877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45877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45877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45877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45877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45877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45877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45877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45877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45877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45877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45877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45877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45877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45877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45877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45877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45877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45877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45877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45877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45877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45877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45877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45877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45877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45877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45877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45877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45877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45877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45877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45877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45877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45877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45877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45877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45877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45877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45877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45877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45877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45877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45877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45877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45877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45877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45877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45877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45877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45877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45877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45877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45877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45877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45877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45877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45877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45877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45877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45877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45877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45877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45877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45877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45877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45877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45877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45877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45877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45877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45877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45877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45877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45877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45877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45877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45877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45877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45877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45877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45877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45877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45877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45877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45877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45877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45877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45877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45877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45877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45877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45877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45877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45877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45877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45877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45877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45877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45877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45877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45877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45877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45877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45877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45877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45877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45877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45877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45877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45877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45877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45877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45877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45877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45877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45877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45877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45877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45877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45877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45877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45877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45877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45877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45877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45877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45877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45877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45877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45877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45877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45877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45877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45877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45877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45877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45877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45877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45877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45877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45877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45877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45877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45877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45877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45877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45877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45877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45877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45877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45877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45877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45877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45877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45877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45877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45877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45877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45877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45877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45877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45877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45877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45877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45877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45877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45877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45877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45877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45877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45877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45877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45877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45877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45877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45877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45877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45877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45877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45877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45877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45877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45877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45877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45877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45877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45877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45877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45877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45877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45877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45877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45877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45877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45877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45877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45877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45877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45877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45877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45877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45877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45877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45877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45877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45877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45877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45877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45877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45877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45877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45877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45877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45877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45877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45877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45877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45877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45877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45877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45877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45877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45877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45877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45877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45877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45877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45877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45877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45877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45877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45877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45877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45877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45877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45877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45877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45877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45877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45877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45877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45877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45877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45877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45877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45877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45877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45877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45877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45877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45877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45877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45877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45877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45877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45877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45877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45877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45877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45877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45877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45877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45877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45877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45877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45877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45877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45877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45877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45877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45877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45877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45877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45877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45877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45877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45877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45877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45877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45877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45877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45877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45877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45877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45877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45877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45877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45877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45877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45877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45877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45877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45877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45877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45877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45877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45877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45877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45877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45877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45877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45877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45877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45877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45877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45877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45877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45877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45877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45877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45877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45877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45877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45877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45877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45877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45877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45877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45877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45877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45877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45877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45877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45877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45877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45877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45877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45877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45877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45877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45877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45877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45877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45877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45877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45877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45877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45877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45877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45877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45877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45877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45877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45877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45877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45877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45877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45877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45877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45877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45877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45877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45877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45877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45877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45877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45877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45877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45877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45877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45877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45877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45877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45877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45877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45877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45877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45877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45877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45877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45877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45877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45877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45877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45877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45877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45877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45877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45877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45877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45877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45877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45877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45877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45877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45877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45877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45877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45877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45877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45877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45877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45877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45877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45877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45877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45877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45877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45877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45877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45877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45877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45877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45877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45877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45877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45877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45877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45877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45877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45877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45877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45877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45877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45877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45877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45877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45877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45877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45877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45877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45877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45877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45877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45877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45877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45877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45877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45877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45877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45877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45877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45877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45877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45877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45877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45877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45877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45877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45877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45877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45877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45877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45877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45877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45877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45877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45877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45877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45877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45877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45877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45877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45877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45877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45877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45877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45877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45877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45877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45877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45877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45877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45877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45877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45877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45877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45877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45877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45877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45877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45877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45877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45877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45877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45877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45877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45877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45877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45877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45877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45877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45877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45877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45877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45877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45877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45877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45877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45877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45877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45877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45877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45877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45877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45877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45877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45877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45877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45877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45877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45877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45877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45877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45877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45877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45877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45877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45877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45877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45877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45877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45877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45877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45877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45877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45877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45877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45877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45877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45877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45877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45877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45877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45877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45877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45877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45877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45877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45877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45877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45877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45877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45877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45877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45877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45877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45877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45877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45877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45877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45877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45877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45877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45877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45877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45877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45877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45877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45877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45877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45877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45877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45877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45877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45877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45877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45877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45877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45877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45877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45877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45877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45877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45877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45877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45877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45877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45877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45877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45877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45877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45877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45877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45877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45877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45877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45877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45877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45877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45877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45877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45877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45877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45877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45877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45877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45877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45877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45877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45877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45877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45877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45877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45877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45877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45877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45877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45877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45877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45877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45877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45877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45877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45877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45877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45877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45877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45877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45877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45877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45877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45877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45877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45877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45877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45877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45877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45877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45877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45877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45877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45877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45877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45877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45877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45877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45877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45877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45877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45877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45877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45877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45877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45877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45877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45877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45877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45877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45877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45877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45877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45877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45877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45877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45877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45877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45877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45877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45877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45877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45877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45877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45877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45877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45877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45877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45877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45877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45877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45877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45877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45877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45877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45877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45877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45877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45877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45877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45877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45877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45877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45877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45877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45877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45877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45877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45877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45877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45877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33255-2025</t>
        </is>
      </c>
      <c r="B1675" s="1" t="n">
        <v>45840</v>
      </c>
      <c r="C1675" s="1" t="n">
        <v>45877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45877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34231-2025</t>
        </is>
      </c>
      <c r="B1677" s="1" t="n">
        <v>45845</v>
      </c>
      <c r="C1677" s="1" t="n">
        <v>45877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35736-2025</t>
        </is>
      </c>
      <c r="B1678" s="1" t="n">
        <v>45860</v>
      </c>
      <c r="C1678" s="1" t="n">
        <v>45877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Allmännings- och besparingsskogar</t>
        </is>
      </c>
      <c r="G1678" t="n">
        <v>11.5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36302-2025</t>
        </is>
      </c>
      <c r="B1679" s="1" t="n">
        <v>45867</v>
      </c>
      <c r="C1679" s="1" t="n">
        <v>45877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36750-2025</t>
        </is>
      </c>
      <c r="B1680" s="1" t="n">
        <v>45873</v>
      </c>
      <c r="C1680" s="1" t="n">
        <v>45877</v>
      </c>
      <c r="D1680" t="inlineStr">
        <is>
          <t>ÖSTERGÖTLANDS LÄN</t>
        </is>
      </c>
      <c r="E1680" t="inlineStr">
        <is>
          <t>NORRKÖPING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36841-2025</t>
        </is>
      </c>
      <c r="B1681" s="1" t="n">
        <v>45874</v>
      </c>
      <c r="C1681" s="1" t="n">
        <v>45877</v>
      </c>
      <c r="D1681" t="inlineStr">
        <is>
          <t>ÖSTERGÖTLANDS LÄN</t>
        </is>
      </c>
      <c r="E1681" t="inlineStr">
        <is>
          <t>NORRKÖPING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2025-08-09T01:08:24Z</dcterms:created>
  <dcterms:modified xmlns:dcterms="http://purl.org/dc/terms/" xmlns:xsi="http://www.w3.org/2001/XMLSchema-instance" xsi:type="dcterms:W3CDTF">2025-08-09T01:08:26Z</dcterms:modified>
</cp:coreProperties>
</file>