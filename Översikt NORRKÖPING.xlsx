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46262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46262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46262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46262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46262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46262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46262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46262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46262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46262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46262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46262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46262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46262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46262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46262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46262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46262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46262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46262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46262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46262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46262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46262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46262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46262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46262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23969-2025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45796</v>
      </c>
      <c r="E52" s="1" t="n">
        <v>46262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Crepis tectorum subsp. tectorum
Grönsångare
Tallticka</t>
        </is>
      </c>
      <c r="W52">
        <f>HYPERLINK("https://klasma.github.io/Logging_0581/artfynd/A 23969-2025 artfynd.xlsx", "A 23969-2025")</f>
        <v/>
      </c>
      <c r="X52">
        <f>HYPERLINK("https://klasma.github.io/Logging_0581/kartor/A 23969-2025 karta.png", "A 23969-2025")</f>
        <v/>
      </c>
      <c r="Y52">
        <f>HYPERLINK("https://klasma.github.io/Logging_0581/kartor_geotiff/A 23969-2025 georefererad karta.tif", "A 23969-2025")</f>
        <v/>
      </c>
      <c r="AA52">
        <f>HYPERLINK("https://klasma.github.io/Logging_0581/klagomål/A 23969-2025 FSC-klagomål.docx", "A 23969-2025")</f>
        <v/>
      </c>
      <c r="AB52">
        <f>HYPERLINK("https://klasma.github.io/Logging_0581/klagomålsmail/A 23969-2025 FSC-klagomål mail.docx", "A 23969-2025")</f>
        <v/>
      </c>
      <c r="AC52">
        <f>HYPERLINK("https://klasma.github.io/Logging_0581/tillsyn/A 23969-2025 tillsynsbegäran.docx", "A 23969-2025")</f>
        <v/>
      </c>
      <c r="AD52">
        <f>HYPERLINK("https://klasma.github.io/Logging_0581/tillsynsmail/A 23969-2025 tillsynsbegäran mail.docx", "A 23969-2025")</f>
        <v/>
      </c>
      <c r="AE52">
        <f>HYPERLINK("https://klasma.github.io/Logging_0581/fåglar/A 23969-2025 prioriterade fågelarter.docx", "A 23969-2025")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46262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46262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34439-2023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46262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3.5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Grönpyrola
Plattlummer
Äkta lopplummer</t>
        </is>
      </c>
      <c r="W55">
        <f>HYPERLINK("https://klasma.github.io/Logging_0581/artfynd/A 34439-2023 artfynd.xlsx", "A 34439-2023")</f>
        <v/>
      </c>
      <c r="X55">
        <f>HYPERLINK("https://klasma.github.io/Logging_0581/kartor/A 34439-2023 karta.png", "A 34439-2023")</f>
        <v/>
      </c>
      <c r="Y55">
        <f>HYPERLINK("https://klasma.github.io/Logging_0581/kartor_geotiff/A 34439-2023 georefererad karta.tif", "A 34439-2023")</f>
        <v/>
      </c>
      <c r="Z55">
        <f>HYPERLINK("https://klasma.github.io/Logging_0581/knärot/A 34439-2023 karta knärot.png", "A 34439-2023")</f>
        <v/>
      </c>
      <c r="AA55">
        <f>HYPERLINK("https://klasma.github.io/Logging_0581/klagomål/A 34439-2023 FSC-klagomål.docx", "A 34439-2023")</f>
        <v/>
      </c>
      <c r="AB55">
        <f>HYPERLINK("https://klasma.github.io/Logging_0581/klagomålsmail/A 34439-2023 FSC-klagomål mail.docx", "A 34439-2023")</f>
        <v/>
      </c>
      <c r="AC55">
        <f>HYPERLINK("https://klasma.github.io/Logging_0581/tillsyn/A 34439-2023 tillsynsbegäran.docx", "A 34439-2023")</f>
        <v/>
      </c>
      <c r="AD55">
        <f>HYPERLINK("https://klasma.github.io/Logging_0581/tillsynsmail/A 34439-2023 tillsynsbegäran mail.docx", "A 34439-2023")</f>
        <v/>
      </c>
    </row>
    <row r="56" ht="15" customHeight="1">
      <c r="A56" t="inlineStr">
        <is>
          <t>A 2484-2026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46262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0.6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Dropptaggsvamp
Dvärgbägarlav
Bronshjon</t>
        </is>
      </c>
      <c r="W56">
        <f>HYPERLINK("https://klasma.github.io/Logging_0581/artfynd/A 2484-2026 artfynd.xlsx", "A 2484-2026")</f>
        <v/>
      </c>
      <c r="X56">
        <f>HYPERLINK("https://klasma.github.io/Logging_0581/kartor/A 2484-2026 karta.png", "A 2484-2026")</f>
        <v/>
      </c>
      <c r="Y56">
        <f>HYPERLINK("https://klasma.github.io/Logging_0581/kartor_geotiff/A 2484-2026 georefererad karta.tif", "A 2484-2026")</f>
        <v/>
      </c>
      <c r="AA56">
        <f>HYPERLINK("https://klasma.github.io/Logging_0581/klagomål/A 2484-2026 FSC-klagomål.docx", "A 2484-2026")</f>
        <v/>
      </c>
      <c r="AB56">
        <f>HYPERLINK("https://klasma.github.io/Logging_0581/klagomålsmail/A 2484-2026 FSC-klagomål mail.docx", "A 2484-2026")</f>
        <v/>
      </c>
      <c r="AC56">
        <f>HYPERLINK("https://klasma.github.io/Logging_0581/tillsyn/A 2484-2026 tillsynsbegäran.docx", "A 2484-2026")</f>
        <v/>
      </c>
      <c r="AD56">
        <f>HYPERLINK("https://klasma.github.io/Logging_0581/tillsynsmail/A 2484-2026 tillsynsbegäran mail.docx", "A 2484-2026")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46262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46262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19806-2026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46135</v>
      </c>
      <c r="E59" s="1" t="n">
        <v>46262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7.7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Blåmossa
Kungsfågel</t>
        </is>
      </c>
      <c r="W59">
        <f>HYPERLINK("https://klasma.github.io/Logging_0581/artfynd/A 19806-2026 artfynd.xlsx", "A 19806-2026")</f>
        <v/>
      </c>
      <c r="X59">
        <f>HYPERLINK("https://klasma.github.io/Logging_0581/kartor/A 19806-2026 karta.png", "A 19806-2026")</f>
        <v/>
      </c>
      <c r="Y59">
        <f>HYPERLINK("https://klasma.github.io/Logging_0581/kartor_geotiff/A 19806-2026 georefererad karta.tif", "A 19806-2026")</f>
        <v/>
      </c>
      <c r="AA59">
        <f>HYPERLINK("https://klasma.github.io/Logging_0581/klagomål/A 19806-2026 FSC-klagomål.docx", "A 19806-2026")</f>
        <v/>
      </c>
      <c r="AB59">
        <f>HYPERLINK("https://klasma.github.io/Logging_0581/klagomålsmail/A 19806-2026 FSC-klagomål mail.docx", "A 19806-2026")</f>
        <v/>
      </c>
      <c r="AC59">
        <f>HYPERLINK("https://klasma.github.io/Logging_0581/tillsyn/A 19806-2026 tillsynsbegäran.docx", "A 19806-2026")</f>
        <v/>
      </c>
      <c r="AD59">
        <f>HYPERLINK("https://klasma.github.io/Logging_0581/tillsynsmail/A 19806-2026 tillsynsbegäran mail.docx", "A 19806-2026")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46262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46262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46262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46262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Tallticka
Bronshjon
Blåsippa</t>
        </is>
      </c>
      <c r="W63">
        <f>HYPERLINK("https://klasma.github.io/Logging_0581/artfynd/A 8468-2023 artfynd.xlsx", "A 8468-2023")</f>
        <v/>
      </c>
      <c r="X63">
        <f>HYPERLINK("https://klasma.github.io/Logging_0581/kartor/A 8468-2023 karta.png", "A 8468-2023")</f>
        <v/>
      </c>
      <c r="Y63">
        <f>HYPERLINK("https://klasma.github.io/Logging_0581/kartor_geotiff/A 8468-2023 georefererad karta.tif", "A 8468-2023")</f>
        <v/>
      </c>
      <c r="AA63">
        <f>HYPERLINK("https://klasma.github.io/Logging_0581/klagomål/A 8468-2023 FSC-klagomål.docx", "A 8468-2023")</f>
        <v/>
      </c>
      <c r="AB63">
        <f>HYPERLINK("https://klasma.github.io/Logging_0581/klagomålsmail/A 8468-2023 FSC-klagomål mail.docx", "A 8468-2023")</f>
        <v/>
      </c>
      <c r="AC63">
        <f>HYPERLINK("https://klasma.github.io/Logging_0581/tillsyn/A 8468-2023 tillsynsbegäran.docx", "A 8468-2023")</f>
        <v/>
      </c>
      <c r="AD63">
        <f>HYPERLINK("https://klasma.github.io/Logging_0581/tillsynsmail/A 8468-2023 tillsynsbegäran mail.docx", "A 8468-2023")</f>
        <v/>
      </c>
    </row>
    <row r="64" ht="15" customHeight="1">
      <c r="A64" t="inlineStr">
        <is>
          <t>A 60171-2023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45258</v>
      </c>
      <c r="E64" s="1" t="n">
        <v>46262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1.7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Tallticka
Blomkålssvamp
Kransmossa</t>
        </is>
      </c>
      <c r="W64">
        <f>HYPERLINK("https://klasma.github.io/Logging_0581/artfynd/A 60171-2023 artfynd.xlsx", "A 60171-2023")</f>
        <v/>
      </c>
      <c r="X64">
        <f>HYPERLINK("https://klasma.github.io/Logging_0581/kartor/A 60171-2023 karta.png", "A 60171-2023")</f>
        <v/>
      </c>
      <c r="Y64">
        <f>HYPERLINK("https://klasma.github.io/Logging_0581/kartor_geotiff/A 60171-2023 georefererad karta.tif", "A 60171-2023")</f>
        <v/>
      </c>
      <c r="AA64">
        <f>HYPERLINK("https://klasma.github.io/Logging_0581/klagomål/A 60171-2023 FSC-klagomål.docx", "A 60171-2023")</f>
        <v/>
      </c>
      <c r="AB64">
        <f>HYPERLINK("https://klasma.github.io/Logging_0581/klagomålsmail/A 60171-2023 FSC-klagomål mail.docx", "A 60171-2023")</f>
        <v/>
      </c>
      <c r="AC64">
        <f>HYPERLINK("https://klasma.github.io/Logging_0581/tillsyn/A 60171-2023 tillsynsbegäran.docx", "A 60171-2023")</f>
        <v/>
      </c>
      <c r="AD64">
        <f>HYPERLINK("https://klasma.github.io/Logging_0581/tillsynsmail/A 60171-2023 tillsynsbegäran mail.docx", "A 60171-2023")</f>
        <v/>
      </c>
    </row>
    <row r="65" ht="15" customHeight="1">
      <c r="A65" t="inlineStr">
        <is>
          <t>A 11757-2025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46262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10.2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Dropptaggsvamp
Blomkålssvamp
Kornknutmossa</t>
        </is>
      </c>
      <c r="W65">
        <f>HYPERLINK("https://klasma.github.io/Logging_0581/artfynd/A 11757-2025 artfynd.xlsx", "A 11757-2025")</f>
        <v/>
      </c>
      <c r="X65">
        <f>HYPERLINK("https://klasma.github.io/Logging_0581/kartor/A 11757-2025 karta.png", "A 11757-2025")</f>
        <v/>
      </c>
      <c r="Y65">
        <f>HYPERLINK("https://klasma.github.io/Logging_0581/kartor_geotiff/A 11757-2025 georefererad karta.tif", "A 11757-2025")</f>
        <v/>
      </c>
      <c r="AA65">
        <f>HYPERLINK("https://klasma.github.io/Logging_0581/klagomål/A 11757-2025 FSC-klagomål.docx", "A 11757-2025")</f>
        <v/>
      </c>
      <c r="AB65">
        <f>HYPERLINK("https://klasma.github.io/Logging_0581/klagomålsmail/A 11757-2025 FSC-klagomål mail.docx", "A 11757-2025")</f>
        <v/>
      </c>
      <c r="AC65">
        <f>HYPERLINK("https://klasma.github.io/Logging_0581/tillsyn/A 11757-2025 tillsynsbegäran.docx", "A 11757-2025")</f>
        <v/>
      </c>
      <c r="AD65">
        <f>HYPERLINK("https://klasma.github.io/Logging_0581/tillsynsmail/A 11757-2025 tillsynsbegäran mail.docx", "A 11757-2025")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46262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46262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46262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46262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53852-2022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44880</v>
      </c>
      <c r="E72" s="1" t="n">
        <v>46262</v>
      </c>
      <c r="F72" t="inlineStr">
        <is>
          <t>ÖSTERGÖTLANDS LÄN</t>
        </is>
      </c>
      <c r="G72" t="inlineStr">
        <is>
          <t>NORRKÖPING</t>
        </is>
      </c>
      <c r="I72" t="n">
        <v>1.8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Tibast
Blåsippa</t>
        </is>
      </c>
      <c r="W72">
        <f>HYPERLINK("https://klasma.github.io/Logging_0581/artfynd/A 53852-2022 artfynd.xlsx", "A 53852-2022")</f>
        <v/>
      </c>
      <c r="X72">
        <f>HYPERLINK("https://klasma.github.io/Logging_0581/kartor/A 53852-2022 karta.png", "A 53852-2022")</f>
        <v/>
      </c>
      <c r="Y72">
        <f>HYPERLINK("https://klasma.github.io/Logging_0581/kartor_geotiff/A 53852-2022 georefererad karta.tif", "A 53852-2022")</f>
        <v/>
      </c>
      <c r="AA72">
        <f>HYPERLINK("https://klasma.github.io/Logging_0581/klagomål/A 53852-2022 FSC-klagomål.docx", "A 53852-2022")</f>
        <v/>
      </c>
      <c r="AB72">
        <f>HYPERLINK("https://klasma.github.io/Logging_0581/klagomålsmail/A 53852-2022 FSC-klagomål mail.docx", "A 53852-2022")</f>
        <v/>
      </c>
      <c r="AC72">
        <f>HYPERLINK("https://klasma.github.io/Logging_0581/tillsyn/A 53852-2022 tillsynsbegäran.docx", "A 53852-2022")</f>
        <v/>
      </c>
      <c r="AD72">
        <f>HYPERLINK("https://klasma.github.io/Logging_0581/tillsynsmail/A 53852-2022 tillsynsbegäran mail.docx", "A 53852-2022")</f>
        <v/>
      </c>
    </row>
    <row r="73" ht="15" customHeight="1">
      <c r="A73" t="inlineStr">
        <is>
          <t>A 21799-2025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45783</v>
      </c>
      <c r="E73" s="1" t="n">
        <v>46262</v>
      </c>
      <c r="F73" t="inlineStr">
        <is>
          <t>ÖSTERGÖTLANDS LÄN</t>
        </is>
      </c>
      <c r="G73" t="inlineStr">
        <is>
          <t>NORRKÖPING</t>
        </is>
      </c>
      <c r="I73" t="n">
        <v>3.5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Blåmossa
Revlummer</t>
        </is>
      </c>
      <c r="W73">
        <f>HYPERLINK("https://klasma.github.io/Logging_0581/artfynd/A 21799-2025 artfynd.xlsx", "A 21799-2025")</f>
        <v/>
      </c>
      <c r="X73">
        <f>HYPERLINK("https://klasma.github.io/Logging_0581/kartor/A 21799-2025 karta.png", "A 21799-2025")</f>
        <v/>
      </c>
      <c r="Y73">
        <f>HYPERLINK("https://klasma.github.io/Logging_0581/kartor_geotiff/A 21799-2025 georefererad karta.tif", "A 21799-2025")</f>
        <v/>
      </c>
      <c r="AA73">
        <f>HYPERLINK("https://klasma.github.io/Logging_0581/klagomål/A 21799-2025 FSC-klagomål.docx", "A 21799-2025")</f>
        <v/>
      </c>
      <c r="AB73">
        <f>HYPERLINK("https://klasma.github.io/Logging_0581/klagomålsmail/A 21799-2025 FSC-klagomål mail.docx", "A 21799-2025")</f>
        <v/>
      </c>
      <c r="AC73">
        <f>HYPERLINK("https://klasma.github.io/Logging_0581/tillsyn/A 21799-2025 tillsynsbegäran.docx", "A 21799-2025")</f>
        <v/>
      </c>
      <c r="AD73">
        <f>HYPERLINK("https://klasma.github.io/Logging_0581/tillsynsmail/A 21799-2025 tillsynsbegäran mail.docx", "A 21799-2025")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46262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Mattlummer
Revlummer</t>
        </is>
      </c>
      <c r="W74">
        <f>HYPERLINK("https://klasma.github.io/Logging_0581/artfynd/A 40315-2025 artfynd.xlsx", "A 40315-2025")</f>
        <v/>
      </c>
      <c r="X74">
        <f>HYPERLINK("https://klasma.github.io/Logging_0581/kartor/A 40315-2025 karta.png", "A 40315-2025")</f>
        <v/>
      </c>
      <c r="Y74">
        <f>HYPERLINK("https://klasma.github.io/Logging_0581/kartor_geotiff/A 40315-2025 georefererad karta.tif", "A 40315-2025")</f>
        <v/>
      </c>
      <c r="AA74">
        <f>HYPERLINK("https://klasma.github.io/Logging_0581/klagomål/A 40315-2025 FSC-klagomål.docx", "A 40315-2025")</f>
        <v/>
      </c>
      <c r="AB74">
        <f>HYPERLINK("https://klasma.github.io/Logging_0581/klagomålsmail/A 40315-2025 FSC-klagomål mail.docx", "A 40315-2025")</f>
        <v/>
      </c>
      <c r="AC74">
        <f>HYPERLINK("https://klasma.github.io/Logging_0581/tillsyn/A 40315-2025 tillsynsbegäran.docx", "A 40315-2025")</f>
        <v/>
      </c>
      <c r="AD74">
        <f>HYPERLINK("https://klasma.github.io/Logging_0581/tillsynsmail/A 40315-2025 tillsynsbegäran mail.docx", "A 40315-2025")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46262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56971-2025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46262</v>
      </c>
      <c r="F76" t="inlineStr">
        <is>
          <t>ÖSTERGÖTLANDS LÄN</t>
        </is>
      </c>
      <c r="G76" t="inlineStr">
        <is>
          <t>NORRKÖPING</t>
        </is>
      </c>
      <c r="I76" t="n">
        <v>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Tallticka</t>
        </is>
      </c>
      <c r="W76">
        <f>HYPERLINK("https://klasma.github.io/Logging_0581/artfynd/A 56971-2025 artfynd.xlsx", "A 56971-2025")</f>
        <v/>
      </c>
      <c r="X76">
        <f>HYPERLINK("https://klasma.github.io/Logging_0581/kartor/A 56971-2025 karta.png", "A 56971-2025")</f>
        <v/>
      </c>
      <c r="Y76">
        <f>HYPERLINK("https://klasma.github.io/Logging_0581/kartor_geotiff/A 56971-2025 georefererad karta.tif", "A 56971-2025")</f>
        <v/>
      </c>
      <c r="Z76">
        <f>HYPERLINK("https://klasma.github.io/Logging_0581/knärot/A 56971-2025 karta knärot.png", "A 56971-2025")</f>
        <v/>
      </c>
      <c r="AA76">
        <f>HYPERLINK("https://klasma.github.io/Logging_0581/klagomål/A 56971-2025 FSC-klagomål.docx", "A 56971-2025")</f>
        <v/>
      </c>
      <c r="AB76">
        <f>HYPERLINK("https://klasma.github.io/Logging_0581/klagomålsmail/A 56971-2025 FSC-klagomål mail.docx", "A 56971-2025")</f>
        <v/>
      </c>
      <c r="AC76">
        <f>HYPERLINK("https://klasma.github.io/Logging_0581/tillsyn/A 56971-2025 tillsynsbegäran.docx", "A 56971-2025")</f>
        <v/>
      </c>
      <c r="AD76">
        <f>HYPERLINK("https://klasma.github.io/Logging_0581/tillsynsmail/A 56971-2025 tillsynsbegäran mail.docx", "A 56971-2025")</f>
        <v/>
      </c>
    </row>
    <row r="77" ht="15" customHeight="1">
      <c r="A77" t="inlineStr">
        <is>
          <t>A 58380-2025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45985</v>
      </c>
      <c r="E77" s="1" t="n">
        <v>46262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10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Knärot
Tallticka</t>
        </is>
      </c>
      <c r="W77">
        <f>HYPERLINK("https://klasma.github.io/Logging_0581/artfynd/A 58380-2025 artfynd.xlsx", "A 58380-2025")</f>
        <v/>
      </c>
      <c r="X77">
        <f>HYPERLINK("https://klasma.github.io/Logging_0581/kartor/A 58380-2025 karta.png", "A 58380-2025")</f>
        <v/>
      </c>
      <c r="Y77">
        <f>HYPERLINK("https://klasma.github.io/Logging_0581/kartor_geotiff/A 58380-2025 georefererad karta.tif", "A 58380-2025")</f>
        <v/>
      </c>
      <c r="Z77">
        <f>HYPERLINK("https://klasma.github.io/Logging_0581/knärot/A 58380-2025 karta knärot.png", "A 58380-2025")</f>
        <v/>
      </c>
      <c r="AA77">
        <f>HYPERLINK("https://klasma.github.io/Logging_0581/klagomål/A 58380-2025 FSC-klagomål.docx", "A 58380-2025")</f>
        <v/>
      </c>
      <c r="AB77">
        <f>HYPERLINK("https://klasma.github.io/Logging_0581/klagomålsmail/A 58380-2025 FSC-klagomål mail.docx", "A 58380-2025")</f>
        <v/>
      </c>
      <c r="AC77">
        <f>HYPERLINK("https://klasma.github.io/Logging_0581/tillsyn/A 58380-2025 tillsynsbegäran.docx", "A 58380-2025")</f>
        <v/>
      </c>
      <c r="AD77">
        <f>HYPERLINK("https://klasma.github.io/Logging_0581/tillsynsmail/A 58380-2025 tillsynsbegäran mail.docx", "A 58380-2025")</f>
        <v/>
      </c>
    </row>
    <row r="78" ht="15" customHeight="1">
      <c r="A78" t="inlineStr">
        <is>
          <t>A 14636-2025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45742</v>
      </c>
      <c r="E78" s="1" t="n">
        <v>46262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17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14636-2025 artfynd.xlsx", "A 14636-2025")</f>
        <v/>
      </c>
      <c r="X78">
        <f>HYPERLINK("https://klasma.github.io/Logging_0581/kartor/A 14636-2025 karta.png", "A 14636-2025")</f>
        <v/>
      </c>
      <c r="Y78">
        <f>HYPERLINK("https://klasma.github.io/Logging_0581/kartor_geotiff/A 14636-2025 georefererad karta.tif", "A 14636-2025")</f>
        <v/>
      </c>
      <c r="AA78">
        <f>HYPERLINK("https://klasma.github.io/Logging_0581/klagomål/A 14636-2025 FSC-klagomål.docx", "A 14636-2025")</f>
        <v/>
      </c>
      <c r="AB78">
        <f>HYPERLINK("https://klasma.github.io/Logging_0581/klagomålsmail/A 14636-2025 FSC-klagomål mail.docx", "A 14636-2025")</f>
        <v/>
      </c>
      <c r="AC78">
        <f>HYPERLINK("https://klasma.github.io/Logging_0581/tillsyn/A 14636-2025 tillsynsbegäran.docx", "A 14636-2025")</f>
        <v/>
      </c>
      <c r="AD78">
        <f>HYPERLINK("https://klasma.github.io/Logging_0581/tillsynsmail/A 14636-2025 tillsynsbegäran mail.docx", "A 14636-2025")</f>
        <v/>
      </c>
      <c r="AE78">
        <f>HYPERLINK("https://klasma.github.io/Logging_0581/fåglar/A 14636-2025 prioriterade fågelarter.docx", "A 14636-2025")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46262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46262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46262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46692-2024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46262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1.4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Dvärgbägarlav
Flagellkvastmossa</t>
        </is>
      </c>
      <c r="W82">
        <f>HYPERLINK("https://klasma.github.io/Logging_0581/artfynd/A 46692-2024 artfynd.xlsx", "A 46692-2024")</f>
        <v/>
      </c>
      <c r="X82">
        <f>HYPERLINK("https://klasma.github.io/Logging_0581/kartor/A 46692-2024 karta.png", "A 46692-2024")</f>
        <v/>
      </c>
      <c r="Y82">
        <f>HYPERLINK("https://klasma.github.io/Logging_0581/kartor_geotiff/A 46692-2024 georefererad karta.tif", "A 46692-2024")</f>
        <v/>
      </c>
      <c r="AA82">
        <f>HYPERLINK("https://klasma.github.io/Logging_0581/klagomål/A 46692-2024 FSC-klagomål.docx", "A 46692-2024")</f>
        <v/>
      </c>
      <c r="AB82">
        <f>HYPERLINK("https://klasma.github.io/Logging_0581/klagomålsmail/A 46692-2024 FSC-klagomål mail.docx", "A 46692-2024")</f>
        <v/>
      </c>
      <c r="AC82">
        <f>HYPERLINK("https://klasma.github.io/Logging_0581/tillsyn/A 46692-2024 tillsynsbegäran.docx", "A 46692-2024")</f>
        <v/>
      </c>
      <c r="AD82">
        <f>HYPERLINK("https://klasma.github.io/Logging_0581/tillsynsmail/A 46692-2024 tillsynsbegäran mail.docx", "A 46692-2024")</f>
        <v/>
      </c>
    </row>
    <row r="83" ht="15" customHeight="1">
      <c r="A83" t="inlineStr">
        <is>
          <t>A 11490-2023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46262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Mattlummer
Trädlärka</t>
        </is>
      </c>
      <c r="W83">
        <f>HYPERLINK("https://klasma.github.io/Logging_0581/artfynd/A 11490-2023 artfynd.xlsx", "A 11490-2023")</f>
        <v/>
      </c>
      <c r="X83">
        <f>HYPERLINK("https://klasma.github.io/Logging_0581/kartor/A 11490-2023 karta.png", "A 11490-2023")</f>
        <v/>
      </c>
      <c r="Y83">
        <f>HYPERLINK("https://klasma.github.io/Logging_0581/kartor_geotiff/A 11490-2023 georefererad karta.tif", "A 11490-2023")</f>
        <v/>
      </c>
      <c r="AA83">
        <f>HYPERLINK("https://klasma.github.io/Logging_0581/klagomål/A 11490-2023 FSC-klagomål.docx", "A 11490-2023")</f>
        <v/>
      </c>
      <c r="AB83">
        <f>HYPERLINK("https://klasma.github.io/Logging_0581/klagomålsmail/A 11490-2023 FSC-klagomål mail.docx", "A 11490-2023")</f>
        <v/>
      </c>
      <c r="AC83">
        <f>HYPERLINK("https://klasma.github.io/Logging_0581/tillsyn/A 11490-2023 tillsynsbegäran.docx", "A 11490-2023")</f>
        <v/>
      </c>
      <c r="AD83">
        <f>HYPERLINK("https://klasma.github.io/Logging_0581/tillsynsmail/A 11490-2023 tillsynsbegäran mail.docx", "A 11490-2023")</f>
        <v/>
      </c>
      <c r="AE83">
        <f>HYPERLINK("https://klasma.github.io/Logging_0581/fåglar/A 11490-2023 prioriterade fågelarter.docx", "A 11490-2023")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46262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46262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3815-2026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46262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1.1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Grönfink
Kungsfågel</t>
        </is>
      </c>
      <c r="W86">
        <f>HYPERLINK("https://klasma.github.io/Logging_0581/artfynd/A 3815-2026 artfynd.xlsx", "A 3815-2026")</f>
        <v/>
      </c>
      <c r="X86">
        <f>HYPERLINK("https://klasma.github.io/Logging_0581/kartor/A 3815-2026 karta.png", "A 3815-2026")</f>
        <v/>
      </c>
      <c r="Y86">
        <f>HYPERLINK("https://klasma.github.io/Logging_0581/kartor_geotiff/A 3815-2026 georefererad karta.tif", "A 3815-2026")</f>
        <v/>
      </c>
      <c r="AA86">
        <f>HYPERLINK("https://klasma.github.io/Logging_0581/klagomål/A 3815-2026 FSC-klagomål.docx", "A 3815-2026")</f>
        <v/>
      </c>
      <c r="AB86">
        <f>HYPERLINK("https://klasma.github.io/Logging_0581/klagomålsmail/A 3815-2026 FSC-klagomål mail.docx", "A 3815-2026")</f>
        <v/>
      </c>
      <c r="AC86">
        <f>HYPERLINK("https://klasma.github.io/Logging_0581/tillsyn/A 3815-2026 tillsynsbegäran.docx", "A 3815-2026")</f>
        <v/>
      </c>
      <c r="AD86">
        <f>HYPERLINK("https://klasma.github.io/Logging_0581/tillsynsmail/A 3815-2026 tillsynsbegäran mail.docx", "A 3815-2026")</f>
        <v/>
      </c>
      <c r="AE86">
        <f>HYPERLINK("https://klasma.github.io/Logging_0581/fåglar/A 3815-2026 prioriterade fågelarter.docx", "A 3815-2026")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46262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46262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12188-2026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46262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Allmännings- och besparingsskogar</t>
        </is>
      </c>
      <c r="I89" t="n">
        <v>7.8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Blomkålssvamp
Korallrot</t>
        </is>
      </c>
      <c r="W89">
        <f>HYPERLINK("https://klasma.github.io/Logging_0581/artfynd/A 12188-2026 artfynd.xlsx", "A 12188-2026")</f>
        <v/>
      </c>
      <c r="X89">
        <f>HYPERLINK("https://klasma.github.io/Logging_0581/kartor/A 12188-2026 karta.png", "A 12188-2026")</f>
        <v/>
      </c>
      <c r="Y89">
        <f>HYPERLINK("https://klasma.github.io/Logging_0581/kartor_geotiff/A 12188-2026 georefererad karta.tif", "A 12188-2026")</f>
        <v/>
      </c>
      <c r="AA89">
        <f>HYPERLINK("https://klasma.github.io/Logging_0581/klagomål/A 12188-2026 FSC-klagomål.docx", "A 12188-2026")</f>
        <v/>
      </c>
      <c r="AB89">
        <f>HYPERLINK("https://klasma.github.io/Logging_0581/klagomålsmail/A 12188-2026 FSC-klagomål mail.docx", "A 12188-2026")</f>
        <v/>
      </c>
      <c r="AC89">
        <f>HYPERLINK("https://klasma.github.io/Logging_0581/tillsyn/A 12188-2026 tillsynsbegäran.docx", "A 12188-2026")</f>
        <v/>
      </c>
      <c r="AD89">
        <f>HYPERLINK("https://klasma.github.io/Logging_0581/tillsynsmail/A 12188-2026 tillsynsbegäran mail.docx", "A 12188-2026")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46262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46262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46262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46262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46262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46262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46262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46262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46262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46262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Dropptaggsvamp
Sparvuggla</t>
        </is>
      </c>
      <c r="W99">
        <f>HYPERLINK("https://klasma.github.io/Logging_0581/artfynd/A 46955-2023 artfynd.xlsx", "A 46955-2023")</f>
        <v/>
      </c>
      <c r="X99">
        <f>HYPERLINK("https://klasma.github.io/Logging_0581/kartor/A 46955-2023 karta.png", "A 46955-2023")</f>
        <v/>
      </c>
      <c r="Y99">
        <f>HYPERLINK("https://klasma.github.io/Logging_0581/kartor_geotiff/A 46955-2023 georefererad karta.tif", "A 46955-2023")</f>
        <v/>
      </c>
      <c r="AA99">
        <f>HYPERLINK("https://klasma.github.io/Logging_0581/klagomål/A 46955-2023 FSC-klagomål.docx", "A 46955-2023")</f>
        <v/>
      </c>
      <c r="AB99">
        <f>HYPERLINK("https://klasma.github.io/Logging_0581/klagomålsmail/A 46955-2023 FSC-klagomål mail.docx", "A 46955-2023")</f>
        <v/>
      </c>
      <c r="AC99">
        <f>HYPERLINK("https://klasma.github.io/Logging_0581/tillsyn/A 46955-2023 tillsynsbegäran.docx", "A 46955-2023")</f>
        <v/>
      </c>
      <c r="AD99">
        <f>HYPERLINK("https://klasma.github.io/Logging_0581/tillsynsmail/A 46955-2023 tillsynsbegäran mail.docx", "A 46955-2023")</f>
        <v/>
      </c>
      <c r="AE99">
        <f>HYPERLINK("https://klasma.github.io/Logging_0581/fåglar/A 46955-2023 prioriterade fågelarter.docx", "A 46955-2023")</f>
        <v/>
      </c>
    </row>
    <row r="100" ht="15" customHeight="1">
      <c r="A100" t="inlineStr">
        <is>
          <t>A 9722-2025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46262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Ask
Blåsippa</t>
        </is>
      </c>
      <c r="W100">
        <f>HYPERLINK("https://klasma.github.io/Logging_0581/artfynd/A 9722-2025 artfynd.xlsx", "A 9722-2025")</f>
        <v/>
      </c>
      <c r="X100">
        <f>HYPERLINK("https://klasma.github.io/Logging_0581/kartor/A 9722-2025 karta.png", "A 9722-2025")</f>
        <v/>
      </c>
      <c r="Y100">
        <f>HYPERLINK("https://klasma.github.io/Logging_0581/kartor_geotiff/A 9722-2025 georefererad karta.tif", "A 9722-2025")</f>
        <v/>
      </c>
      <c r="AA100">
        <f>HYPERLINK("https://klasma.github.io/Logging_0581/klagomål/A 9722-2025 FSC-klagomål.docx", "A 9722-2025")</f>
        <v/>
      </c>
      <c r="AB100">
        <f>HYPERLINK("https://klasma.github.io/Logging_0581/klagomålsmail/A 9722-2025 FSC-klagomål mail.docx", "A 9722-2025")</f>
        <v/>
      </c>
      <c r="AC100">
        <f>HYPERLINK("https://klasma.github.io/Logging_0581/tillsyn/A 9722-2025 tillsynsbegäran.docx", "A 9722-2025")</f>
        <v/>
      </c>
      <c r="AD100">
        <f>HYPERLINK("https://klasma.github.io/Logging_0581/tillsynsmail/A 9722-2025 tillsynsbegäran mail.docx", "A 9722-2025")</f>
        <v/>
      </c>
    </row>
    <row r="101" ht="15" customHeight="1">
      <c r="A101" t="inlineStr">
        <is>
          <t>A 17248-2024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46262</v>
      </c>
      <c r="F101" t="inlineStr">
        <is>
          <t>ÖSTERGÖTLANDS LÄN</t>
        </is>
      </c>
      <c r="G101" t="inlineStr">
        <is>
          <t>NORRKÖPING</t>
        </is>
      </c>
      <c r="I101" t="n">
        <v>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Tallticka
Vedticka</t>
        </is>
      </c>
      <c r="W101">
        <f>HYPERLINK("https://klasma.github.io/Logging_0581/artfynd/A 17248-2024 artfynd.xlsx", "A 17248-2024")</f>
        <v/>
      </c>
      <c r="X101">
        <f>HYPERLINK("https://klasma.github.io/Logging_0581/kartor/A 17248-2024 karta.png", "A 17248-2024")</f>
        <v/>
      </c>
      <c r="Y101">
        <f>HYPERLINK("https://klasma.github.io/Logging_0581/kartor_geotiff/A 17248-2024 georefererad karta.tif", "A 17248-2024")</f>
        <v/>
      </c>
      <c r="AA101">
        <f>HYPERLINK("https://klasma.github.io/Logging_0581/klagomål/A 17248-2024 FSC-klagomål.docx", "A 17248-2024")</f>
        <v/>
      </c>
      <c r="AB101">
        <f>HYPERLINK("https://klasma.github.io/Logging_0581/klagomålsmail/A 17248-2024 FSC-klagomål mail.docx", "A 17248-2024")</f>
        <v/>
      </c>
      <c r="AC101">
        <f>HYPERLINK("https://klasma.github.io/Logging_0581/tillsyn/A 17248-2024 tillsynsbegäran.docx", "A 17248-2024")</f>
        <v/>
      </c>
      <c r="AD101">
        <f>HYPERLINK("https://klasma.github.io/Logging_0581/tillsynsmail/A 17248-2024 tillsynsbegäran mail.docx", "A 17248-2024")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46262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28796-2026 artfynd.xlsx", "A 28796-2026")</f>
        <v/>
      </c>
      <c r="X102">
        <f>HYPERLINK("https://klasma.github.io/Logging_0581/kartor/A 28796-2026 karta.png", "A 28796-2026")</f>
        <v/>
      </c>
      <c r="Y102">
        <f>HYPERLINK("https://klasma.github.io/Logging_0581/kartor_geotiff/A 28796-2026 georefererad karta.tif", "A 28796-2026")</f>
        <v/>
      </c>
      <c r="AA102">
        <f>HYPERLINK("https://klasma.github.io/Logging_0581/klagomål/A 28796-2026 FSC-klagomål.docx", "A 28796-2026")</f>
        <v/>
      </c>
      <c r="AB102">
        <f>HYPERLINK("https://klasma.github.io/Logging_0581/klagomålsmail/A 28796-2026 FSC-klagomål mail.docx", "A 28796-2026")</f>
        <v/>
      </c>
      <c r="AC102">
        <f>HYPERLINK("https://klasma.github.io/Logging_0581/tillsyn/A 28796-2026 tillsynsbegäran.docx", "A 28796-2026")</f>
        <v/>
      </c>
      <c r="AD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28893-2026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46262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28893-2026 artfynd.xlsx", "A 28893-2026")</f>
        <v/>
      </c>
      <c r="X103">
        <f>HYPERLINK("https://klasma.github.io/Logging_0581/kartor/A 28893-2026 karta.png", "A 28893-2026")</f>
        <v/>
      </c>
      <c r="Y103">
        <f>HYPERLINK("https://klasma.github.io/Logging_0581/kartor_geotiff/A 28893-2026 georefererad karta.tif", "A 28893-2026")</f>
        <v/>
      </c>
      <c r="AA103">
        <f>HYPERLINK("https://klasma.github.io/Logging_0581/klagomål/A 28893-2026 FSC-klagomål.docx", "A 28893-2026")</f>
        <v/>
      </c>
      <c r="AB103">
        <f>HYPERLINK("https://klasma.github.io/Logging_0581/klagomålsmail/A 28893-2026 FSC-klagomål mail.docx", "A 28893-2026")</f>
        <v/>
      </c>
      <c r="AC103">
        <f>HYPERLINK("https://klasma.github.io/Logging_0581/tillsyn/A 28893-2026 tillsynsbegäran.docx", "A 28893-2026")</f>
        <v/>
      </c>
      <c r="AD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28895-2026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46262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28895-2026 artfynd.xlsx", "A 28895-2026")</f>
        <v/>
      </c>
      <c r="X104">
        <f>HYPERLINK("https://klasma.github.io/Logging_0581/kartor/A 28895-2026 karta.png", "A 28895-2026")</f>
        <v/>
      </c>
      <c r="Y104">
        <f>HYPERLINK("https://klasma.github.io/Logging_0581/kartor_geotiff/A 28895-2026 georefererad karta.tif", "A 28895-2026")</f>
        <v/>
      </c>
      <c r="AA104">
        <f>HYPERLINK("https://klasma.github.io/Logging_0581/klagomål/A 28895-2026 FSC-klagomål.docx", "A 28895-2026")</f>
        <v/>
      </c>
      <c r="AB104">
        <f>HYPERLINK("https://klasma.github.io/Logging_0581/klagomålsmail/A 28895-2026 FSC-klagomål mail.docx", "A 28895-2026")</f>
        <v/>
      </c>
      <c r="AC104">
        <f>HYPERLINK("https://klasma.github.io/Logging_0581/tillsyn/A 28895-2026 tillsynsbegäran.docx", "A 28895-2026")</f>
        <v/>
      </c>
      <c r="AD104">
        <f>HYPERLINK("https://klasma.github.io/Logging_0581/tillsynsmail/A 28895-2026 tillsynsbegäran mail.docx", "A 28895-2026")</f>
        <v/>
      </c>
    </row>
    <row r="105" ht="15" customHeight="1">
      <c r="A105" t="inlineStr">
        <is>
          <t>A 17793-2025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46262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6.7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Blåmossa
Huggorm</t>
        </is>
      </c>
      <c r="W105">
        <f>HYPERLINK("https://klasma.github.io/Logging_0581/artfynd/A 17793-2025 artfynd.xlsx", "A 17793-2025")</f>
        <v/>
      </c>
      <c r="X105">
        <f>HYPERLINK("https://klasma.github.io/Logging_0581/kartor/A 17793-2025 karta.png", "A 17793-2025")</f>
        <v/>
      </c>
      <c r="Y105">
        <f>HYPERLINK("https://klasma.github.io/Logging_0581/kartor_geotiff/A 17793-2025 georefererad karta.tif", "A 17793-2025")</f>
        <v/>
      </c>
      <c r="AA105">
        <f>HYPERLINK("https://klasma.github.io/Logging_0581/klagomål/A 17793-2025 FSC-klagomål.docx", "A 17793-2025")</f>
        <v/>
      </c>
      <c r="AB105">
        <f>HYPERLINK("https://klasma.github.io/Logging_0581/klagomålsmail/A 17793-2025 FSC-klagomål mail.docx", "A 17793-2025")</f>
        <v/>
      </c>
      <c r="AC105">
        <f>HYPERLINK("https://klasma.github.io/Logging_0581/tillsyn/A 17793-2025 tillsynsbegäran.docx", "A 17793-2025")</f>
        <v/>
      </c>
      <c r="AD105">
        <f>HYPERLINK("https://klasma.github.io/Logging_0581/tillsynsmail/A 17793-2025 tillsynsbegäran mail.docx", "A 17793-2025")</f>
        <v/>
      </c>
    </row>
    <row r="106" ht="15" customHeight="1">
      <c r="A106" t="inlineStr">
        <is>
          <t>A 49869-2021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46262</v>
      </c>
      <c r="F106" t="inlineStr">
        <is>
          <t>ÖSTERGÖTLANDS LÄN</t>
        </is>
      </c>
      <c r="G106" t="inlineStr">
        <is>
          <t>NORRKÖPING</t>
        </is>
      </c>
      <c r="I106" t="n">
        <v>2.2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2</v>
      </c>
      <c r="V106" s="2" t="inlineStr">
        <is>
          <t>Jungfrulin
Knippnejlika</t>
        </is>
      </c>
      <c r="W106">
        <f>HYPERLINK("https://klasma.github.io/Logging_0581/artfynd/A 49869-2021 artfynd.xlsx", "A 49869-2021")</f>
        <v/>
      </c>
      <c r="X106">
        <f>HYPERLINK("https://klasma.github.io/Logging_0581/kartor/A 49869-2021 karta.png", "A 49869-2021")</f>
        <v/>
      </c>
      <c r="Y106">
        <f>HYPERLINK("https://klasma.github.io/Logging_0581/kartor_geotiff/A 49869-2021 georefererad karta.tif", "A 49869-2021")</f>
        <v/>
      </c>
      <c r="AA106">
        <f>HYPERLINK("https://klasma.github.io/Logging_0581/klagomål/A 49869-2021 FSC-klagomål.docx", "A 49869-2021")</f>
        <v/>
      </c>
      <c r="AB106">
        <f>HYPERLINK("https://klasma.github.io/Logging_0581/klagomålsmail/A 49869-2021 FSC-klagomål mail.docx", "A 49869-2021")</f>
        <v/>
      </c>
      <c r="AC106">
        <f>HYPERLINK("https://klasma.github.io/Logging_0581/tillsyn/A 49869-2021 tillsynsbegäran.docx", "A 49869-2021")</f>
        <v/>
      </c>
      <c r="AD106">
        <f>HYPERLINK("https://klasma.github.io/Logging_0581/tillsynsmail/A 49869-2021 tillsynsbegäran mail.docx", "A 49869-2021")</f>
        <v/>
      </c>
    </row>
    <row r="107" ht="15" customHeight="1">
      <c r="A107" t="inlineStr">
        <is>
          <t>A 18682-2025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46262</v>
      </c>
      <c r="F107" t="inlineStr">
        <is>
          <t>ÖSTERGÖTLANDS LÄN</t>
        </is>
      </c>
      <c r="G107" t="inlineStr">
        <is>
          <t>NORRKÖPING</t>
        </is>
      </c>
      <c r="I107" t="n">
        <v>8.1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Jungfrulin
Blåmossa</t>
        </is>
      </c>
      <c r="W107">
        <f>HYPERLINK("https://klasma.github.io/Logging_0581/artfynd/A 18682-2025 artfynd.xlsx", "A 18682-2025")</f>
        <v/>
      </c>
      <c r="X107">
        <f>HYPERLINK("https://klasma.github.io/Logging_0581/kartor/A 18682-2025 karta.png", "A 18682-2025")</f>
        <v/>
      </c>
      <c r="Y107">
        <f>HYPERLINK("https://klasma.github.io/Logging_0581/kartor_geotiff/A 18682-2025 georefererad karta.tif", "A 18682-2025")</f>
        <v/>
      </c>
      <c r="AA107">
        <f>HYPERLINK("https://klasma.github.io/Logging_0581/klagomål/A 18682-2025 FSC-klagomål.docx", "A 18682-2025")</f>
        <v/>
      </c>
      <c r="AB107">
        <f>HYPERLINK("https://klasma.github.io/Logging_0581/klagomålsmail/A 18682-2025 FSC-klagomål mail.docx", "A 18682-2025")</f>
        <v/>
      </c>
      <c r="AC107">
        <f>HYPERLINK("https://klasma.github.io/Logging_0581/tillsyn/A 18682-2025 tillsynsbegäran.docx", "A 18682-2025")</f>
        <v/>
      </c>
      <c r="AD107">
        <f>HYPERLINK("https://klasma.github.io/Logging_0581/tillsynsmail/A 18682-2025 tillsynsbegäran mail.docx", "A 18682-2025")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46262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46219</v>
      </c>
      <c r="E109" s="1" t="n">
        <v>46262</v>
      </c>
      <c r="F109" t="inlineStr">
        <is>
          <t>ÖSTERGÖTLANDS LÄN</t>
        </is>
      </c>
      <c r="G109" t="inlineStr">
        <is>
          <t>NORRKÖPING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Bredbrämad bastardsvärmare
Älg</t>
        </is>
      </c>
      <c r="W109">
        <f>HYPERLINK("https://klasma.github.io/Logging_0581/artfynd/A 31335-2026 artfynd.xlsx", "A 31335-2026")</f>
        <v/>
      </c>
      <c r="X109">
        <f>HYPERLINK("https://klasma.github.io/Logging_0581/kartor/A 31335-2026 karta.png", "A 31335-2026")</f>
        <v/>
      </c>
      <c r="Y109">
        <f>HYPERLINK("https://klasma.github.io/Logging_0581/kartor_geotiff/A 31335-2026 georefererad karta.tif", "A 31335-2026")</f>
        <v/>
      </c>
      <c r="AA109">
        <f>HYPERLINK("https://klasma.github.io/Logging_0581/klagomål/A 31335-2026 FSC-klagomål.docx", "A 31335-2026")</f>
        <v/>
      </c>
      <c r="AB109">
        <f>HYPERLINK("https://klasma.github.io/Logging_0581/klagomålsmail/A 31335-2026 FSC-klagomål mail.docx", "A 31335-2026")</f>
        <v/>
      </c>
      <c r="AC109">
        <f>HYPERLINK("https://klasma.github.io/Logging_0581/tillsyn/A 31335-2026 tillsynsbegäran.docx", "A 31335-2026")</f>
        <v/>
      </c>
      <c r="AD109">
        <f>HYPERLINK("https://klasma.github.io/Logging_0581/tillsynsmail/A 31335-2026 tillsynsbegäran mail.docx", "A 31335-2026")</f>
        <v/>
      </c>
    </row>
    <row r="110" ht="15" customHeight="1">
      <c r="A110" t="inlineStr">
        <is>
          <t>A 31298-2026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46262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Blåmossa
Orre</t>
        </is>
      </c>
      <c r="W110">
        <f>HYPERLINK("https://klasma.github.io/Logging_0581/artfynd/A 31298-2026 artfynd.xlsx", "A 31298-2026")</f>
        <v/>
      </c>
      <c r="X110">
        <f>HYPERLINK("https://klasma.github.io/Logging_0581/kartor/A 31298-2026 karta.png", "A 31298-2026")</f>
        <v/>
      </c>
      <c r="Y110">
        <f>HYPERLINK("https://klasma.github.io/Logging_0581/kartor_geotiff/A 31298-2026 georefererad karta.tif", "A 31298-2026")</f>
        <v/>
      </c>
      <c r="AA110">
        <f>HYPERLINK("https://klasma.github.io/Logging_0581/klagomål/A 31298-2026 FSC-klagomål.docx", "A 31298-2026")</f>
        <v/>
      </c>
      <c r="AB110">
        <f>HYPERLINK("https://klasma.github.io/Logging_0581/klagomålsmail/A 31298-2026 FSC-klagomål mail.docx", "A 31298-2026")</f>
        <v/>
      </c>
      <c r="AC110">
        <f>HYPERLINK("https://klasma.github.io/Logging_0581/tillsyn/A 31298-2026 tillsynsbegäran.docx", "A 31298-2026")</f>
        <v/>
      </c>
      <c r="AD110">
        <f>HYPERLINK("https://klasma.github.io/Logging_0581/tillsynsmail/A 31298-2026 tillsynsbegäran mail.docx", "A 31298-2026")</f>
        <v/>
      </c>
      <c r="AE110">
        <f>HYPERLINK("https://klasma.github.io/Logging_0581/fåglar/A 31298-2026 prioriterade fågelarter.docx", "A 31298-2026")</f>
        <v/>
      </c>
    </row>
    <row r="111" ht="15" customHeight="1">
      <c r="A111" t="inlineStr">
        <is>
          <t>A 31264-2026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46262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Vedskivlav
Fläcknycklar</t>
        </is>
      </c>
      <c r="W111">
        <f>HYPERLINK("https://klasma.github.io/Logging_0581/artfynd/A 31264-2026 artfynd.xlsx", "A 31264-2026")</f>
        <v/>
      </c>
      <c r="X111">
        <f>HYPERLINK("https://klasma.github.io/Logging_0581/kartor/A 31264-2026 karta.png", "A 31264-2026")</f>
        <v/>
      </c>
      <c r="Y111">
        <f>HYPERLINK("https://klasma.github.io/Logging_0581/kartor_geotiff/A 31264-2026 georefererad karta.tif", "A 31264-2026")</f>
        <v/>
      </c>
      <c r="AA111">
        <f>HYPERLINK("https://klasma.github.io/Logging_0581/klagomål/A 31264-2026 FSC-klagomål.docx", "A 31264-2026")</f>
        <v/>
      </c>
      <c r="AB111">
        <f>HYPERLINK("https://klasma.github.io/Logging_0581/klagomålsmail/A 31264-2026 FSC-klagomål mail.docx", "A 31264-2026")</f>
        <v/>
      </c>
      <c r="AC111">
        <f>HYPERLINK("https://klasma.github.io/Logging_0581/tillsyn/A 31264-2026 tillsynsbegäran.docx", "A 31264-2026")</f>
        <v/>
      </c>
      <c r="AD111">
        <f>HYPERLINK("https://klasma.github.io/Logging_0581/tillsynsmail/A 31264-2026 tillsynsbegäran mail.docx", "A 31264-2026")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46262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46262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46262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46262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46262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46262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46262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55412-2021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46262</v>
      </c>
      <c r="F119" t="inlineStr">
        <is>
          <t>ÖSTERGÖTLANDS LÄN</t>
        </is>
      </c>
      <c r="G119" t="inlineStr">
        <is>
          <t>NORRKÖPING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groda</t>
        </is>
      </c>
      <c r="W119">
        <f>HYPERLINK("https://klasma.github.io/Logging_0581/artfynd/A 55412-2021 artfynd.xlsx", "A 55412-2021")</f>
        <v/>
      </c>
      <c r="X119">
        <f>HYPERLINK("https://klasma.github.io/Logging_0581/kartor/A 55412-2021 karta.png", "A 55412-2021")</f>
        <v/>
      </c>
      <c r="Y119">
        <f>HYPERLINK("https://klasma.github.io/Logging_0581/kartor_geotiff/A 55412-2021 georefererad karta.tif", "A 55412-2021")</f>
        <v/>
      </c>
      <c r="AA119">
        <f>HYPERLINK("https://klasma.github.io/Logging_0581/klagomål/A 55412-2021 FSC-klagomål.docx", "A 55412-2021")</f>
        <v/>
      </c>
      <c r="AB119">
        <f>HYPERLINK("https://klasma.github.io/Logging_0581/klagomålsmail/A 55412-2021 FSC-klagomål mail.docx", "A 55412-2021")</f>
        <v/>
      </c>
      <c r="AC119">
        <f>HYPERLINK("https://klasma.github.io/Logging_0581/tillsyn/A 55412-2021 tillsynsbegäran.docx", "A 55412-2021")</f>
        <v/>
      </c>
      <c r="AD119">
        <f>HYPERLINK("https://klasma.github.io/Logging_0581/tillsynsmail/A 55412-2021 tillsynsbegäran mail.docx", "A 55412-2021")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46262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9790-2024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46262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Allmännings- och besparingsskogar</t>
        </is>
      </c>
      <c r="I121" t="n">
        <v>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HYPERLINK("https://klasma.github.io/Logging_0581/artfynd/A 9790-2024 artfynd.xlsx", "A 9790-2024")</f>
        <v/>
      </c>
      <c r="X121">
        <f>HYPERLINK("https://klasma.github.io/Logging_0581/kartor/A 9790-2024 karta.png", "A 9790-2024")</f>
        <v/>
      </c>
      <c r="Y121">
        <f>HYPERLINK("https://klasma.github.io/Logging_0581/kartor_geotiff/A 9790-2024 georefererad karta.tif", "A 9790-2024")</f>
        <v/>
      </c>
      <c r="AA121">
        <f>HYPERLINK("https://klasma.github.io/Logging_0581/klagomål/A 9790-2024 FSC-klagomål.docx", "A 9790-2024")</f>
        <v/>
      </c>
      <c r="AB121">
        <f>HYPERLINK("https://klasma.github.io/Logging_0581/klagomålsmail/A 9790-2024 FSC-klagomål mail.docx", "A 9790-2024")</f>
        <v/>
      </c>
      <c r="AC121">
        <f>HYPERLINK("https://klasma.github.io/Logging_0581/tillsyn/A 9790-2024 tillsynsbegäran.docx", "A 9790-2024")</f>
        <v/>
      </c>
      <c r="AD121">
        <f>HYPERLINK("https://klasma.github.io/Logging_0581/tillsynsmail/A 9790-2024 tillsynsbegäran mail.docx", "A 9790-2024")</f>
        <v/>
      </c>
    </row>
    <row r="122" ht="15" customHeight="1">
      <c r="A122" t="inlineStr">
        <is>
          <t>A 31897-2022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44777</v>
      </c>
      <c r="E122" s="1" t="n">
        <v>46262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Kommuner</t>
        </is>
      </c>
      <c r="I122" t="n">
        <v>1.8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HYPERLINK("https://klasma.github.io/Logging_0581/artfynd/A 31897-2022 artfynd.xlsx", "A 31897-2022")</f>
        <v/>
      </c>
      <c r="X122">
        <f>HYPERLINK("https://klasma.github.io/Logging_0581/kartor/A 31897-2022 karta.png", "A 31897-2022")</f>
        <v/>
      </c>
      <c r="Y122">
        <f>HYPERLINK("https://klasma.github.io/Logging_0581/kartor_geotiff/A 31897-2022 georefererad karta.tif", "A 31897-2022")</f>
        <v/>
      </c>
      <c r="AA122">
        <f>HYPERLINK("https://klasma.github.io/Logging_0581/klagomål/A 31897-2022 FSC-klagomål.docx", "A 31897-2022")</f>
        <v/>
      </c>
      <c r="AB122">
        <f>HYPERLINK("https://klasma.github.io/Logging_0581/klagomålsmail/A 31897-2022 FSC-klagomål mail.docx", "A 31897-2022")</f>
        <v/>
      </c>
      <c r="AC122">
        <f>HYPERLINK("https://klasma.github.io/Logging_0581/tillsyn/A 31897-2022 tillsynsbegäran.docx", "A 31897-2022")</f>
        <v/>
      </c>
      <c r="AD122">
        <f>HYPERLINK("https://klasma.github.io/Logging_0581/tillsynsmail/A 31897-2022 tillsynsbegäran mail.docx", "A 31897-2022")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46262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46262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46262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7317-2025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46262</v>
      </c>
      <c r="F126" t="inlineStr">
        <is>
          <t>ÖSTERGÖTLANDS LÄN</t>
        </is>
      </c>
      <c r="G126" t="inlineStr">
        <is>
          <t>NORRKÖPING</t>
        </is>
      </c>
      <c r="I126" t="n">
        <v>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Backklöver</t>
        </is>
      </c>
      <c r="W126">
        <f>HYPERLINK("https://klasma.github.io/Logging_0581/artfynd/A 7317-2025 artfynd.xlsx", "A 7317-2025")</f>
        <v/>
      </c>
      <c r="X126">
        <f>HYPERLINK("https://klasma.github.io/Logging_0581/kartor/A 7317-2025 karta.png", "A 7317-2025")</f>
        <v/>
      </c>
      <c r="Y126">
        <f>HYPERLINK("https://klasma.github.io/Logging_0581/kartor_geotiff/A 7317-2025 georefererad karta.tif", "A 7317-2025")</f>
        <v/>
      </c>
      <c r="AA126">
        <f>HYPERLINK("https://klasma.github.io/Logging_0581/klagomål/A 7317-2025 FSC-klagomål.docx", "A 7317-2025")</f>
        <v/>
      </c>
      <c r="AB126">
        <f>HYPERLINK("https://klasma.github.io/Logging_0581/klagomålsmail/A 7317-2025 FSC-klagomål mail.docx", "A 7317-2025")</f>
        <v/>
      </c>
      <c r="AC126">
        <f>HYPERLINK("https://klasma.github.io/Logging_0581/tillsyn/A 7317-2025 tillsynsbegäran.docx", "A 7317-2025")</f>
        <v/>
      </c>
      <c r="AD126">
        <f>HYPERLINK("https://klasma.github.io/Logging_0581/tillsynsmail/A 7317-2025 tillsynsbegäran mail.docx", "A 7317-2025")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46262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46671-2024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46262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Kattfotslav</t>
        </is>
      </c>
      <c r="W129">
        <f>HYPERLINK("https://klasma.github.io/Logging_0581/artfynd/A 46671-2024 artfynd.xlsx", "A 46671-2024")</f>
        <v/>
      </c>
      <c r="X129">
        <f>HYPERLINK("https://klasma.github.io/Logging_0581/kartor/A 46671-2024 karta.png", "A 46671-2024")</f>
        <v/>
      </c>
      <c r="Y129">
        <f>HYPERLINK("https://klasma.github.io/Logging_0581/kartor_geotiff/A 46671-2024 georefererad karta.tif", "A 46671-2024")</f>
        <v/>
      </c>
      <c r="AA129">
        <f>HYPERLINK("https://klasma.github.io/Logging_0581/klagomål/A 46671-2024 FSC-klagomål.docx", "A 46671-2024")</f>
        <v/>
      </c>
      <c r="AB129">
        <f>HYPERLINK("https://klasma.github.io/Logging_0581/klagomålsmail/A 46671-2024 FSC-klagomål mail.docx", "A 46671-2024")</f>
        <v/>
      </c>
      <c r="AC129">
        <f>HYPERLINK("https://klasma.github.io/Logging_0581/tillsyn/A 46671-2024 tillsynsbegäran.docx", "A 46671-2024")</f>
        <v/>
      </c>
      <c r="AD129">
        <f>HYPERLINK("https://klasma.github.io/Logging_0581/tillsynsmail/A 46671-2024 tillsynsbegäran mail.docx", "A 46671-2024")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46262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46262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Krusfrö</t>
        </is>
      </c>
      <c r="W132">
        <f>HYPERLINK("https://klasma.github.io/Logging_0581/artfynd/A 62973-2021 artfynd.xlsx", "A 62973-2021")</f>
        <v/>
      </c>
      <c r="X132">
        <f>HYPERLINK("https://klasma.github.io/Logging_0581/kartor/A 62973-2021 karta.png", "A 62973-2021")</f>
        <v/>
      </c>
      <c r="Y132">
        <f>HYPERLINK("https://klasma.github.io/Logging_0581/kartor_geotiff/A 62973-2021 georefererad karta.tif", "A 62973-2021")</f>
        <v/>
      </c>
      <c r="AA132">
        <f>HYPERLINK("https://klasma.github.io/Logging_0581/klagomål/A 62973-2021 FSC-klagomål.docx", "A 62973-2021")</f>
        <v/>
      </c>
      <c r="AB132">
        <f>HYPERLINK("https://klasma.github.io/Logging_0581/klagomålsmail/A 62973-2021 FSC-klagomål mail.docx", "A 62973-2021")</f>
        <v/>
      </c>
      <c r="AC132">
        <f>HYPERLINK("https://klasma.github.io/Logging_0581/tillsyn/A 62973-2021 tillsynsbegäran.docx", "A 62973-2021")</f>
        <v/>
      </c>
      <c r="AD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41369-2023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46262</v>
      </c>
      <c r="F133" t="inlineStr">
        <is>
          <t>ÖSTERGÖTLANDS LÄN</t>
        </is>
      </c>
      <c r="G133" t="inlineStr">
        <is>
          <t>NORRKÖPING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HYPERLINK("https://klasma.github.io/Logging_0581/artfynd/A 41369-2023 artfynd.xlsx", "A 41369-2023")</f>
        <v/>
      </c>
      <c r="X133">
        <f>HYPERLINK("https://klasma.github.io/Logging_0581/kartor/A 41369-2023 karta.png", "A 41369-2023")</f>
        <v/>
      </c>
      <c r="Y133">
        <f>HYPERLINK("https://klasma.github.io/Logging_0581/kartor_geotiff/A 41369-2023 georefererad karta.tif", "A 41369-2023")</f>
        <v/>
      </c>
      <c r="AA133">
        <f>HYPERLINK("https://klasma.github.io/Logging_0581/klagomål/A 41369-2023 FSC-klagomål.docx", "A 41369-2023")</f>
        <v/>
      </c>
      <c r="AB133">
        <f>HYPERLINK("https://klasma.github.io/Logging_0581/klagomålsmail/A 41369-2023 FSC-klagomål mail.docx", "A 41369-2023")</f>
        <v/>
      </c>
      <c r="AC133">
        <f>HYPERLINK("https://klasma.github.io/Logging_0581/tillsyn/A 41369-2023 tillsynsbegäran.docx", "A 41369-2023")</f>
        <v/>
      </c>
      <c r="AD133">
        <f>HYPERLINK("https://klasma.github.io/Logging_0581/tillsynsmail/A 41369-2023 tillsynsbegäran mail.docx", "A 41369-2023")</f>
        <v/>
      </c>
    </row>
    <row r="134" ht="15" customHeight="1">
      <c r="A134" t="inlineStr">
        <is>
          <t>A 46201-2025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46262</v>
      </c>
      <c r="F134" t="inlineStr">
        <is>
          <t>ÖSTERGÖTLANDS LÄN</t>
        </is>
      </c>
      <c r="G134" t="inlineStr">
        <is>
          <t>NORRKÖPING</t>
        </is>
      </c>
      <c r="I134" t="n">
        <v>1.5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Hasselticka</t>
        </is>
      </c>
      <c r="W134">
        <f>HYPERLINK("https://klasma.github.io/Logging_0581/artfynd/A 46201-2025 artfynd.xlsx", "A 46201-2025")</f>
        <v/>
      </c>
      <c r="X134">
        <f>HYPERLINK("https://klasma.github.io/Logging_0581/kartor/A 46201-2025 karta.png", "A 46201-2025")</f>
        <v/>
      </c>
      <c r="Y134">
        <f>HYPERLINK("https://klasma.github.io/Logging_0581/kartor_geotiff/A 46201-2025 georefererad karta.tif", "A 46201-2025")</f>
        <v/>
      </c>
      <c r="AA134">
        <f>HYPERLINK("https://klasma.github.io/Logging_0581/klagomål/A 46201-2025 FSC-klagomål.docx", "A 46201-2025")</f>
        <v/>
      </c>
      <c r="AB134">
        <f>HYPERLINK("https://klasma.github.io/Logging_0581/klagomålsmail/A 46201-2025 FSC-klagomål mail.docx", "A 46201-2025")</f>
        <v/>
      </c>
      <c r="AC134">
        <f>HYPERLINK("https://klasma.github.io/Logging_0581/tillsyn/A 46201-2025 tillsynsbegäran.docx", "A 46201-2025")</f>
        <v/>
      </c>
      <c r="AD134">
        <f>HYPERLINK("https://klasma.github.io/Logging_0581/tillsynsmail/A 46201-2025 tillsynsbegäran mail.docx", "A 46201-2025")</f>
        <v/>
      </c>
    </row>
    <row r="135" ht="15" customHeight="1">
      <c r="A135" t="inlineStr">
        <is>
          <t>A 9941-2024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46262</v>
      </c>
      <c r="F135" t="inlineStr">
        <is>
          <t>ÖSTERGÖTLANDS LÄN</t>
        </is>
      </c>
      <c r="G135" t="inlineStr">
        <is>
          <t>NORRKÖPING</t>
        </is>
      </c>
      <c r="I135" t="n">
        <v>3.1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Purpurknipprot</t>
        </is>
      </c>
      <c r="W135">
        <f>HYPERLINK("https://klasma.github.io/Logging_0581/artfynd/A 9941-2024 artfynd.xlsx", "A 9941-2024")</f>
        <v/>
      </c>
      <c r="X135">
        <f>HYPERLINK("https://klasma.github.io/Logging_0581/kartor/A 9941-2024 karta.png", "A 9941-2024")</f>
        <v/>
      </c>
      <c r="Y135">
        <f>HYPERLINK("https://klasma.github.io/Logging_0581/kartor_geotiff/A 9941-2024 georefererad karta.tif", "A 9941-2024")</f>
        <v/>
      </c>
      <c r="AA135">
        <f>HYPERLINK("https://klasma.github.io/Logging_0581/klagomål/A 9941-2024 FSC-klagomål.docx", "A 9941-2024")</f>
        <v/>
      </c>
      <c r="AB135">
        <f>HYPERLINK("https://klasma.github.io/Logging_0581/klagomålsmail/A 9941-2024 FSC-klagomål mail.docx", "A 9941-2024")</f>
        <v/>
      </c>
      <c r="AC135">
        <f>HYPERLINK("https://klasma.github.io/Logging_0581/tillsyn/A 9941-2024 tillsynsbegäran.docx", "A 9941-2024")</f>
        <v/>
      </c>
      <c r="AD135">
        <f>HYPERLINK("https://klasma.github.io/Logging_0581/tillsynsmail/A 9941-2024 tillsynsbegäran mail.docx", "A 9941-2024")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46262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HYPERLINK("https://klasma.github.io/Logging_0581/artfynd/A 34078-2025 artfynd.xlsx", "A 34078-2025")</f>
        <v/>
      </c>
      <c r="X136">
        <f>HYPERLINK("https://klasma.github.io/Logging_0581/kartor/A 34078-2025 karta.png", "A 34078-2025")</f>
        <v/>
      </c>
      <c r="Y136">
        <f>HYPERLINK("https://klasma.github.io/Logging_0581/kartor_geotiff/A 34078-2025 georefererad karta.tif", "A 34078-2025")</f>
        <v/>
      </c>
      <c r="AA136">
        <f>HYPERLINK("https://klasma.github.io/Logging_0581/klagomål/A 34078-2025 FSC-klagomål.docx", "A 34078-2025")</f>
        <v/>
      </c>
      <c r="AB136">
        <f>HYPERLINK("https://klasma.github.io/Logging_0581/klagomålsmail/A 34078-2025 FSC-klagomål mail.docx", "A 34078-2025")</f>
        <v/>
      </c>
      <c r="AC136">
        <f>HYPERLINK("https://klasma.github.io/Logging_0581/tillsyn/A 34078-2025 tillsynsbegäran.docx", "A 34078-2025")</f>
        <v/>
      </c>
      <c r="AD136">
        <f>HYPERLINK("https://klasma.github.io/Logging_0581/tillsynsmail/A 34078-2025 tillsynsbegäran mail.docx", "A 34078-2025")</f>
        <v/>
      </c>
      <c r="AE136">
        <f>HYPERLINK("https://klasma.github.io/Logging_0581/fåglar/A 34078-2025 prioriterade fågelarter.docx", "A 34078-2025")</f>
        <v/>
      </c>
    </row>
    <row r="137" ht="15" customHeight="1">
      <c r="A137" t="inlineStr">
        <is>
          <t>A 1077-2023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46262</v>
      </c>
      <c r="F137" t="inlineStr">
        <is>
          <t>ÖSTERGÖTLANDS LÄN</t>
        </is>
      </c>
      <c r="G137" t="inlineStr">
        <is>
          <t>NORRKÖPING</t>
        </is>
      </c>
      <c r="I137" t="n">
        <v>3.4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Äkta lopplummer</t>
        </is>
      </c>
      <c r="W137">
        <f>HYPERLINK("https://klasma.github.io/Logging_0581/artfynd/A 1077-2023 artfynd.xlsx", "A 1077-2023")</f>
        <v/>
      </c>
      <c r="X137">
        <f>HYPERLINK("https://klasma.github.io/Logging_0581/kartor/A 1077-2023 karta.png", "A 1077-2023")</f>
        <v/>
      </c>
      <c r="Y137">
        <f>HYPERLINK("https://klasma.github.io/Logging_0581/kartor_geotiff/A 1077-2023 georefererad karta.tif", "A 1077-2023")</f>
        <v/>
      </c>
      <c r="AA137">
        <f>HYPERLINK("https://klasma.github.io/Logging_0581/klagomål/A 1077-2023 FSC-klagomål.docx", "A 1077-2023")</f>
        <v/>
      </c>
      <c r="AB137">
        <f>HYPERLINK("https://klasma.github.io/Logging_0581/klagomålsmail/A 1077-2023 FSC-klagomål mail.docx", "A 1077-2023")</f>
        <v/>
      </c>
      <c r="AC137">
        <f>HYPERLINK("https://klasma.github.io/Logging_0581/tillsyn/A 1077-2023 tillsynsbegäran.docx", "A 1077-2023")</f>
        <v/>
      </c>
      <c r="AD137">
        <f>HYPERLINK("https://klasma.github.io/Logging_0581/tillsynsmail/A 1077-2023 tillsynsbegäran mail.docx", "A 1077-2023")</f>
        <v/>
      </c>
    </row>
    <row r="138" ht="15" customHeight="1">
      <c r="A138" t="inlineStr">
        <is>
          <t>A 24629-2025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46262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Kråka</t>
        </is>
      </c>
      <c r="W138">
        <f>HYPERLINK("https://klasma.github.io/Logging_0581/artfynd/A 24629-2025 artfynd.xlsx", "A 24629-2025")</f>
        <v/>
      </c>
      <c r="X138">
        <f>HYPERLINK("https://klasma.github.io/Logging_0581/kartor/A 24629-2025 karta.png", "A 24629-2025")</f>
        <v/>
      </c>
      <c r="Y138">
        <f>HYPERLINK("https://klasma.github.io/Logging_0581/kartor_geotiff/A 24629-2025 georefererad karta.tif", "A 24629-2025")</f>
        <v/>
      </c>
      <c r="AA138">
        <f>HYPERLINK("https://klasma.github.io/Logging_0581/klagomål/A 24629-2025 FSC-klagomål.docx", "A 24629-2025")</f>
        <v/>
      </c>
      <c r="AB138">
        <f>HYPERLINK("https://klasma.github.io/Logging_0581/klagomålsmail/A 24629-2025 FSC-klagomål mail.docx", "A 24629-2025")</f>
        <v/>
      </c>
      <c r="AC138">
        <f>HYPERLINK("https://klasma.github.io/Logging_0581/tillsyn/A 24629-2025 tillsynsbegäran.docx", "A 24629-2025")</f>
        <v/>
      </c>
      <c r="AD138">
        <f>HYPERLINK("https://klasma.github.io/Logging_0581/tillsynsmail/A 24629-2025 tillsynsbegäran mail.docx", "A 24629-2025")</f>
        <v/>
      </c>
    </row>
    <row r="139" ht="15" customHeight="1">
      <c r="A139" t="inlineStr">
        <is>
          <t>A 27236-2023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46262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HYPERLINK("https://klasma.github.io/Logging_0581/artfynd/A 27236-2023 artfynd.xlsx", "A 27236-2023")</f>
        <v/>
      </c>
      <c r="X139">
        <f>HYPERLINK("https://klasma.github.io/Logging_0581/kartor/A 27236-2023 karta.png", "A 27236-2023")</f>
        <v/>
      </c>
      <c r="Y139">
        <f>HYPERLINK("https://klasma.github.io/Logging_0581/kartor_geotiff/A 27236-2023 georefererad karta.tif", "A 27236-2023")</f>
        <v/>
      </c>
      <c r="AA139">
        <f>HYPERLINK("https://klasma.github.io/Logging_0581/klagomål/A 27236-2023 FSC-klagomål.docx", "A 27236-2023")</f>
        <v/>
      </c>
      <c r="AB139">
        <f>HYPERLINK("https://klasma.github.io/Logging_0581/klagomålsmail/A 27236-2023 FSC-klagomål mail.docx", "A 27236-2023")</f>
        <v/>
      </c>
      <c r="AC139">
        <f>HYPERLINK("https://klasma.github.io/Logging_0581/tillsyn/A 27236-2023 tillsynsbegäran.docx", "A 27236-2023")</f>
        <v/>
      </c>
      <c r="AD139">
        <f>HYPERLINK("https://klasma.github.io/Logging_0581/tillsynsmail/A 27236-2023 tillsynsbegäran mail.docx", "A 27236-2023")</f>
        <v/>
      </c>
    </row>
    <row r="140" ht="15" customHeight="1">
      <c r="A140" t="inlineStr">
        <is>
          <t>A 15124-2025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46262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Vedskivlav</t>
        </is>
      </c>
      <c r="W140">
        <f>HYPERLINK("https://klasma.github.io/Logging_0581/artfynd/A 15124-2025 artfynd.xlsx", "A 15124-2025")</f>
        <v/>
      </c>
      <c r="X140">
        <f>HYPERLINK("https://klasma.github.io/Logging_0581/kartor/A 15124-2025 karta.png", "A 15124-2025")</f>
        <v/>
      </c>
      <c r="Y140">
        <f>HYPERLINK("https://klasma.github.io/Logging_0581/kartor_geotiff/A 15124-2025 georefererad karta.tif", "A 15124-2025")</f>
        <v/>
      </c>
      <c r="AA140">
        <f>HYPERLINK("https://klasma.github.io/Logging_0581/klagomål/A 15124-2025 FSC-klagomål.docx", "A 15124-2025")</f>
        <v/>
      </c>
      <c r="AB140">
        <f>HYPERLINK("https://klasma.github.io/Logging_0581/klagomålsmail/A 15124-2025 FSC-klagomål mail.docx", "A 15124-2025")</f>
        <v/>
      </c>
      <c r="AC140">
        <f>HYPERLINK("https://klasma.github.io/Logging_0581/tillsyn/A 15124-2025 tillsynsbegäran.docx", "A 15124-2025")</f>
        <v/>
      </c>
      <c r="AD140">
        <f>HYPERLINK("https://klasma.github.io/Logging_0581/tillsynsmail/A 15124-2025 tillsynsbegäran mail.docx", "A 15124-2025")</f>
        <v/>
      </c>
    </row>
    <row r="141" ht="15" customHeight="1">
      <c r="A141" t="inlineStr">
        <is>
          <t>A 15143-2025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46262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15143-2025 artfynd.xlsx", "A 15143-2025")</f>
        <v/>
      </c>
      <c r="X141">
        <f>HYPERLINK("https://klasma.github.io/Logging_0581/kartor/A 15143-2025 karta.png", "A 15143-2025")</f>
        <v/>
      </c>
      <c r="Y141">
        <f>HYPERLINK("https://klasma.github.io/Logging_0581/kartor_geotiff/A 15143-2025 georefererad karta.tif", "A 15143-2025")</f>
        <v/>
      </c>
      <c r="AA141">
        <f>HYPERLINK("https://klasma.github.io/Logging_0581/klagomål/A 15143-2025 FSC-klagomål.docx", "A 15143-2025")</f>
        <v/>
      </c>
      <c r="AB141">
        <f>HYPERLINK("https://klasma.github.io/Logging_0581/klagomålsmail/A 15143-2025 FSC-klagomål mail.docx", "A 15143-2025")</f>
        <v/>
      </c>
      <c r="AC141">
        <f>HYPERLINK("https://klasma.github.io/Logging_0581/tillsyn/A 15143-2025 tillsynsbegäran.docx", "A 15143-2025")</f>
        <v/>
      </c>
      <c r="AD141">
        <f>HYPERLINK("https://klasma.github.io/Logging_0581/tillsynsmail/A 15143-2025 tillsynsbegäran mail.docx", "A 15143-2025")</f>
        <v/>
      </c>
    </row>
    <row r="142" ht="15" customHeight="1">
      <c r="A142" t="inlineStr">
        <is>
          <t>A 2832-2026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46262</v>
      </c>
      <c r="F142" t="inlineStr">
        <is>
          <t>ÖSTERGÖTLANDS LÄN</t>
        </is>
      </c>
      <c r="G142" t="inlineStr">
        <is>
          <t>NORRKÖPING</t>
        </is>
      </c>
      <c r="I142" t="n">
        <v>5.5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HYPERLINK("https://klasma.github.io/Logging_0581/artfynd/A 2832-2026 artfynd.xlsx", "A 2832-2026")</f>
        <v/>
      </c>
      <c r="X142">
        <f>HYPERLINK("https://klasma.github.io/Logging_0581/kartor/A 2832-2026 karta.png", "A 2832-2026")</f>
        <v/>
      </c>
      <c r="Y142">
        <f>HYPERLINK("https://klasma.github.io/Logging_0581/kartor_geotiff/A 2832-2026 georefererad karta.tif", "A 2832-2026")</f>
        <v/>
      </c>
      <c r="AA142">
        <f>HYPERLINK("https://klasma.github.io/Logging_0581/klagomål/A 2832-2026 FSC-klagomål.docx", "A 2832-2026")</f>
        <v/>
      </c>
      <c r="AB142">
        <f>HYPERLINK("https://klasma.github.io/Logging_0581/klagomålsmail/A 2832-2026 FSC-klagomål mail.docx", "A 2832-2026")</f>
        <v/>
      </c>
      <c r="AC142">
        <f>HYPERLINK("https://klasma.github.io/Logging_0581/tillsyn/A 2832-2026 tillsynsbegäran.docx", "A 2832-2026")</f>
        <v/>
      </c>
      <c r="AD142">
        <f>HYPERLINK("https://klasma.github.io/Logging_0581/tillsynsmail/A 2832-2026 tillsynsbegäran mail.docx", "A 2832-2026")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46262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46262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60899-2024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46262</v>
      </c>
      <c r="F145" t="inlineStr">
        <is>
          <t>ÖSTERGÖTLANDS LÄN</t>
        </is>
      </c>
      <c r="G145" t="inlineStr">
        <is>
          <t>NORRKÖPING</t>
        </is>
      </c>
      <c r="I145" t="n">
        <v>2.4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60899-2024 artfynd.xlsx", "A 60899-2024")</f>
        <v/>
      </c>
      <c r="X145">
        <f>HYPERLINK("https://klasma.github.io/Logging_0581/kartor/A 60899-2024 karta.png", "A 60899-2024")</f>
        <v/>
      </c>
      <c r="Y145">
        <f>HYPERLINK("https://klasma.github.io/Logging_0581/kartor_geotiff/A 60899-2024 georefererad karta.tif", "A 60899-2024")</f>
        <v/>
      </c>
      <c r="AA145">
        <f>HYPERLINK("https://klasma.github.io/Logging_0581/klagomål/A 60899-2024 FSC-klagomål.docx", "A 60899-2024")</f>
        <v/>
      </c>
      <c r="AB145">
        <f>HYPERLINK("https://klasma.github.io/Logging_0581/klagomålsmail/A 60899-2024 FSC-klagomål mail.docx", "A 60899-2024")</f>
        <v/>
      </c>
      <c r="AC145">
        <f>HYPERLINK("https://klasma.github.io/Logging_0581/tillsyn/A 60899-2024 tillsynsbegäran.docx", "A 60899-2024")</f>
        <v/>
      </c>
      <c r="AD145">
        <f>HYPERLINK("https://klasma.github.io/Logging_0581/tillsynsmail/A 60899-2024 tillsynsbegäran mail.docx", "A 60899-2024")</f>
        <v/>
      </c>
    </row>
    <row r="146" ht="15" customHeight="1">
      <c r="A146" t="inlineStr">
        <is>
          <t>A 11126-2026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46262</v>
      </c>
      <c r="F146" t="inlineStr">
        <is>
          <t>ÖSTERGÖTLANDS LÄN</t>
        </is>
      </c>
      <c r="G146" t="inlineStr">
        <is>
          <t>NORRKÖPING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Svinrot</t>
        </is>
      </c>
      <c r="W146">
        <f>HYPERLINK("https://klasma.github.io/Logging_0581/artfynd/A 11126-2026 artfynd.xlsx", "A 11126-2026")</f>
        <v/>
      </c>
      <c r="X146">
        <f>HYPERLINK("https://klasma.github.io/Logging_0581/kartor/A 11126-2026 karta.png", "A 11126-2026")</f>
        <v/>
      </c>
      <c r="Y146">
        <f>HYPERLINK("https://klasma.github.io/Logging_0581/kartor_geotiff/A 11126-2026 georefererad karta.tif", "A 11126-2026")</f>
        <v/>
      </c>
      <c r="AA146">
        <f>HYPERLINK("https://klasma.github.io/Logging_0581/klagomål/A 11126-2026 FSC-klagomål.docx", "A 11126-2026")</f>
        <v/>
      </c>
      <c r="AB146">
        <f>HYPERLINK("https://klasma.github.io/Logging_0581/klagomålsmail/A 11126-2026 FSC-klagomål mail.docx", "A 11126-2026")</f>
        <v/>
      </c>
      <c r="AC146">
        <f>HYPERLINK("https://klasma.github.io/Logging_0581/tillsyn/A 11126-2026 tillsynsbegäran.docx", "A 11126-2026")</f>
        <v/>
      </c>
      <c r="AD146">
        <f>HYPERLINK("https://klasma.github.io/Logging_0581/tillsynsmail/A 11126-2026 tillsynsbegäran mail.docx", "A 11126-2026")</f>
        <v/>
      </c>
    </row>
    <row r="147" ht="15" customHeight="1">
      <c r="A147" t="inlineStr">
        <is>
          <t>A 11714-2026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46262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Gulsparv</t>
        </is>
      </c>
      <c r="W147">
        <f>HYPERLINK("https://klasma.github.io/Logging_0581/artfynd/A 11714-2026 artfynd.xlsx", "A 11714-2026")</f>
        <v/>
      </c>
      <c r="X147">
        <f>HYPERLINK("https://klasma.github.io/Logging_0581/kartor/A 11714-2026 karta.png", "A 11714-2026")</f>
        <v/>
      </c>
      <c r="Y147">
        <f>HYPERLINK("https://klasma.github.io/Logging_0581/kartor_geotiff/A 11714-2026 georefererad karta.tif", "A 11714-2026")</f>
        <v/>
      </c>
      <c r="AA147">
        <f>HYPERLINK("https://klasma.github.io/Logging_0581/klagomål/A 11714-2026 FSC-klagomål.docx", "A 11714-2026")</f>
        <v/>
      </c>
      <c r="AB147">
        <f>HYPERLINK("https://klasma.github.io/Logging_0581/klagomålsmail/A 11714-2026 FSC-klagomål mail.docx", "A 11714-2026")</f>
        <v/>
      </c>
      <c r="AC147">
        <f>HYPERLINK("https://klasma.github.io/Logging_0581/tillsyn/A 11714-2026 tillsynsbegäran.docx", "A 11714-2026")</f>
        <v/>
      </c>
      <c r="AD147">
        <f>HYPERLINK("https://klasma.github.io/Logging_0581/tillsynsmail/A 11714-2026 tillsynsbegäran mail.docx", "A 11714-2026")</f>
        <v/>
      </c>
      <c r="AE147">
        <f>HYPERLINK("https://klasma.github.io/Logging_0581/fåglar/A 11714-2026 prioriterade fågelarter.docx", "A 11714-2026")</f>
        <v/>
      </c>
    </row>
    <row r="148" ht="15" customHeight="1">
      <c r="A148" t="inlineStr">
        <is>
          <t>A 12279-2026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46262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6.9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HYPERLINK("https://klasma.github.io/Logging_0581/artfynd/A 12279-2026 artfynd.xlsx", "A 12279-2026")</f>
        <v/>
      </c>
      <c r="X148">
        <f>HYPERLINK("https://klasma.github.io/Logging_0581/kartor/A 12279-2026 karta.png", "A 12279-2026")</f>
        <v/>
      </c>
      <c r="Y148">
        <f>HYPERLINK("https://klasma.github.io/Logging_0581/kartor_geotiff/A 12279-2026 georefererad karta.tif", "A 12279-2026")</f>
        <v/>
      </c>
      <c r="AA148">
        <f>HYPERLINK("https://klasma.github.io/Logging_0581/klagomål/A 12279-2026 FSC-klagomål.docx", "A 12279-2026")</f>
        <v/>
      </c>
      <c r="AB148">
        <f>HYPERLINK("https://klasma.github.io/Logging_0581/klagomålsmail/A 12279-2026 FSC-klagomål mail.docx", "A 12279-2026")</f>
        <v/>
      </c>
      <c r="AC148">
        <f>HYPERLINK("https://klasma.github.io/Logging_0581/tillsyn/A 12279-2026 tillsynsbegäran.docx", "A 12279-2026")</f>
        <v/>
      </c>
      <c r="AD148">
        <f>HYPERLINK("https://klasma.github.io/Logging_0581/tillsynsmail/A 12279-2026 tillsynsbegäran mail.docx", "A 12279-2026")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46262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Linmåra/småsnärjmåra</t>
        </is>
      </c>
      <c r="W149">
        <f>HYPERLINK("https://klasma.github.io/Logging_0581/artfynd/A 25982-2023 artfynd.xlsx", "A 25982-2023")</f>
        <v/>
      </c>
      <c r="X149">
        <f>HYPERLINK("https://klasma.github.io/Logging_0581/kartor/A 25982-2023 karta.png", "A 25982-2023")</f>
        <v/>
      </c>
      <c r="Y149">
        <f>HYPERLINK("https://klasma.github.io/Logging_0581/kartor_geotiff/A 25982-2023 georefererad karta.tif", "A 25982-2023")</f>
        <v/>
      </c>
      <c r="AA149">
        <f>HYPERLINK("https://klasma.github.io/Logging_0581/klagomål/A 25982-2023 FSC-klagomål.docx", "A 25982-2023")</f>
        <v/>
      </c>
      <c r="AB149">
        <f>HYPERLINK("https://klasma.github.io/Logging_0581/klagomålsmail/A 25982-2023 FSC-klagomål mail.docx", "A 25982-2023")</f>
        <v/>
      </c>
      <c r="AC149">
        <f>HYPERLINK("https://klasma.github.io/Logging_0581/tillsyn/A 25982-2023 tillsynsbegäran.docx", "A 25982-2023")</f>
        <v/>
      </c>
      <c r="AD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58318-2023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46262</v>
      </c>
      <c r="F150" t="inlineStr">
        <is>
          <t>ÖSTERGÖTLANDS LÄN</t>
        </is>
      </c>
      <c r="G150" t="inlineStr">
        <is>
          <t>NORRKÖPING</t>
        </is>
      </c>
      <c r="I150" t="n">
        <v>4.2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Havsörn</t>
        </is>
      </c>
      <c r="W150">
        <f>HYPERLINK("https://klasma.github.io/Logging_0581/artfynd/A 58318-2023 artfynd.xlsx", "A 58318-2023")</f>
        <v/>
      </c>
      <c r="X150">
        <f>HYPERLINK("https://klasma.github.io/Logging_0581/kartor/A 58318-2023 karta.png", "A 58318-2023")</f>
        <v/>
      </c>
      <c r="Y150">
        <f>HYPERLINK("https://klasma.github.io/Logging_0581/kartor_geotiff/A 58318-2023 georefererad karta.tif", "A 58318-2023")</f>
        <v/>
      </c>
      <c r="AA150">
        <f>HYPERLINK("https://klasma.github.io/Logging_0581/klagomål/A 58318-2023 FSC-klagomål.docx", "A 58318-2023")</f>
        <v/>
      </c>
      <c r="AB150">
        <f>HYPERLINK("https://klasma.github.io/Logging_0581/klagomålsmail/A 58318-2023 FSC-klagomål mail.docx", "A 58318-2023")</f>
        <v/>
      </c>
      <c r="AC150">
        <f>HYPERLINK("https://klasma.github.io/Logging_0581/tillsyn/A 58318-2023 tillsynsbegäran.docx", "A 58318-2023")</f>
        <v/>
      </c>
      <c r="AD150">
        <f>HYPERLINK("https://klasma.github.io/Logging_0581/tillsynsmail/A 58318-2023 tillsynsbegäran mail.docx", "A 58318-2023")</f>
        <v/>
      </c>
      <c r="AE150">
        <f>HYPERLINK("https://klasma.github.io/Logging_0581/fåglar/A 58318-2023 prioriterade fågelarter.docx", "A 58318-2023")</f>
        <v/>
      </c>
    </row>
    <row r="151" ht="15" customHeight="1">
      <c r="A151" t="inlineStr">
        <is>
          <t>A 12682-2025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46262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2.3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HYPERLINK("https://klasma.github.io/Logging_0581/artfynd/A 12682-2025 artfynd.xlsx", "A 12682-2025")</f>
        <v/>
      </c>
      <c r="X151">
        <f>HYPERLINK("https://klasma.github.io/Logging_0581/kartor/A 12682-2025 karta.png", "A 12682-2025")</f>
        <v/>
      </c>
      <c r="Y151">
        <f>HYPERLINK("https://klasma.github.io/Logging_0581/kartor_geotiff/A 12682-2025 georefererad karta.tif", "A 12682-2025")</f>
        <v/>
      </c>
      <c r="Z151">
        <f>HYPERLINK("https://klasma.github.io/Logging_0581/knärot/A 12682-2025 karta knärot.png", "A 12682-2025")</f>
        <v/>
      </c>
      <c r="AA151">
        <f>HYPERLINK("https://klasma.github.io/Logging_0581/klagomål/A 12682-2025 FSC-klagomål.docx", "A 12682-2025")</f>
        <v/>
      </c>
      <c r="AB151">
        <f>HYPERLINK("https://klasma.github.io/Logging_0581/klagomålsmail/A 12682-2025 FSC-klagomål mail.docx", "A 12682-2025")</f>
        <v/>
      </c>
      <c r="AC151">
        <f>HYPERLINK("https://klasma.github.io/Logging_0581/tillsyn/A 12682-2025 tillsynsbegäran.docx", "A 12682-2025")</f>
        <v/>
      </c>
      <c r="AD151">
        <f>HYPERLINK("https://klasma.github.io/Logging_0581/tillsynsmail/A 12682-2025 tillsynsbegäran mail.docx", "A 12682-2025")</f>
        <v/>
      </c>
      <c r="AE151">
        <f>HYPERLINK("https://klasma.github.io/Logging_0581/fåglar/A 12682-2025 prioriterade fågelarter.docx", "A 12682-2025")</f>
        <v/>
      </c>
    </row>
    <row r="152" ht="15" customHeight="1">
      <c r="A152" t="inlineStr">
        <is>
          <t>A 8245-2023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46262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Svedjenäva</t>
        </is>
      </c>
      <c r="W152">
        <f>HYPERLINK("https://klasma.github.io/Logging_0581/artfynd/A 8245-2023 artfynd.xlsx", "A 8245-2023")</f>
        <v/>
      </c>
      <c r="X152">
        <f>HYPERLINK("https://klasma.github.io/Logging_0581/kartor/A 8245-2023 karta.png", "A 8245-2023")</f>
        <v/>
      </c>
      <c r="Y152">
        <f>HYPERLINK("https://klasma.github.io/Logging_0581/kartor_geotiff/A 8245-2023 georefererad karta.tif", "A 8245-2023")</f>
        <v/>
      </c>
      <c r="AA152">
        <f>HYPERLINK("https://klasma.github.io/Logging_0581/klagomål/A 8245-2023 FSC-klagomål.docx", "A 8245-2023")</f>
        <v/>
      </c>
      <c r="AB152">
        <f>HYPERLINK("https://klasma.github.io/Logging_0581/klagomålsmail/A 8245-2023 FSC-klagomål mail.docx", "A 8245-2023")</f>
        <v/>
      </c>
      <c r="AC152">
        <f>HYPERLINK("https://klasma.github.io/Logging_0581/tillsyn/A 8245-2023 tillsynsbegäran.docx", "A 8245-2023")</f>
        <v/>
      </c>
      <c r="AD152">
        <f>HYPERLINK("https://klasma.github.io/Logging_0581/tillsynsmail/A 8245-2023 tillsynsbegäran mail.docx", "A 8245-2023")</f>
        <v/>
      </c>
    </row>
    <row r="153" ht="15" customHeight="1">
      <c r="A153" t="inlineStr">
        <is>
          <t>A 57772-2022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46262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Fällmossa</t>
        </is>
      </c>
      <c r="W153">
        <f>HYPERLINK("https://klasma.github.io/Logging_0581/artfynd/A 57772-2022 artfynd.xlsx", "A 57772-2022")</f>
        <v/>
      </c>
      <c r="X153">
        <f>HYPERLINK("https://klasma.github.io/Logging_0581/kartor/A 57772-2022 karta.png", "A 57772-2022")</f>
        <v/>
      </c>
      <c r="Y153">
        <f>HYPERLINK("https://klasma.github.io/Logging_0581/kartor_geotiff/A 57772-2022 georefererad karta.tif", "A 57772-2022")</f>
        <v/>
      </c>
      <c r="AA153">
        <f>HYPERLINK("https://klasma.github.io/Logging_0581/klagomål/A 57772-2022 FSC-klagomål.docx", "A 57772-2022")</f>
        <v/>
      </c>
      <c r="AB153">
        <f>HYPERLINK("https://klasma.github.io/Logging_0581/klagomålsmail/A 57772-2022 FSC-klagomål mail.docx", "A 57772-2022")</f>
        <v/>
      </c>
      <c r="AC153">
        <f>HYPERLINK("https://klasma.github.io/Logging_0581/tillsyn/A 57772-2022 tillsynsbegäran.docx", "A 57772-2022")</f>
        <v/>
      </c>
      <c r="AD153">
        <f>HYPERLINK("https://klasma.github.io/Logging_0581/tillsynsmail/A 57772-2022 tillsynsbegäran mail.docx", "A 57772-2022")</f>
        <v/>
      </c>
    </row>
    <row r="154" ht="15" customHeight="1">
      <c r="A154" t="inlineStr">
        <is>
          <t>A 45953-2024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45580</v>
      </c>
      <c r="E154" s="1" t="n">
        <v>46262</v>
      </c>
      <c r="F154" t="inlineStr">
        <is>
          <t>ÖSTERGÖTLANDS LÄN</t>
        </is>
      </c>
      <c r="G154" t="inlineStr">
        <is>
          <t>NORRKÖPING</t>
        </is>
      </c>
      <c r="I154" t="n">
        <v>1.9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Ekoxe</t>
        </is>
      </c>
      <c r="W154">
        <f>HYPERLINK("https://klasma.github.io/Logging_0581/artfynd/A 45953-2024 artfynd.xlsx", "A 45953-2024")</f>
        <v/>
      </c>
      <c r="X154">
        <f>HYPERLINK("https://klasma.github.io/Logging_0581/kartor/A 45953-2024 karta.png", "A 45953-2024")</f>
        <v/>
      </c>
      <c r="Y154">
        <f>HYPERLINK("https://klasma.github.io/Logging_0581/kartor_geotiff/A 45953-2024 georefererad karta.tif", "A 45953-2024")</f>
        <v/>
      </c>
      <c r="AA154">
        <f>HYPERLINK("https://klasma.github.io/Logging_0581/klagomål/A 45953-2024 FSC-klagomål.docx", "A 45953-2024")</f>
        <v/>
      </c>
      <c r="AB154">
        <f>HYPERLINK("https://klasma.github.io/Logging_0581/klagomålsmail/A 45953-2024 FSC-klagomål mail.docx", "A 45953-2024")</f>
        <v/>
      </c>
      <c r="AC154">
        <f>HYPERLINK("https://klasma.github.io/Logging_0581/tillsyn/A 45953-2024 tillsynsbegäran.docx", "A 45953-2024")</f>
        <v/>
      </c>
      <c r="AD154">
        <f>HYPERLINK("https://klasma.github.io/Logging_0581/tillsynsmail/A 45953-2024 tillsynsbegäran mail.docx", "A 45953-2024")</f>
        <v/>
      </c>
    </row>
    <row r="155" ht="15" customHeight="1">
      <c r="A155" t="inlineStr">
        <is>
          <t>A 14044-2023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46262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14044-2023 artfynd.xlsx", "A 14044-2023")</f>
        <v/>
      </c>
      <c r="X155">
        <f>HYPERLINK("https://klasma.github.io/Logging_0581/kartor/A 14044-2023 karta.png", "A 14044-2023")</f>
        <v/>
      </c>
      <c r="Y155">
        <f>HYPERLINK("https://klasma.github.io/Logging_0581/kartor_geotiff/A 14044-2023 georefererad karta.tif", "A 14044-2023")</f>
        <v/>
      </c>
      <c r="AA155">
        <f>HYPERLINK("https://klasma.github.io/Logging_0581/klagomål/A 14044-2023 FSC-klagomål.docx", "A 14044-2023")</f>
        <v/>
      </c>
      <c r="AB155">
        <f>HYPERLINK("https://klasma.github.io/Logging_0581/klagomålsmail/A 14044-2023 FSC-klagomål mail.docx", "A 14044-2023")</f>
        <v/>
      </c>
      <c r="AC155">
        <f>HYPERLINK("https://klasma.github.io/Logging_0581/tillsyn/A 14044-2023 tillsynsbegäran.docx", "A 14044-2023")</f>
        <v/>
      </c>
      <c r="AD155">
        <f>HYPERLINK("https://klasma.github.io/Logging_0581/tillsynsmail/A 14044-2023 tillsynsbegäran mail.docx", "A 14044-2023")</f>
        <v/>
      </c>
      <c r="AE155">
        <f>HYPERLINK("https://klasma.github.io/Logging_0581/fåglar/A 14044-2023 prioriterade fågelarter.docx", "A 14044-2023")</f>
        <v/>
      </c>
    </row>
    <row r="156" ht="15" customHeight="1">
      <c r="A156" t="inlineStr">
        <is>
          <t>A 31659-2023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46262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HYPERLINK("https://klasma.github.io/Logging_0581/artfynd/A 31659-2023 artfynd.xlsx", "A 31659-2023")</f>
        <v/>
      </c>
      <c r="X156">
        <f>HYPERLINK("https://klasma.github.io/Logging_0581/kartor/A 31659-2023 karta.png", "A 31659-2023")</f>
        <v/>
      </c>
      <c r="Y156">
        <f>HYPERLINK("https://klasma.github.io/Logging_0581/kartor_geotiff/A 31659-2023 georefererad karta.tif", "A 31659-2023")</f>
        <v/>
      </c>
      <c r="AA156">
        <f>HYPERLINK("https://klasma.github.io/Logging_0581/klagomål/A 31659-2023 FSC-klagomål.docx", "A 31659-2023")</f>
        <v/>
      </c>
      <c r="AB156">
        <f>HYPERLINK("https://klasma.github.io/Logging_0581/klagomålsmail/A 31659-2023 FSC-klagomål mail.docx", "A 31659-2023")</f>
        <v/>
      </c>
      <c r="AC156">
        <f>HYPERLINK("https://klasma.github.io/Logging_0581/tillsyn/A 31659-2023 tillsynsbegäran.docx", "A 31659-2023")</f>
        <v/>
      </c>
      <c r="AD156">
        <f>HYPERLINK("https://klasma.github.io/Logging_0581/tillsynsmail/A 31659-2023 tillsynsbegäran mail.docx", "A 31659-2023")</f>
        <v/>
      </c>
      <c r="AE156">
        <f>HYPERLINK("https://klasma.github.io/Logging_0581/fåglar/A 31659-2023 prioriterade fågelarter.docx", "A 31659-2023")</f>
        <v/>
      </c>
    </row>
    <row r="157" ht="15" customHeight="1">
      <c r="A157" t="inlineStr">
        <is>
          <t>A 20170-2026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46262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Igelkott</t>
        </is>
      </c>
      <c r="W157">
        <f>HYPERLINK("https://klasma.github.io/Logging_0581/artfynd/A 20170-2026 artfynd.xlsx", "A 20170-2026")</f>
        <v/>
      </c>
      <c r="X157">
        <f>HYPERLINK("https://klasma.github.io/Logging_0581/kartor/A 20170-2026 karta.png", "A 20170-2026")</f>
        <v/>
      </c>
      <c r="Y157">
        <f>HYPERLINK("https://klasma.github.io/Logging_0581/kartor_geotiff/A 20170-2026 georefererad karta.tif", "A 20170-2026")</f>
        <v/>
      </c>
      <c r="AA157">
        <f>HYPERLINK("https://klasma.github.io/Logging_0581/klagomål/A 20170-2026 FSC-klagomål.docx", "A 20170-2026")</f>
        <v/>
      </c>
      <c r="AB157">
        <f>HYPERLINK("https://klasma.github.io/Logging_0581/klagomålsmail/A 20170-2026 FSC-klagomål mail.docx", "A 20170-2026")</f>
        <v/>
      </c>
      <c r="AC157">
        <f>HYPERLINK("https://klasma.github.io/Logging_0581/tillsyn/A 20170-2026 tillsynsbegäran.docx", "A 20170-2026")</f>
        <v/>
      </c>
      <c r="AD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14329-2022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46262</v>
      </c>
      <c r="F158" t="inlineStr">
        <is>
          <t>ÖSTERGÖTLANDS LÄN</t>
        </is>
      </c>
      <c r="G158" t="inlineStr">
        <is>
          <t>NORRKÖPING</t>
        </is>
      </c>
      <c r="I158" t="n">
        <v>2.7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skogslilja</t>
        </is>
      </c>
      <c r="W158">
        <f>HYPERLINK("https://klasma.github.io/Logging_0581/artfynd/A 14329-2022 artfynd.xlsx", "A 14329-2022")</f>
        <v/>
      </c>
      <c r="X158">
        <f>HYPERLINK("https://klasma.github.io/Logging_0581/kartor/A 14329-2022 karta.png", "A 14329-2022")</f>
        <v/>
      </c>
      <c r="Y158">
        <f>HYPERLINK("https://klasma.github.io/Logging_0581/kartor_geotiff/A 14329-2022 georefererad karta.tif", "A 14329-2022")</f>
        <v/>
      </c>
      <c r="AA158">
        <f>HYPERLINK("https://klasma.github.io/Logging_0581/klagomål/A 14329-2022 FSC-klagomål.docx", "A 14329-2022")</f>
        <v/>
      </c>
      <c r="AB158">
        <f>HYPERLINK("https://klasma.github.io/Logging_0581/klagomålsmail/A 14329-2022 FSC-klagomål mail.docx", "A 14329-2022")</f>
        <v/>
      </c>
      <c r="AC158">
        <f>HYPERLINK("https://klasma.github.io/Logging_0581/tillsyn/A 14329-2022 tillsynsbegäran.docx", "A 14329-2022")</f>
        <v/>
      </c>
      <c r="AD158">
        <f>HYPERLINK("https://klasma.github.io/Logging_0581/tillsynsmail/A 14329-2022 tillsynsbegäran mail.docx", "A 14329-2022")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46262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Vedskivlav</t>
        </is>
      </c>
      <c r="W159">
        <f>HYPERLINK("https://klasma.github.io/Logging_0581/artfynd/A 46957-2023 artfynd.xlsx", "A 46957-2023")</f>
        <v/>
      </c>
      <c r="X159">
        <f>HYPERLINK("https://klasma.github.io/Logging_0581/kartor/A 46957-2023 karta.png", "A 46957-2023")</f>
        <v/>
      </c>
      <c r="Y159">
        <f>HYPERLINK("https://klasma.github.io/Logging_0581/kartor_geotiff/A 46957-2023 georefererad karta.tif", "A 46957-2023")</f>
        <v/>
      </c>
      <c r="AA159">
        <f>HYPERLINK("https://klasma.github.io/Logging_0581/klagomål/A 46957-2023 FSC-klagomål.docx", "A 46957-2023")</f>
        <v/>
      </c>
      <c r="AB159">
        <f>HYPERLINK("https://klasma.github.io/Logging_0581/klagomålsmail/A 46957-2023 FSC-klagomål mail.docx", "A 46957-2023")</f>
        <v/>
      </c>
      <c r="AC159">
        <f>HYPERLINK("https://klasma.github.io/Logging_0581/tillsyn/A 46957-2023 tillsynsbegäran.docx", "A 46957-2023")</f>
        <v/>
      </c>
      <c r="AD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27107-2023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46262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Svartvit flugsnappare</t>
        </is>
      </c>
      <c r="W160">
        <f>HYPERLINK("https://klasma.github.io/Logging_0581/artfynd/A 27107-2023 artfynd.xlsx", "A 27107-2023")</f>
        <v/>
      </c>
      <c r="X160">
        <f>HYPERLINK("https://klasma.github.io/Logging_0581/kartor/A 27107-2023 karta.png", "A 27107-2023")</f>
        <v/>
      </c>
      <c r="Y160">
        <f>HYPERLINK("https://klasma.github.io/Logging_0581/kartor_geotiff/A 27107-2023 georefererad karta.tif", "A 27107-2023")</f>
        <v/>
      </c>
      <c r="AA160">
        <f>HYPERLINK("https://klasma.github.io/Logging_0581/klagomål/A 27107-2023 FSC-klagomål.docx", "A 27107-2023")</f>
        <v/>
      </c>
      <c r="AB160">
        <f>HYPERLINK("https://klasma.github.io/Logging_0581/klagomålsmail/A 27107-2023 FSC-klagomål mail.docx", "A 27107-2023")</f>
        <v/>
      </c>
      <c r="AC160">
        <f>HYPERLINK("https://klasma.github.io/Logging_0581/tillsyn/A 27107-2023 tillsynsbegäran.docx", "A 27107-2023")</f>
        <v/>
      </c>
      <c r="AD160">
        <f>HYPERLINK("https://klasma.github.io/Logging_0581/tillsynsmail/A 27107-2023 tillsynsbegäran mail.docx", "A 27107-2023")</f>
        <v/>
      </c>
    </row>
    <row r="161" ht="15" customHeight="1">
      <c r="A161" t="inlineStr">
        <is>
          <t>A 31582-2023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46262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Tjäder</t>
        </is>
      </c>
      <c r="W161">
        <f>HYPERLINK("https://klasma.github.io/Logging_0581/artfynd/A 31582-2023 artfynd.xlsx", "A 31582-2023")</f>
        <v/>
      </c>
      <c r="X161">
        <f>HYPERLINK("https://klasma.github.io/Logging_0581/kartor/A 31582-2023 karta.png", "A 31582-2023")</f>
        <v/>
      </c>
      <c r="Y161">
        <f>HYPERLINK("https://klasma.github.io/Logging_0581/kartor_geotiff/A 31582-2023 georefererad karta.tif", "A 31582-2023")</f>
        <v/>
      </c>
      <c r="AA161">
        <f>HYPERLINK("https://klasma.github.io/Logging_0581/klagomål/A 31582-2023 FSC-klagomål.docx", "A 31582-2023")</f>
        <v/>
      </c>
      <c r="AB161">
        <f>HYPERLINK("https://klasma.github.io/Logging_0581/klagomålsmail/A 31582-2023 FSC-klagomål mail.docx", "A 31582-2023")</f>
        <v/>
      </c>
      <c r="AC161">
        <f>HYPERLINK("https://klasma.github.io/Logging_0581/tillsyn/A 31582-2023 tillsynsbegäran.docx", "A 31582-2023")</f>
        <v/>
      </c>
      <c r="AD161">
        <f>HYPERLINK("https://klasma.github.io/Logging_0581/tillsynsmail/A 31582-2023 tillsynsbegäran mail.docx", "A 31582-2023")</f>
        <v/>
      </c>
      <c r="AE161">
        <f>HYPERLINK("https://klasma.github.io/Logging_0581/fåglar/A 31582-2023 prioriterade fågelarter.docx", "A 31582-2023")</f>
        <v/>
      </c>
    </row>
    <row r="162" ht="15" customHeight="1">
      <c r="A162" t="inlineStr">
        <is>
          <t>A 23627-2026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46163</v>
      </c>
      <c r="E162" s="1" t="n">
        <v>46262</v>
      </c>
      <c r="F162" t="inlineStr">
        <is>
          <t>ÖSTERGÖTLANDS LÄN</t>
        </is>
      </c>
      <c r="G162" t="inlineStr">
        <is>
          <t>NORRKÖPING</t>
        </is>
      </c>
      <c r="I162" t="n">
        <v>4.1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Ekoxe</t>
        </is>
      </c>
      <c r="W162">
        <f>HYPERLINK("https://klasma.github.io/Logging_0581/artfynd/A 23627-2026 artfynd.xlsx", "A 23627-2026")</f>
        <v/>
      </c>
      <c r="X162">
        <f>HYPERLINK("https://klasma.github.io/Logging_0581/kartor/A 23627-2026 karta.png", "A 23627-2026")</f>
        <v/>
      </c>
      <c r="Y162">
        <f>HYPERLINK("https://klasma.github.io/Logging_0581/kartor_geotiff/A 23627-2026 georefererad karta.tif", "A 23627-2026")</f>
        <v/>
      </c>
      <c r="AA162">
        <f>HYPERLINK("https://klasma.github.io/Logging_0581/klagomål/A 23627-2026 FSC-klagomål.docx", "A 23627-2026")</f>
        <v/>
      </c>
      <c r="AB162">
        <f>HYPERLINK("https://klasma.github.io/Logging_0581/klagomålsmail/A 23627-2026 FSC-klagomål mail.docx", "A 23627-2026")</f>
        <v/>
      </c>
      <c r="AC162">
        <f>HYPERLINK("https://klasma.github.io/Logging_0581/tillsyn/A 23627-2026 tillsynsbegäran.docx", "A 23627-2026")</f>
        <v/>
      </c>
      <c r="AD162">
        <f>HYPERLINK("https://klasma.github.io/Logging_0581/tillsynsmail/A 23627-2026 tillsynsbegäran mail.docx", "A 23627-2026")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46262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46262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46262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46262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12145-2024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46262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10.4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Gullgröppa</t>
        </is>
      </c>
      <c r="W167">
        <f>HYPERLINK("https://klasma.github.io/Logging_0581/artfynd/A 12145-2024 artfynd.xlsx", "A 12145-2024")</f>
        <v/>
      </c>
      <c r="X167">
        <f>HYPERLINK("https://klasma.github.io/Logging_0581/kartor/A 12145-2024 karta.png", "A 12145-2024")</f>
        <v/>
      </c>
      <c r="Y167">
        <f>HYPERLINK("https://klasma.github.io/Logging_0581/kartor_geotiff/A 12145-2024 georefererad karta.tif", "A 12145-2024")</f>
        <v/>
      </c>
      <c r="AA167">
        <f>HYPERLINK("https://klasma.github.io/Logging_0581/klagomål/A 12145-2024 FSC-klagomål.docx", "A 12145-2024")</f>
        <v/>
      </c>
      <c r="AB167">
        <f>HYPERLINK("https://klasma.github.io/Logging_0581/klagomålsmail/A 12145-2024 FSC-klagomål mail.docx", "A 12145-2024")</f>
        <v/>
      </c>
      <c r="AC167">
        <f>HYPERLINK("https://klasma.github.io/Logging_0581/tillsyn/A 12145-2024 tillsynsbegäran.docx", "A 12145-2024")</f>
        <v/>
      </c>
      <c r="AD167">
        <f>HYPERLINK("https://klasma.github.io/Logging_0581/tillsynsmail/A 12145-2024 tillsynsbegäran mail.docx", "A 12145-2024")</f>
        <v/>
      </c>
    </row>
    <row r="168" ht="15" customHeight="1">
      <c r="A168" t="inlineStr">
        <is>
          <t>A 32815-2026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46262</v>
      </c>
      <c r="F168" t="inlineStr">
        <is>
          <t>ÖSTERGÖTLANDS LÄN</t>
        </is>
      </c>
      <c r="G168" t="inlineStr">
        <is>
          <t>NORRKÖPING</t>
        </is>
      </c>
      <c r="I168" t="n">
        <v>2.2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Ärtsångare</t>
        </is>
      </c>
      <c r="W168">
        <f>HYPERLINK("https://klasma.github.io/Logging_0581/artfynd/A 32815-2026 artfynd.xlsx", "A 32815-2026")</f>
        <v/>
      </c>
      <c r="X168">
        <f>HYPERLINK("https://klasma.github.io/Logging_0581/kartor/A 32815-2026 karta.png", "A 32815-2026")</f>
        <v/>
      </c>
      <c r="Y168">
        <f>HYPERLINK("https://klasma.github.io/Logging_0581/kartor_geotiff/A 32815-2026 georefererad karta.tif", "A 32815-2026")</f>
        <v/>
      </c>
      <c r="AA168">
        <f>HYPERLINK("https://klasma.github.io/Logging_0581/klagomål/A 32815-2026 FSC-klagomål.docx", "A 32815-2026")</f>
        <v/>
      </c>
      <c r="AB168">
        <f>HYPERLINK("https://klasma.github.io/Logging_0581/klagomålsmail/A 32815-2026 FSC-klagomål mail.docx", "A 32815-2026")</f>
        <v/>
      </c>
      <c r="AC168">
        <f>HYPERLINK("https://klasma.github.io/Logging_0581/tillsyn/A 32815-2026 tillsynsbegäran.docx", "A 32815-2026")</f>
        <v/>
      </c>
      <c r="AD168">
        <f>HYPERLINK("https://klasma.github.io/Logging_0581/tillsynsmail/A 32815-2026 tillsynsbegäran mail.docx", "A 32815-2026")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46262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15870-2024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46262</v>
      </c>
      <c r="F170" t="inlineStr">
        <is>
          <t>ÖSTERGÖTLANDS LÄN</t>
        </is>
      </c>
      <c r="G170" t="inlineStr">
        <is>
          <t>NORRKÖPING</t>
        </is>
      </c>
      <c r="I170" t="n">
        <v>1.3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Mörk dunört</t>
        </is>
      </c>
      <c r="W170">
        <f>HYPERLINK("https://klasma.github.io/Logging_0581/artfynd/A 15870-2024 artfynd.xlsx", "A 15870-2024")</f>
        <v/>
      </c>
      <c r="X170">
        <f>HYPERLINK("https://klasma.github.io/Logging_0581/kartor/A 15870-2024 karta.png", "A 15870-2024")</f>
        <v/>
      </c>
      <c r="Y170">
        <f>HYPERLINK("https://klasma.github.io/Logging_0581/kartor_geotiff/A 15870-2024 georefererad karta.tif", "A 15870-2024")</f>
        <v/>
      </c>
      <c r="AA170">
        <f>HYPERLINK("https://klasma.github.io/Logging_0581/klagomål/A 15870-2024 FSC-klagomål.docx", "A 15870-2024")</f>
        <v/>
      </c>
      <c r="AB170">
        <f>HYPERLINK("https://klasma.github.io/Logging_0581/klagomålsmail/A 15870-2024 FSC-klagomål mail.docx", "A 15870-2024")</f>
        <v/>
      </c>
      <c r="AC170">
        <f>HYPERLINK("https://klasma.github.io/Logging_0581/tillsyn/A 15870-2024 tillsynsbegäran.docx", "A 15870-2024")</f>
        <v/>
      </c>
      <c r="AD170">
        <f>HYPERLINK("https://klasma.github.io/Logging_0581/tillsynsmail/A 15870-2024 tillsynsbegäran mail.docx", "A 15870-2024")</f>
        <v/>
      </c>
    </row>
    <row r="171" ht="15" customHeight="1">
      <c r="A171" t="inlineStr">
        <is>
          <t>A 58711-2023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46262</v>
      </c>
      <c r="F171" t="inlineStr">
        <is>
          <t>ÖSTERGÖTLANDS LÄN</t>
        </is>
      </c>
      <c r="G171" t="inlineStr">
        <is>
          <t>NORRKÖPING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58711-2023 artfynd.xlsx", "A 58711-2023")</f>
        <v/>
      </c>
      <c r="X171">
        <f>HYPERLINK("https://klasma.github.io/Logging_0581/kartor/A 58711-2023 karta.png", "A 58711-2023")</f>
        <v/>
      </c>
      <c r="Y171">
        <f>HYPERLINK("https://klasma.github.io/Logging_0581/kartor_geotiff/A 58711-2023 georefererad karta.tif", "A 58711-2023")</f>
        <v/>
      </c>
      <c r="AA171">
        <f>HYPERLINK("https://klasma.github.io/Logging_0581/klagomål/A 58711-2023 FSC-klagomål.docx", "A 58711-2023")</f>
        <v/>
      </c>
      <c r="AB171">
        <f>HYPERLINK("https://klasma.github.io/Logging_0581/klagomålsmail/A 58711-2023 FSC-klagomål mail.docx", "A 58711-2023")</f>
        <v/>
      </c>
      <c r="AC171">
        <f>HYPERLINK("https://klasma.github.io/Logging_0581/tillsyn/A 58711-2023 tillsynsbegäran.docx", "A 58711-2023")</f>
        <v/>
      </c>
      <c r="AD171">
        <f>HYPERLINK("https://klasma.github.io/Logging_0581/tillsynsmail/A 58711-2023 tillsynsbegäran mail.docx", "A 58711-2023")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46262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HYPERLINK("https://klasma.github.io/Logging_0581/artfynd/A 11520-2025 artfynd.xlsx", "A 11520-2025")</f>
        <v/>
      </c>
      <c r="X172">
        <f>HYPERLINK("https://klasma.github.io/Logging_0581/kartor/A 11520-2025 karta.png", "A 11520-2025")</f>
        <v/>
      </c>
      <c r="Y172">
        <f>HYPERLINK("https://klasma.github.io/Logging_0581/kartor_geotiff/A 11520-2025 georefererad karta.tif", "A 11520-2025")</f>
        <v/>
      </c>
      <c r="AA172">
        <f>HYPERLINK("https://klasma.github.io/Logging_0581/klagomål/A 11520-2025 FSC-klagomål.docx", "A 11520-2025")</f>
        <v/>
      </c>
      <c r="AB172">
        <f>HYPERLINK("https://klasma.github.io/Logging_0581/klagomålsmail/A 11520-2025 FSC-klagomål mail.docx", "A 11520-2025")</f>
        <v/>
      </c>
      <c r="AC172">
        <f>HYPERLINK("https://klasma.github.io/Logging_0581/tillsyn/A 11520-2025 tillsynsbegäran.docx", "A 11520-2025")</f>
        <v/>
      </c>
      <c r="AD172">
        <f>HYPERLINK("https://klasma.github.io/Logging_0581/tillsynsmail/A 11520-2025 tillsynsbegäran mail.docx", "A 11520-2025")</f>
        <v/>
      </c>
    </row>
    <row r="173" ht="15" customHeight="1">
      <c r="A173" t="inlineStr">
        <is>
          <t>A 31325-2026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46219</v>
      </c>
      <c r="E173" s="1" t="n">
        <v>46262</v>
      </c>
      <c r="F173" t="inlineStr">
        <is>
          <t>ÖSTERGÖTLANDS LÄN</t>
        </is>
      </c>
      <c r="G173" t="inlineStr">
        <is>
          <t>NORRKÖPING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Bergsslok</t>
        </is>
      </c>
      <c r="W173">
        <f>HYPERLINK("https://klasma.github.io/Logging_0581/artfynd/A 31325-2026 artfynd.xlsx", "A 31325-2026")</f>
        <v/>
      </c>
      <c r="X173">
        <f>HYPERLINK("https://klasma.github.io/Logging_0581/kartor/A 31325-2026 karta.png", "A 31325-2026")</f>
        <v/>
      </c>
      <c r="Y173">
        <f>HYPERLINK("https://klasma.github.io/Logging_0581/kartor_geotiff/A 31325-2026 georefererad karta.tif", "A 31325-2026")</f>
        <v/>
      </c>
      <c r="AA173">
        <f>HYPERLINK("https://klasma.github.io/Logging_0581/klagomål/A 31325-2026 FSC-klagomål.docx", "A 31325-2026")</f>
        <v/>
      </c>
      <c r="AB173">
        <f>HYPERLINK("https://klasma.github.io/Logging_0581/klagomålsmail/A 31325-2026 FSC-klagomål mail.docx", "A 31325-2026")</f>
        <v/>
      </c>
      <c r="AC173">
        <f>HYPERLINK("https://klasma.github.io/Logging_0581/tillsyn/A 31325-2026 tillsynsbegäran.docx", "A 31325-2026")</f>
        <v/>
      </c>
      <c r="AD173">
        <f>HYPERLINK("https://klasma.github.io/Logging_0581/tillsynsmail/A 31325-2026 tillsynsbegäran mail.docx", "A 31325-2026")</f>
        <v/>
      </c>
    </row>
    <row r="174" ht="15" customHeight="1">
      <c r="A174" t="inlineStr">
        <is>
          <t>A 31231-2026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46262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4.2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Blåmossa</t>
        </is>
      </c>
      <c r="W174">
        <f>HYPERLINK("https://klasma.github.io/Logging_0581/artfynd/A 31231-2026 artfynd.xlsx", "A 31231-2026")</f>
        <v/>
      </c>
      <c r="X174">
        <f>HYPERLINK("https://klasma.github.io/Logging_0581/kartor/A 31231-2026 karta.png", "A 31231-2026")</f>
        <v/>
      </c>
      <c r="Y174">
        <f>HYPERLINK("https://klasma.github.io/Logging_0581/kartor_geotiff/A 31231-2026 georefererad karta.tif", "A 31231-2026")</f>
        <v/>
      </c>
      <c r="AA174">
        <f>HYPERLINK("https://klasma.github.io/Logging_0581/klagomål/A 31231-2026 FSC-klagomål.docx", "A 31231-2026")</f>
        <v/>
      </c>
      <c r="AB174">
        <f>HYPERLINK("https://klasma.github.io/Logging_0581/klagomålsmail/A 31231-2026 FSC-klagomål mail.docx", "A 31231-2026")</f>
        <v/>
      </c>
      <c r="AC174">
        <f>HYPERLINK("https://klasma.github.io/Logging_0581/tillsyn/A 31231-2026 tillsynsbegäran.docx", "A 31231-2026")</f>
        <v/>
      </c>
      <c r="AD174">
        <f>HYPERLINK("https://klasma.github.io/Logging_0581/tillsynsmail/A 31231-2026 tillsynsbegäran mail.docx", "A 31231-2026")</f>
        <v/>
      </c>
    </row>
    <row r="175" ht="15" customHeight="1">
      <c r="A175" t="inlineStr">
        <is>
          <t>A 31254-2026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46218</v>
      </c>
      <c r="E175" s="1" t="n">
        <v>46262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Raggbock</t>
        </is>
      </c>
      <c r="W175">
        <f>HYPERLINK("https://klasma.github.io/Logging_0581/artfynd/A 31254-2026 artfynd.xlsx", "A 31254-2026")</f>
        <v/>
      </c>
      <c r="X175">
        <f>HYPERLINK("https://klasma.github.io/Logging_0581/kartor/A 31254-2026 karta.png", "A 31254-2026")</f>
        <v/>
      </c>
      <c r="Y175">
        <f>HYPERLINK("https://klasma.github.io/Logging_0581/kartor_geotiff/A 31254-2026 georefererad karta.tif", "A 31254-2026")</f>
        <v/>
      </c>
      <c r="AA175">
        <f>HYPERLINK("https://klasma.github.io/Logging_0581/klagomål/A 31254-2026 FSC-klagomål.docx", "A 31254-2026")</f>
        <v/>
      </c>
      <c r="AB175">
        <f>HYPERLINK("https://klasma.github.io/Logging_0581/klagomålsmail/A 31254-2026 FSC-klagomål mail.docx", "A 31254-2026")</f>
        <v/>
      </c>
      <c r="AC175">
        <f>HYPERLINK("https://klasma.github.io/Logging_0581/tillsyn/A 31254-2026 tillsynsbegäran.docx", "A 31254-2026")</f>
        <v/>
      </c>
      <c r="AD175">
        <f>HYPERLINK("https://klasma.github.io/Logging_0581/tillsynsmail/A 31254-2026 tillsynsbegäran mail.docx", "A 31254-2026")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46262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46262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46262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46262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46262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46262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46262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46262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46262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46262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46262</v>
      </c>
      <c r="F189" t="inlineStr">
        <is>
          <t>ÖSTERGÖTLANDS LÄN</t>
        </is>
      </c>
      <c r="G189" t="inlineStr">
        <is>
          <t>NORRKÖPING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46262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46262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46262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46262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46262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46262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46262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46262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46262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46262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46262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46332-2021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46262</v>
      </c>
      <c r="F201" t="inlineStr">
        <is>
          <t>ÖSTERGÖTLANDS LÄN</t>
        </is>
      </c>
      <c r="G201" t="inlineStr">
        <is>
          <t>NORRKÖPING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55488-2021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46262</v>
      </c>
      <c r="F202" t="inlineStr">
        <is>
          <t>ÖSTERGÖTLANDS LÄN</t>
        </is>
      </c>
      <c r="G202" t="inlineStr">
        <is>
          <t>NORRKÖPING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46262</v>
      </c>
      <c r="F203" t="inlineStr">
        <is>
          <t>ÖSTERGÖTLANDS LÄN</t>
        </is>
      </c>
      <c r="G203" t="inlineStr">
        <is>
          <t>NORRKÖPING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46262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46262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46262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46262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46262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46262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46262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55429-2021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46262</v>
      </c>
      <c r="F212" t="inlineStr">
        <is>
          <t>ÖSTERGÖTLANDS LÄN</t>
        </is>
      </c>
      <c r="G212" t="inlineStr">
        <is>
          <t>NORRKÖPING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46262</v>
      </c>
      <c r="F213" t="inlineStr">
        <is>
          <t>ÖSTERGÖTLANDS LÄN</t>
        </is>
      </c>
      <c r="G213" t="inlineStr">
        <is>
          <t>NORRKÖPING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44686</v>
      </c>
      <c r="E214" s="1" t="n">
        <v>46262</v>
      </c>
      <c r="F214" t="inlineStr">
        <is>
          <t>ÖSTERGÖTLANDS LÄN</t>
        </is>
      </c>
      <c r="G214" t="inlineStr">
        <is>
          <t>NORRKÖPING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46262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46262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46262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46262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46262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46262</v>
      </c>
      <c r="F220" t="inlineStr">
        <is>
          <t>ÖSTERGÖTLANDS LÄN</t>
        </is>
      </c>
      <c r="G220" t="inlineStr">
        <is>
          <t>NORRKÖPING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46262</v>
      </c>
      <c r="F221" t="inlineStr">
        <is>
          <t>ÖSTERGÖTLANDS LÄN</t>
        </is>
      </c>
      <c r="G221" t="inlineStr">
        <is>
          <t>NORRKÖPING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44730</v>
      </c>
      <c r="E222" s="1" t="n">
        <v>46262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46262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46262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46262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46262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46262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46262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46262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46262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46262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46262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46262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46262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46262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46262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46262</v>
      </c>
      <c r="F237" t="inlineStr">
        <is>
          <t>ÖSTERGÖTLANDS LÄN</t>
        </is>
      </c>
      <c r="G237" t="inlineStr">
        <is>
          <t>NORRKÖPING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46262</v>
      </c>
      <c r="F238" t="inlineStr">
        <is>
          <t>ÖSTERGÖTLANDS LÄN</t>
        </is>
      </c>
      <c r="G238" t="inlineStr">
        <is>
          <t>NORRKÖPING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46262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45401</v>
      </c>
      <c r="E240" s="1" t="n">
        <v>46262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44651</v>
      </c>
      <c r="E241" s="1" t="n">
        <v>46262</v>
      </c>
      <c r="F241" t="inlineStr">
        <is>
          <t>ÖSTERGÖTLANDS LÄN</t>
        </is>
      </c>
      <c r="G241" t="inlineStr">
        <is>
          <t>NORRKÖPING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46262</v>
      </c>
      <c r="F242" t="inlineStr">
        <is>
          <t>ÖSTERGÖTLANDS LÄN</t>
        </is>
      </c>
      <c r="G242" t="inlineStr">
        <is>
          <t>NORRKÖPING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44900</v>
      </c>
      <c r="E243" s="1" t="n">
        <v>46262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46262</v>
      </c>
      <c r="F244" t="inlineStr">
        <is>
          <t>ÖSTERGÖTLANDS LÄN</t>
        </is>
      </c>
      <c r="G244" t="inlineStr">
        <is>
          <t>NORRKÖPING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46262</v>
      </c>
      <c r="F245" t="inlineStr">
        <is>
          <t>ÖSTERGÖTLANDS LÄN</t>
        </is>
      </c>
      <c r="G245" t="inlineStr">
        <is>
          <t>NORRKÖPING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46262</v>
      </c>
      <c r="F246" t="inlineStr">
        <is>
          <t>ÖSTERGÖTLANDS LÄN</t>
        </is>
      </c>
      <c r="G246" t="inlineStr">
        <is>
          <t>NORRKÖPING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45076</v>
      </c>
      <c r="E247" s="1" t="n">
        <v>46262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45386</v>
      </c>
      <c r="E248" s="1" t="n">
        <v>46262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46262</v>
      </c>
      <c r="F249" t="inlineStr">
        <is>
          <t>ÖSTERGÖTLANDS LÄN</t>
        </is>
      </c>
      <c r="G249" t="inlineStr">
        <is>
          <t>NORRKÖPING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46262</v>
      </c>
      <c r="F250" t="inlineStr">
        <is>
          <t>ÖSTERGÖTLANDS LÄN</t>
        </is>
      </c>
      <c r="G250" t="inlineStr">
        <is>
          <t>NORRKÖPING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45784</v>
      </c>
      <c r="E251" s="1" t="n">
        <v>46262</v>
      </c>
      <c r="F251" t="inlineStr">
        <is>
          <t>ÖSTERGÖTLANDS LÄN</t>
        </is>
      </c>
      <c r="G251" t="inlineStr">
        <is>
          <t>NORRKÖPING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45086</v>
      </c>
      <c r="E252" s="1" t="n">
        <v>46262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Allmännings- och besparingsskogar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46262</v>
      </c>
      <c r="F253" t="inlineStr">
        <is>
          <t>ÖSTERGÖTLANDS LÄN</t>
        </is>
      </c>
      <c r="G253" t="inlineStr">
        <is>
          <t>NORRKÖPING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44512</v>
      </c>
      <c r="E254" s="1" t="n">
        <v>46262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46262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46262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46262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46262</v>
      </c>
      <c r="F258" t="inlineStr">
        <is>
          <t>ÖSTERGÖTLANDS LÄN</t>
        </is>
      </c>
      <c r="G258" t="inlineStr">
        <is>
          <t>NORRKÖPING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46262</v>
      </c>
      <c r="F259" t="inlineStr">
        <is>
          <t>ÖSTERGÖTLANDS LÄN</t>
        </is>
      </c>
      <c r="G259" t="inlineStr">
        <is>
          <t>NORRKÖPING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45786</v>
      </c>
      <c r="E260" s="1" t="n">
        <v>46262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Naturvårdsverket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45786</v>
      </c>
      <c r="E261" s="1" t="n">
        <v>46262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45053</v>
      </c>
      <c r="E262" s="1" t="n">
        <v>46262</v>
      </c>
      <c r="F262" t="inlineStr">
        <is>
          <t>ÖSTERGÖTLANDS LÄN</t>
        </is>
      </c>
      <c r="G262" t="inlineStr">
        <is>
          <t>NORRKÖPING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46262</v>
      </c>
      <c r="F263" t="inlineStr">
        <is>
          <t>ÖSTERGÖTLANDS LÄN</t>
        </is>
      </c>
      <c r="G263" t="inlineStr">
        <is>
          <t>NORRKÖPING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44565</v>
      </c>
      <c r="E264" s="1" t="n">
        <v>46262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Allmännings- och besparingsskogar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45092</v>
      </c>
      <c r="E265" s="1" t="n">
        <v>46262</v>
      </c>
      <c r="F265" t="inlineStr">
        <is>
          <t>ÖSTERGÖTLANDS LÄN</t>
        </is>
      </c>
      <c r="G265" t="inlineStr">
        <is>
          <t>NORRKÖPING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46262</v>
      </c>
      <c r="F266" t="inlineStr">
        <is>
          <t>ÖSTERGÖTLANDS LÄN</t>
        </is>
      </c>
      <c r="G266" t="inlineStr">
        <is>
          <t>NORRKÖPING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45453</v>
      </c>
      <c r="E267" s="1" t="n">
        <v>46262</v>
      </c>
      <c r="F267" t="inlineStr">
        <is>
          <t>ÖSTERGÖTLANDS LÄN</t>
        </is>
      </c>
      <c r="G267" t="inlineStr">
        <is>
          <t>NORRKÖPING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23368-2024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46262</v>
      </c>
      <c r="F268" t="inlineStr">
        <is>
          <t>ÖSTERGÖTLANDS LÄN</t>
        </is>
      </c>
      <c r="G268" t="inlineStr">
        <is>
          <t>NORRKÖPING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46262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45310</v>
      </c>
      <c r="E270" s="1" t="n">
        <v>46262</v>
      </c>
      <c r="F270" t="inlineStr">
        <is>
          <t>ÖSTERGÖTLANDS LÄN</t>
        </is>
      </c>
      <c r="G270" t="inlineStr">
        <is>
          <t>NORRKÖPING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46262</v>
      </c>
      <c r="F271" t="inlineStr">
        <is>
          <t>ÖSTERGÖTLANDS LÄN</t>
        </is>
      </c>
      <c r="G271" t="inlineStr">
        <is>
          <t>NORRKÖPING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45362-2021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44439</v>
      </c>
      <c r="E272" s="1" t="n">
        <v>46262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45790</v>
      </c>
      <c r="E273" s="1" t="n">
        <v>46262</v>
      </c>
      <c r="F273" t="inlineStr">
        <is>
          <t>ÖSTERGÖTLANDS LÄN</t>
        </is>
      </c>
      <c r="G273" t="inlineStr">
        <is>
          <t>NORRKÖPING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46262</v>
      </c>
      <c r="F274" t="inlineStr">
        <is>
          <t>ÖSTERGÖTLANDS LÄN</t>
        </is>
      </c>
      <c r="G274" t="inlineStr">
        <is>
          <t>NORRKÖPING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46262</v>
      </c>
      <c r="F275" t="inlineStr">
        <is>
          <t>ÖSTERGÖTLANDS LÄN</t>
        </is>
      </c>
      <c r="G275" t="inlineStr">
        <is>
          <t>NORRKÖPING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46262</v>
      </c>
      <c r="F276" t="inlineStr">
        <is>
          <t>ÖSTERGÖTLANDS LÄN</t>
        </is>
      </c>
      <c r="G276" t="inlineStr">
        <is>
          <t>NORRKÖPING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8292-2023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46262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46262</v>
      </c>
      <c r="F278" t="inlineStr">
        <is>
          <t>ÖSTERGÖTLANDS LÄN</t>
        </is>
      </c>
      <c r="G278" t="inlineStr">
        <is>
          <t>NORRKÖPING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45313</v>
      </c>
      <c r="E279" s="1" t="n">
        <v>46262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46262</v>
      </c>
      <c r="F280" t="inlineStr">
        <is>
          <t>ÖSTERGÖTLANDS LÄN</t>
        </is>
      </c>
      <c r="G280" t="inlineStr">
        <is>
          <t>NORRKÖPING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44741</v>
      </c>
      <c r="E281" s="1" t="n">
        <v>46262</v>
      </c>
      <c r="F281" t="inlineStr">
        <is>
          <t>ÖSTERGÖTLANDS LÄN</t>
        </is>
      </c>
      <c r="G281" t="inlineStr">
        <is>
          <t>NORRKÖPING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46262</v>
      </c>
      <c r="F282" t="inlineStr">
        <is>
          <t>ÖSTERGÖTLANDS LÄN</t>
        </is>
      </c>
      <c r="G282" t="inlineStr">
        <is>
          <t>NORRKÖPING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46262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46262</v>
      </c>
      <c r="F284" t="inlineStr">
        <is>
          <t>ÖSTERGÖTLANDS LÄN</t>
        </is>
      </c>
      <c r="G284" t="inlineStr">
        <is>
          <t>NORRKÖPING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46262</v>
      </c>
      <c r="F285" t="inlineStr">
        <is>
          <t>ÖSTERGÖTLANDS LÄN</t>
        </is>
      </c>
      <c r="G285" t="inlineStr">
        <is>
          <t>NORRKÖPING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45796</v>
      </c>
      <c r="E286" s="1" t="n">
        <v>46262</v>
      </c>
      <c r="F286" t="inlineStr">
        <is>
          <t>ÖSTERGÖTLANDS LÄN</t>
        </is>
      </c>
      <c r="G286" t="inlineStr">
        <is>
          <t>NORRKÖPING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46262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46262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45798</v>
      </c>
      <c r="E289" s="1" t="n">
        <v>46262</v>
      </c>
      <c r="F289" t="inlineStr">
        <is>
          <t>ÖSTERGÖTLANDS LÄN</t>
        </is>
      </c>
      <c r="G289" t="inlineStr">
        <is>
          <t>NORRKÖPING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45386</v>
      </c>
      <c r="E290" s="1" t="n">
        <v>46262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46262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45565</v>
      </c>
      <c r="E292" s="1" t="n">
        <v>46262</v>
      </c>
      <c r="F292" t="inlineStr">
        <is>
          <t>ÖSTERGÖTLANDS LÄN</t>
        </is>
      </c>
      <c r="G292" t="inlineStr">
        <is>
          <t>NORRKÖPING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46262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45022</v>
      </c>
      <c r="E294" s="1" t="n">
        <v>46262</v>
      </c>
      <c r="F294" t="inlineStr">
        <is>
          <t>ÖSTERGÖTLANDS LÄN</t>
        </is>
      </c>
      <c r="G294" t="inlineStr">
        <is>
          <t>NORRKÖPING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46262</v>
      </c>
      <c r="F295" t="inlineStr">
        <is>
          <t>ÖSTERGÖTLANDS LÄN</t>
        </is>
      </c>
      <c r="G295" t="inlineStr">
        <is>
          <t>NORRKÖPING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46262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46262</v>
      </c>
      <c r="F297" t="inlineStr">
        <is>
          <t>ÖSTERGÖTLANDS LÄN</t>
        </is>
      </c>
      <c r="G297" t="inlineStr">
        <is>
          <t>NORRKÖPING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46262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46262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46262</v>
      </c>
      <c r="F300" t="inlineStr">
        <is>
          <t>ÖSTERGÖTLANDS LÄN</t>
        </is>
      </c>
      <c r="G300" t="inlineStr">
        <is>
          <t>NORRKÖPING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46262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46262</v>
      </c>
      <c r="F302" t="inlineStr">
        <is>
          <t>ÖSTERGÖTLANDS LÄN</t>
        </is>
      </c>
      <c r="G302" t="inlineStr">
        <is>
          <t>NORRKÖPING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46262</v>
      </c>
      <c r="F303" t="inlineStr">
        <is>
          <t>ÖSTERGÖTLANDS LÄN</t>
        </is>
      </c>
      <c r="G303" t="inlineStr">
        <is>
          <t>NORRKÖPING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45762</v>
      </c>
      <c r="E304" s="1" t="n">
        <v>46262</v>
      </c>
      <c r="F304" t="inlineStr">
        <is>
          <t>ÖSTERGÖTLANDS LÄN</t>
        </is>
      </c>
      <c r="G304" t="inlineStr">
        <is>
          <t>NORRKÖPING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46262</v>
      </c>
      <c r="F305" t="inlineStr">
        <is>
          <t>ÖSTERGÖTLANDS LÄN</t>
        </is>
      </c>
      <c r="G305" t="inlineStr">
        <is>
          <t>NORRKÖPING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44970</v>
      </c>
      <c r="E306" s="1" t="n">
        <v>46262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44862</v>
      </c>
      <c r="E307" s="1" t="n">
        <v>46262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46262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Kommuner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45254</v>
      </c>
      <c r="E309" s="1" t="n">
        <v>46262</v>
      </c>
      <c r="F309" t="inlineStr">
        <is>
          <t>ÖSTERGÖTLANDS LÄN</t>
        </is>
      </c>
      <c r="G309" t="inlineStr">
        <is>
          <t>NORRKÖPING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46262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45535</v>
      </c>
      <c r="E311" s="1" t="n">
        <v>46262</v>
      </c>
      <c r="F311" t="inlineStr">
        <is>
          <t>ÖSTERGÖTLANDS LÄN</t>
        </is>
      </c>
      <c r="G311" t="inlineStr">
        <is>
          <t>NORRKÖPING</t>
        </is>
      </c>
      <c r="I311" t="n">
        <v>12.8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46262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46262</v>
      </c>
      <c r="F313" t="inlineStr">
        <is>
          <t>ÖSTERGÖTLANDS LÄN</t>
        </is>
      </c>
      <c r="G313" t="inlineStr">
        <is>
          <t>NORRKÖPING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46262</v>
      </c>
      <c r="F314" t="inlineStr">
        <is>
          <t>ÖSTERGÖTLANDS LÄN</t>
        </is>
      </c>
      <c r="G314" t="inlineStr">
        <is>
          <t>NORRKÖPING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46262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46262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46262</v>
      </c>
      <c r="F317" t="inlineStr">
        <is>
          <t>ÖSTERGÖTLANDS LÄN</t>
        </is>
      </c>
      <c r="G317" t="inlineStr">
        <is>
          <t>NORRKÖPING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46262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46262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46262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53881-2025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46262</v>
      </c>
      <c r="F321" t="inlineStr">
        <is>
          <t>ÖSTERGÖTLANDS LÄN</t>
        </is>
      </c>
      <c r="G321" t="inlineStr">
        <is>
          <t>NORRKÖPING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46262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46262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46262</v>
      </c>
      <c r="F324" t="inlineStr">
        <is>
          <t>ÖSTERGÖTLANDS LÄN</t>
        </is>
      </c>
      <c r="G324" t="inlineStr">
        <is>
          <t>NORRKÖPING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45976</v>
      </c>
      <c r="E325" s="1" t="n">
        <v>46262</v>
      </c>
      <c r="F325" t="inlineStr">
        <is>
          <t>ÖSTERGÖTLANDS LÄN</t>
        </is>
      </c>
      <c r="G325" t="inlineStr">
        <is>
          <t>NORRKÖPING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44936</v>
      </c>
      <c r="E326" s="1" t="n">
        <v>46262</v>
      </c>
      <c r="F326" t="inlineStr">
        <is>
          <t>ÖSTERGÖTLANDS LÄN</t>
        </is>
      </c>
      <c r="G326" t="inlineStr">
        <is>
          <t>NORRKÖPING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46262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45985</v>
      </c>
      <c r="E328" s="1" t="n">
        <v>46262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46262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Allmännings- och besparingsskogar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45817</v>
      </c>
      <c r="E330" s="1" t="n">
        <v>46262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46262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45246</v>
      </c>
      <c r="E332" s="1" t="n">
        <v>46262</v>
      </c>
      <c r="F332" t="inlineStr">
        <is>
          <t>ÖSTERGÖTLANDS LÄN</t>
        </is>
      </c>
      <c r="G332" t="inlineStr">
        <is>
          <t>NORRKÖPING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46262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46262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46262</v>
      </c>
      <c r="F335" t="inlineStr">
        <is>
          <t>ÖSTERGÖTLANDS LÄN</t>
        </is>
      </c>
      <c r="G335" t="inlineStr">
        <is>
          <t>NORRKÖPING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45414</v>
      </c>
      <c r="E336" s="1" t="n">
        <v>46262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46262</v>
      </c>
      <c r="F337" t="inlineStr">
        <is>
          <t>ÖSTERGÖTLANDS LÄN</t>
        </is>
      </c>
      <c r="G337" t="inlineStr">
        <is>
          <t>NORRKÖPING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46262</v>
      </c>
      <c r="F338" t="inlineStr">
        <is>
          <t>ÖSTERGÖTLANDS LÄN</t>
        </is>
      </c>
      <c r="G338" t="inlineStr">
        <is>
          <t>NORRKÖPING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46262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46262</v>
      </c>
      <c r="F340" t="inlineStr">
        <is>
          <t>ÖSTERGÖTLANDS LÄN</t>
        </is>
      </c>
      <c r="G340" t="inlineStr">
        <is>
          <t>NORRKÖPING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46262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46262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46262</v>
      </c>
      <c r="F343" t="inlineStr">
        <is>
          <t>ÖSTERGÖTLANDS LÄN</t>
        </is>
      </c>
      <c r="G343" t="inlineStr">
        <is>
          <t>NORRKÖPING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51112-2024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45603</v>
      </c>
      <c r="E344" s="1" t="n">
        <v>46262</v>
      </c>
      <c r="F344" t="inlineStr">
        <is>
          <t>ÖSTERGÖTLANDS LÄN</t>
        </is>
      </c>
      <c r="G344" t="inlineStr">
        <is>
          <t>NORRKÖPING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46262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46262</v>
      </c>
      <c r="F346" t="inlineStr">
        <is>
          <t>ÖSTERGÖTLANDS LÄN</t>
        </is>
      </c>
      <c r="G346" t="inlineStr">
        <is>
          <t>NORRKÖPING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46262</v>
      </c>
      <c r="F347" t="inlineStr">
        <is>
          <t>ÖSTERGÖTLANDS LÄN</t>
        </is>
      </c>
      <c r="G347" t="inlineStr">
        <is>
          <t>NORRKÖPING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29622-2022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44754</v>
      </c>
      <c r="E348" s="1" t="n">
        <v>46262</v>
      </c>
      <c r="F348" t="inlineStr">
        <is>
          <t>ÖSTERGÖTLANDS LÄN</t>
        </is>
      </c>
      <c r="G348" t="inlineStr">
        <is>
          <t>NORRKÖPING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46262</v>
      </c>
      <c r="F349" t="inlineStr">
        <is>
          <t>ÖSTERGÖTLANDS LÄN</t>
        </is>
      </c>
      <c r="G349" t="inlineStr">
        <is>
          <t>NORRKÖPING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46262</v>
      </c>
      <c r="F350" t="inlineStr">
        <is>
          <t>ÖSTERGÖTLANDS LÄN</t>
        </is>
      </c>
      <c r="G350" t="inlineStr">
        <is>
          <t>NORRKÖPING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45174</v>
      </c>
      <c r="E351" s="1" t="n">
        <v>46262</v>
      </c>
      <c r="F351" t="inlineStr">
        <is>
          <t>ÖSTERGÖTLANDS LÄN</t>
        </is>
      </c>
      <c r="G351" t="inlineStr">
        <is>
          <t>NORRKÖPING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46262</v>
      </c>
      <c r="F352" t="inlineStr">
        <is>
          <t>ÖSTERGÖTLANDS LÄN</t>
        </is>
      </c>
      <c r="G352" t="inlineStr">
        <is>
          <t>NORRKÖPING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46262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46262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46262</v>
      </c>
      <c r="F355" t="inlineStr">
        <is>
          <t>ÖSTERGÖTLANDS LÄN</t>
        </is>
      </c>
      <c r="G355" t="inlineStr">
        <is>
          <t>NORRKÖPING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46262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46262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45845</v>
      </c>
      <c r="E358" s="1" t="n">
        <v>46262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45678</v>
      </c>
      <c r="E359" s="1" t="n">
        <v>46262</v>
      </c>
      <c r="F359" t="inlineStr">
        <is>
          <t>ÖSTERGÖTLANDS LÄN</t>
        </is>
      </c>
      <c r="G359" t="inlineStr">
        <is>
          <t>NORRKÖPING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57733-2022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46262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46262</v>
      </c>
      <c r="F361" t="inlineStr">
        <is>
          <t>ÖSTERGÖTLANDS LÄN</t>
        </is>
      </c>
      <c r="G361" t="inlineStr">
        <is>
          <t>NORRKÖPING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46262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44950</v>
      </c>
      <c r="E363" s="1" t="n">
        <v>46262</v>
      </c>
      <c r="F363" t="inlineStr">
        <is>
          <t>ÖSTERGÖTLANDS LÄN</t>
        </is>
      </c>
      <c r="G363" t="inlineStr">
        <is>
          <t>NORRKÖPING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46262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44896</v>
      </c>
      <c r="E365" s="1" t="n">
        <v>46262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46262</v>
      </c>
      <c r="F366" t="inlineStr">
        <is>
          <t>ÖSTERGÖTLANDS LÄN</t>
        </is>
      </c>
      <c r="G366" t="inlineStr">
        <is>
          <t>NORRKÖPING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46262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45436</v>
      </c>
      <c r="E368" s="1" t="n">
        <v>46262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46262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13173-2022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44644</v>
      </c>
      <c r="E370" s="1" t="n">
        <v>46262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Allmännings- och besparingsskogar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49452-2021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44454</v>
      </c>
      <c r="E371" s="1" t="n">
        <v>46262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Allmännings- och besparingsskogar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46262</v>
      </c>
      <c r="F372" t="inlineStr">
        <is>
          <t>ÖSTERGÖTLANDS LÄN</t>
        </is>
      </c>
      <c r="G372" t="inlineStr">
        <is>
          <t>NORRKÖPING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46262</v>
      </c>
      <c r="F373" t="inlineStr">
        <is>
          <t>ÖSTERGÖTLANDS LÄN</t>
        </is>
      </c>
      <c r="G373" t="inlineStr">
        <is>
          <t>NORRKÖPING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46262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46262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35701-2024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45532</v>
      </c>
      <c r="E376" s="1" t="n">
        <v>46262</v>
      </c>
      <c r="F376" t="inlineStr">
        <is>
          <t>ÖSTERGÖTLANDS LÄN</t>
        </is>
      </c>
      <c r="G376" t="inlineStr">
        <is>
          <t>NORRKÖPING</t>
        </is>
      </c>
      <c r="I376" t="n">
        <v>11.7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46262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46262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45873</v>
      </c>
      <c r="E379" s="1" t="n">
        <v>46262</v>
      </c>
      <c r="F379" t="inlineStr">
        <is>
          <t>ÖSTERGÖTLANDS LÄN</t>
        </is>
      </c>
      <c r="G379" t="inlineStr">
        <is>
          <t>NORRKÖPING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46262</v>
      </c>
      <c r="F380" t="inlineStr">
        <is>
          <t>ÖSTERGÖTLANDS LÄN</t>
        </is>
      </c>
      <c r="G380" t="inlineStr">
        <is>
          <t>NORRKÖPING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45943</v>
      </c>
      <c r="E381" s="1" t="n">
        <v>46262</v>
      </c>
      <c r="F381" t="inlineStr">
        <is>
          <t>ÖSTERGÖTLANDS LÄN</t>
        </is>
      </c>
      <c r="G381" t="inlineStr">
        <is>
          <t>NORRKÖPING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46262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46262</v>
      </c>
      <c r="F383" t="inlineStr">
        <is>
          <t>ÖSTERGÖTLANDS LÄN</t>
        </is>
      </c>
      <c r="G383" t="inlineStr">
        <is>
          <t>NORRKÖPING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44889</v>
      </c>
      <c r="E384" s="1" t="n">
        <v>46262</v>
      </c>
      <c r="F384" t="inlineStr">
        <is>
          <t>ÖSTERGÖTLANDS LÄN</t>
        </is>
      </c>
      <c r="G384" t="inlineStr">
        <is>
          <t>NORRKÖPING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46262</v>
      </c>
      <c r="F385" t="inlineStr">
        <is>
          <t>ÖSTERGÖTLANDS LÄN</t>
        </is>
      </c>
      <c r="G385" t="inlineStr">
        <is>
          <t>NORRKÖPING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3325-2024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45317</v>
      </c>
      <c r="E386" s="1" t="n">
        <v>46262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47345-2023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46262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46262</v>
      </c>
      <c r="F388" t="inlineStr">
        <is>
          <t>ÖSTERGÖTLANDS LÄN</t>
        </is>
      </c>
      <c r="G388" t="inlineStr">
        <is>
          <t>NORRKÖPING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45796</v>
      </c>
      <c r="E389" s="1" t="n">
        <v>46262</v>
      </c>
      <c r="F389" t="inlineStr">
        <is>
          <t>ÖSTERGÖTLANDS LÄN</t>
        </is>
      </c>
      <c r="G389" t="inlineStr">
        <is>
          <t>NORRKÖPING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46262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46262</v>
      </c>
      <c r="F391" t="inlineStr">
        <is>
          <t>ÖSTERGÖTLANDS LÄN</t>
        </is>
      </c>
      <c r="G391" t="inlineStr">
        <is>
          <t>NORRKÖPING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46262</v>
      </c>
      <c r="F392" t="inlineStr">
        <is>
          <t>ÖSTERGÖTLANDS LÄN</t>
        </is>
      </c>
      <c r="G392" t="inlineStr">
        <is>
          <t>NORRKÖPING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45478</v>
      </c>
      <c r="E393" s="1" t="n">
        <v>46262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46262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45098</v>
      </c>
      <c r="E395" s="1" t="n">
        <v>46262</v>
      </c>
      <c r="F395" t="inlineStr">
        <is>
          <t>ÖSTERGÖTLANDS LÄN</t>
        </is>
      </c>
      <c r="G395" t="inlineStr">
        <is>
          <t>NORRKÖPING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45883</v>
      </c>
      <c r="E396" s="1" t="n">
        <v>46262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46262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45183</v>
      </c>
      <c r="E398" s="1" t="n">
        <v>46262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46262</v>
      </c>
      <c r="F399" t="inlineStr">
        <is>
          <t>ÖSTERGÖTLANDS LÄN</t>
        </is>
      </c>
      <c r="G399" t="inlineStr">
        <is>
          <t>NORRKÖPING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18705-2023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46262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45757</v>
      </c>
      <c r="E401" s="1" t="n">
        <v>46262</v>
      </c>
      <c r="F401" t="inlineStr">
        <is>
          <t>ÖSTERGÖTLANDS LÄN</t>
        </is>
      </c>
      <c r="G401" t="inlineStr">
        <is>
          <t>NORRKÖPING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62370-2025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46007</v>
      </c>
      <c r="E402" s="1" t="n">
        <v>46262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56210-2023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45240</v>
      </c>
      <c r="E403" s="1" t="n">
        <v>46262</v>
      </c>
      <c r="F403" t="inlineStr">
        <is>
          <t>ÖSTERGÖTLANDS LÄN</t>
        </is>
      </c>
      <c r="G403" t="inlineStr">
        <is>
          <t>NORRKÖPING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45118</v>
      </c>
      <c r="E404" s="1" t="n">
        <v>46262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46262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46262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46262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45715</v>
      </c>
      <c r="E408" s="1" t="n">
        <v>46262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46262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46262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70378-2021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44536</v>
      </c>
      <c r="E411" s="1" t="n">
        <v>46262</v>
      </c>
      <c r="F411" t="inlineStr">
        <is>
          <t>ÖSTERGÖTLANDS LÄN</t>
        </is>
      </c>
      <c r="G411" t="inlineStr">
        <is>
          <t>NORRKÖPING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36575-2023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46262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50092-2023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46262</v>
      </c>
      <c r="F413" t="inlineStr">
        <is>
          <t>ÖSTERGÖTLANDS LÄN</t>
        </is>
      </c>
      <c r="G413" t="inlineStr">
        <is>
          <t>NORRKÖPING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46262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44599</v>
      </c>
      <c r="E415" s="1" t="n">
        <v>46262</v>
      </c>
      <c r="F415" t="inlineStr">
        <is>
          <t>ÖSTERGÖTLANDS LÄN</t>
        </is>
      </c>
      <c r="G415" t="inlineStr">
        <is>
          <t>NORRKÖPING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46262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63168-2025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46262</v>
      </c>
      <c r="F417" t="inlineStr">
        <is>
          <t>ÖSTERGÖTLANDS LÄN</t>
        </is>
      </c>
      <c r="G417" t="inlineStr">
        <is>
          <t>NORRKÖPING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45049</v>
      </c>
      <c r="E418" s="1" t="n">
        <v>46262</v>
      </c>
      <c r="F418" t="inlineStr">
        <is>
          <t>ÖSTERGÖTLANDS LÄN</t>
        </is>
      </c>
      <c r="G418" t="inlineStr">
        <is>
          <t>NORRKÖPING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46262</v>
      </c>
      <c r="F419" t="inlineStr">
        <is>
          <t>ÖSTERGÖTLANDS LÄN</t>
        </is>
      </c>
      <c r="G419" t="inlineStr">
        <is>
          <t>NORRKÖPING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45330</v>
      </c>
      <c r="E420" s="1" t="n">
        <v>46262</v>
      </c>
      <c r="F420" t="inlineStr">
        <is>
          <t>ÖSTERGÖTLANDS LÄN</t>
        </is>
      </c>
      <c r="G420" t="inlineStr">
        <is>
          <t>NORRKÖPING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63165-2025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46262</v>
      </c>
      <c r="F421" t="inlineStr">
        <is>
          <t>ÖSTERGÖTLANDS LÄN</t>
        </is>
      </c>
      <c r="G421" t="inlineStr">
        <is>
          <t>NORRKÖPING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46262</v>
      </c>
      <c r="F422" t="inlineStr">
        <is>
          <t>ÖSTERGÖTLANDS LÄN</t>
        </is>
      </c>
      <c r="G422" t="inlineStr">
        <is>
          <t>NORRKÖPING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45219</v>
      </c>
      <c r="E423" s="1" t="n">
        <v>46262</v>
      </c>
      <c r="F423" t="inlineStr">
        <is>
          <t>ÖSTERGÖTLANDS LÄN</t>
        </is>
      </c>
      <c r="G423" t="inlineStr">
        <is>
          <t>NORRKÖPING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45468</v>
      </c>
      <c r="E424" s="1" t="n">
        <v>46262</v>
      </c>
      <c r="F424" t="inlineStr">
        <is>
          <t>ÖSTERGÖTLANDS LÄN</t>
        </is>
      </c>
      <c r="G424" t="inlineStr">
        <is>
          <t>NORRKÖPING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46262</v>
      </c>
      <c r="F425" t="inlineStr">
        <is>
          <t>ÖSTERGÖTLANDS LÄN</t>
        </is>
      </c>
      <c r="G425" t="inlineStr">
        <is>
          <t>NORRKÖPING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44980</v>
      </c>
      <c r="E426" s="1" t="n">
        <v>46262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46262</v>
      </c>
      <c r="F427" t="inlineStr">
        <is>
          <t>ÖSTERGÖTLANDS LÄN</t>
        </is>
      </c>
      <c r="G427" t="inlineStr">
        <is>
          <t>NORRKÖPING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63944-2025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46262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Allmännings- och besparingsskogar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45317</v>
      </c>
      <c r="E429" s="1" t="n">
        <v>46262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46262</v>
      </c>
      <c r="F430" t="inlineStr">
        <is>
          <t>ÖSTERGÖTLANDS LÄN</t>
        </is>
      </c>
      <c r="G430" t="inlineStr">
        <is>
          <t>NORRKÖPING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10393-2024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45365</v>
      </c>
      <c r="E431" s="1" t="n">
        <v>46262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Kommuner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15869-2024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45405</v>
      </c>
      <c r="E432" s="1" t="n">
        <v>46262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45769</v>
      </c>
      <c r="E433" s="1" t="n">
        <v>46262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62376-2022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44923</v>
      </c>
      <c r="E434" s="1" t="n">
        <v>46262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44930</v>
      </c>
      <c r="E435" s="1" t="n">
        <v>46262</v>
      </c>
      <c r="F435" t="inlineStr">
        <is>
          <t>ÖSTERGÖTLANDS LÄN</t>
        </is>
      </c>
      <c r="G435" t="inlineStr">
        <is>
          <t>NORRKÖPING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46035</v>
      </c>
      <c r="E436" s="1" t="n">
        <v>46262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12.4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46262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46262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Kommuner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46262</v>
      </c>
      <c r="F439" t="inlineStr">
        <is>
          <t>ÖSTERGÖTLANDS LÄN</t>
        </is>
      </c>
      <c r="G439" t="inlineStr">
        <is>
          <t>NORRKÖPING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45092</v>
      </c>
      <c r="E440" s="1" t="n">
        <v>46262</v>
      </c>
      <c r="F440" t="inlineStr">
        <is>
          <t>ÖSTERGÖTLANDS LÄN</t>
        </is>
      </c>
      <c r="G440" t="inlineStr">
        <is>
          <t>NORRKÖPING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46262</v>
      </c>
      <c r="F441" t="inlineStr">
        <is>
          <t>ÖSTERGÖTLANDS LÄN</t>
        </is>
      </c>
      <c r="G441" t="inlineStr">
        <is>
          <t>NORRKÖPING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46262</v>
      </c>
      <c r="F442" t="inlineStr">
        <is>
          <t>ÖSTERGÖTLANDS LÄN</t>
        </is>
      </c>
      <c r="G442" t="inlineStr">
        <is>
          <t>NORRKÖPING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46042</v>
      </c>
      <c r="E443" s="1" t="n">
        <v>46262</v>
      </c>
      <c r="F443" t="inlineStr">
        <is>
          <t>ÖSTERGÖTLANDS LÄN</t>
        </is>
      </c>
      <c r="G443" t="inlineStr">
        <is>
          <t>NORRKÖPING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46262</v>
      </c>
      <c r="F444" t="inlineStr">
        <is>
          <t>ÖSTERGÖTLANDS LÄN</t>
        </is>
      </c>
      <c r="G444" t="inlineStr">
        <is>
          <t>NORRKÖPING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50157-2022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44865</v>
      </c>
      <c r="E445" s="1" t="n">
        <v>46262</v>
      </c>
      <c r="F445" t="inlineStr">
        <is>
          <t>ÖSTERGÖTLANDS LÄN</t>
        </is>
      </c>
      <c r="G445" t="inlineStr">
        <is>
          <t>NORRKÖPING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46262</v>
      </c>
      <c r="F446" t="inlineStr">
        <is>
          <t>ÖSTERGÖTLANDS LÄN</t>
        </is>
      </c>
      <c r="G446" t="inlineStr">
        <is>
          <t>NORRKÖPING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46262</v>
      </c>
      <c r="F447" t="inlineStr">
        <is>
          <t>ÖSTERGÖTLANDS LÄN</t>
        </is>
      </c>
      <c r="G447" t="inlineStr">
        <is>
          <t>NORRKÖPING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44943</v>
      </c>
      <c r="E448" s="1" t="n">
        <v>46262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49462-2023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46262</v>
      </c>
      <c r="F449" t="inlineStr">
        <is>
          <t>ÖSTERGÖTLANDS LÄN</t>
        </is>
      </c>
      <c r="G449" t="inlineStr">
        <is>
          <t>NORRKÖPING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49465-2023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46262</v>
      </c>
      <c r="F450" t="inlineStr">
        <is>
          <t>ÖSTERGÖTLANDS LÄN</t>
        </is>
      </c>
      <c r="G450" t="inlineStr">
        <is>
          <t>NORRKÖPING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45215</v>
      </c>
      <c r="E451" s="1" t="n">
        <v>46262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46262</v>
      </c>
      <c r="F452" t="inlineStr">
        <is>
          <t>ÖSTERGÖTLANDS LÄN</t>
        </is>
      </c>
      <c r="G452" t="inlineStr">
        <is>
          <t>NORRKÖPING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46262</v>
      </c>
      <c r="F453" t="inlineStr">
        <is>
          <t>ÖSTERGÖTLANDS LÄN</t>
        </is>
      </c>
      <c r="G453" t="inlineStr">
        <is>
          <t>NORRKÖPING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46046</v>
      </c>
      <c r="E454" s="1" t="n">
        <v>46262</v>
      </c>
      <c r="F454" t="inlineStr">
        <is>
          <t>ÖSTERGÖTLANDS LÄN</t>
        </is>
      </c>
      <c r="G454" t="inlineStr">
        <is>
          <t>NORRKÖPING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46046</v>
      </c>
      <c r="E455" s="1" t="n">
        <v>46262</v>
      </c>
      <c r="F455" t="inlineStr">
        <is>
          <t>ÖSTERGÖTLANDS LÄN</t>
        </is>
      </c>
      <c r="G455" t="inlineStr">
        <is>
          <t>NORRKÖPING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46262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45436</v>
      </c>
      <c r="E457" s="1" t="n">
        <v>46262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46262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Naturvårdsverket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8806-2024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46262</v>
      </c>
      <c r="F459" t="inlineStr">
        <is>
          <t>ÖSTERGÖTLANDS LÄN</t>
        </is>
      </c>
      <c r="G459" t="inlineStr">
        <is>
          <t>NORRKÖPING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46262</v>
      </c>
      <c r="F460" t="inlineStr">
        <is>
          <t>ÖSTERGÖTLANDS LÄN</t>
        </is>
      </c>
      <c r="G460" t="inlineStr">
        <is>
          <t>NORRKÖPING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46262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Kommuner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46262</v>
      </c>
      <c r="F462" t="inlineStr">
        <is>
          <t>ÖSTERGÖTLANDS LÄN</t>
        </is>
      </c>
      <c r="G462" t="inlineStr">
        <is>
          <t>NORRKÖPING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46052</v>
      </c>
      <c r="E463" s="1" t="n">
        <v>46262</v>
      </c>
      <c r="F463" t="inlineStr">
        <is>
          <t>ÖSTERGÖTLANDS LÄN</t>
        </is>
      </c>
      <c r="G463" t="inlineStr">
        <is>
          <t>NORRKÖPING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46262</v>
      </c>
      <c r="F464" t="inlineStr">
        <is>
          <t>ÖSTERGÖTLANDS LÄN</t>
        </is>
      </c>
      <c r="G464" t="inlineStr">
        <is>
          <t>NORRKÖPING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45141</v>
      </c>
      <c r="E465" s="1" t="n">
        <v>46262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46262</v>
      </c>
      <c r="F466" t="inlineStr">
        <is>
          <t>ÖSTERGÖTLANDS LÄN</t>
        </is>
      </c>
      <c r="G466" t="inlineStr">
        <is>
          <t>NORRKÖPING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46262</v>
      </c>
      <c r="F467" t="inlineStr">
        <is>
          <t>ÖSTERGÖTLANDS LÄN</t>
        </is>
      </c>
      <c r="G467" t="inlineStr">
        <is>
          <t>NORRKÖPING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44936</v>
      </c>
      <c r="E468" s="1" t="n">
        <v>46262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46262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46262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45386</v>
      </c>
      <c r="E471" s="1" t="n">
        <v>46262</v>
      </c>
      <c r="F471" t="inlineStr">
        <is>
          <t>ÖSTERGÖTLANDS LÄN</t>
        </is>
      </c>
      <c r="G471" t="inlineStr">
        <is>
          <t>NORRKÖPING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41083-2022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44825</v>
      </c>
      <c r="E472" s="1" t="n">
        <v>46262</v>
      </c>
      <c r="F472" t="inlineStr">
        <is>
          <t>ÖSTERGÖTLANDS LÄN</t>
        </is>
      </c>
      <c r="G472" t="inlineStr">
        <is>
          <t>NORRKÖPING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9781-2026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46262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Kyrkan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46262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Kyrkan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45030</v>
      </c>
      <c r="E475" s="1" t="n">
        <v>46262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2021-2023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44939</v>
      </c>
      <c r="E476" s="1" t="n">
        <v>46262</v>
      </c>
      <c r="F476" t="inlineStr">
        <is>
          <t>ÖSTERGÖTLANDS LÄN</t>
        </is>
      </c>
      <c r="G476" t="inlineStr">
        <is>
          <t>NORRKÖPING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46262</v>
      </c>
      <c r="F477" t="inlineStr">
        <is>
          <t>ÖSTERGÖTLANDS LÄN</t>
        </is>
      </c>
      <c r="G477" t="inlineStr">
        <is>
          <t>NORRKÖPING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46262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46262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46262</v>
      </c>
      <c r="F480" t="inlineStr">
        <is>
          <t>ÖSTERGÖTLANDS LÄN</t>
        </is>
      </c>
      <c r="G480" t="inlineStr">
        <is>
          <t>NORRKÖPING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45012</v>
      </c>
      <c r="E481" s="1" t="n">
        <v>46262</v>
      </c>
      <c r="F481" t="inlineStr">
        <is>
          <t>ÖSTERGÖTLANDS LÄN</t>
        </is>
      </c>
      <c r="G481" t="inlineStr">
        <is>
          <t>NORRKÖPING</t>
        </is>
      </c>
      <c r="I481" t="n">
        <v>9.9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46262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45709</v>
      </c>
      <c r="E483" s="1" t="n">
        <v>46262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46262</v>
      </c>
      <c r="F484" t="inlineStr">
        <is>
          <t>ÖSTERGÖTLANDS LÄN</t>
        </is>
      </c>
      <c r="G484" t="inlineStr">
        <is>
          <t>NORRKÖPING</t>
        </is>
      </c>
      <c r="I484" t="n">
        <v>7.4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46262</v>
      </c>
      <c r="F485" t="inlineStr">
        <is>
          <t>ÖSTERGÖTLANDS LÄN</t>
        </is>
      </c>
      <c r="G485" t="inlineStr">
        <is>
          <t>NORRKÖPING</t>
        </is>
      </c>
      <c r="I485" t="n">
        <v>8.199999999999999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46262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Allmännings- och besparingsskogar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46262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45373</v>
      </c>
      <c r="E488" s="1" t="n">
        <v>46262</v>
      </c>
      <c r="F488" t="inlineStr">
        <is>
          <t>ÖSTERGÖTLANDS LÄN</t>
        </is>
      </c>
      <c r="G488" t="inlineStr">
        <is>
          <t>NORRKÖPING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46262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15177-2023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45016</v>
      </c>
      <c r="E490" s="1" t="n">
        <v>46262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45254</v>
      </c>
      <c r="E491" s="1" t="n">
        <v>46262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45742</v>
      </c>
      <c r="E492" s="1" t="n">
        <v>46262</v>
      </c>
      <c r="F492" t="inlineStr">
        <is>
          <t>ÖSTERGÖTLANDS LÄN</t>
        </is>
      </c>
      <c r="G492" t="inlineStr">
        <is>
          <t>NORRKÖPING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46262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30865-2024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45497</v>
      </c>
      <c r="E494" s="1" t="n">
        <v>46262</v>
      </c>
      <c r="F494" t="inlineStr">
        <is>
          <t>ÖSTERGÖTLANDS LÄN</t>
        </is>
      </c>
      <c r="G494" t="inlineStr">
        <is>
          <t>NORRKÖPING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49487-2022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44861</v>
      </c>
      <c r="E495" s="1" t="n">
        <v>46262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44607</v>
      </c>
      <c r="E496" s="1" t="n">
        <v>46262</v>
      </c>
      <c r="F496" t="inlineStr">
        <is>
          <t>ÖSTERGÖTLANDS LÄN</t>
        </is>
      </c>
      <c r="G496" t="inlineStr">
        <is>
          <t>NORRKÖPING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57405-2024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45629</v>
      </c>
      <c r="E497" s="1" t="n">
        <v>46262</v>
      </c>
      <c r="F497" t="inlineStr">
        <is>
          <t>ÖSTERGÖTLANDS LÄN</t>
        </is>
      </c>
      <c r="G497" t="inlineStr">
        <is>
          <t>NORRKÖPING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45716</v>
      </c>
      <c r="E498" s="1" t="n">
        <v>46262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46262</v>
      </c>
      <c r="F499" t="inlineStr">
        <is>
          <t>ÖSTERGÖTLANDS LÄN</t>
        </is>
      </c>
      <c r="G499" t="inlineStr">
        <is>
          <t>NORRKÖPING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46262</v>
      </c>
      <c r="F500" t="inlineStr">
        <is>
          <t>ÖSTERGÖTLANDS LÄN</t>
        </is>
      </c>
      <c r="G500" t="inlineStr">
        <is>
          <t>NORRKÖPING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46262</v>
      </c>
      <c r="F501" t="inlineStr">
        <is>
          <t>ÖSTERGÖTLANDS LÄN</t>
        </is>
      </c>
      <c r="G501" t="inlineStr">
        <is>
          <t>NORRKÖPING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45106</v>
      </c>
      <c r="E502" s="1" t="n">
        <v>46262</v>
      </c>
      <c r="F502" t="inlineStr">
        <is>
          <t>ÖSTERGÖTLANDS LÄN</t>
        </is>
      </c>
      <c r="G502" t="inlineStr">
        <is>
          <t>NORRKÖPING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7763-2025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45706</v>
      </c>
      <c r="E503" s="1" t="n">
        <v>46262</v>
      </c>
      <c r="F503" t="inlineStr">
        <is>
          <t>ÖSTERGÖTLANDS LÄN</t>
        </is>
      </c>
      <c r="G503" t="inlineStr">
        <is>
          <t>NORRKÖPING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46262</v>
      </c>
      <c r="F504" t="inlineStr">
        <is>
          <t>ÖSTERGÖTLANDS LÄN</t>
        </is>
      </c>
      <c r="G504" t="inlineStr">
        <is>
          <t>NORRKÖPING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19298-2025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45769</v>
      </c>
      <c r="E505" s="1" t="n">
        <v>46262</v>
      </c>
      <c r="F505" t="inlineStr">
        <is>
          <t>ÖSTERGÖTLANDS LÄN</t>
        </is>
      </c>
      <c r="G505" t="inlineStr">
        <is>
          <t>NORRKÖPING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62049-2023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45266</v>
      </c>
      <c r="E506" s="1" t="n">
        <v>46262</v>
      </c>
      <c r="F506" t="inlineStr">
        <is>
          <t>ÖSTERGÖTLANDS LÄN</t>
        </is>
      </c>
      <c r="G506" t="inlineStr">
        <is>
          <t>NORRKÖPING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46262</v>
      </c>
      <c r="F507" t="inlineStr">
        <is>
          <t>ÖSTERGÖTLANDS LÄN</t>
        </is>
      </c>
      <c r="G507" t="inlineStr">
        <is>
          <t>NORRKÖPING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46262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46262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46262</v>
      </c>
      <c r="F510" t="inlineStr">
        <is>
          <t>ÖSTERGÖTLANDS LÄN</t>
        </is>
      </c>
      <c r="G510" t="inlineStr">
        <is>
          <t>NORRKÖPING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46262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46262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46262</v>
      </c>
      <c r="F513" t="inlineStr">
        <is>
          <t>ÖSTERGÖTLANDS LÄN</t>
        </is>
      </c>
      <c r="G513" t="inlineStr">
        <is>
          <t>NORRKÖPING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45709</v>
      </c>
      <c r="E514" s="1" t="n">
        <v>46262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46262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46262</v>
      </c>
      <c r="F516" t="inlineStr">
        <is>
          <t>ÖSTERGÖTLANDS LÄN</t>
        </is>
      </c>
      <c r="G516" t="inlineStr">
        <is>
          <t>NORRKÖPING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46262</v>
      </c>
      <c r="F517" t="inlineStr">
        <is>
          <t>ÖSTERGÖTLANDS LÄN</t>
        </is>
      </c>
      <c r="G517" t="inlineStr">
        <is>
          <t>NORRKÖPING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11344-2022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44630</v>
      </c>
      <c r="E518" s="1" t="n">
        <v>46262</v>
      </c>
      <c r="F518" t="inlineStr">
        <is>
          <t>ÖSTERGÖTLANDS LÄN</t>
        </is>
      </c>
      <c r="G518" t="inlineStr">
        <is>
          <t>NORRKÖPING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14031-2023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45008</v>
      </c>
      <c r="E519" s="1" t="n">
        <v>46262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32574-2022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44783</v>
      </c>
      <c r="E520" s="1" t="n">
        <v>46262</v>
      </c>
      <c r="F520" t="inlineStr">
        <is>
          <t>ÖSTERGÖTLANDS LÄN</t>
        </is>
      </c>
      <c r="G520" t="inlineStr">
        <is>
          <t>NORRKÖPING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44977</v>
      </c>
      <c r="E521" s="1" t="n">
        <v>46262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46262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46262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23051-2022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44719</v>
      </c>
      <c r="E524" s="1" t="n">
        <v>46262</v>
      </c>
      <c r="F524" t="inlineStr">
        <is>
          <t>ÖSTERGÖTLANDS LÄN</t>
        </is>
      </c>
      <c r="G524" t="inlineStr">
        <is>
          <t>NORRKÖPING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45012</v>
      </c>
      <c r="E525" s="1" t="n">
        <v>46262</v>
      </c>
      <c r="F525" t="inlineStr">
        <is>
          <t>ÖSTERGÖTLANDS LÄN</t>
        </is>
      </c>
      <c r="G525" t="inlineStr">
        <is>
          <t>NORRKÖPING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46262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45310</v>
      </c>
      <c r="E527" s="1" t="n">
        <v>46262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45706</v>
      </c>
      <c r="E528" s="1" t="n">
        <v>46262</v>
      </c>
      <c r="F528" t="inlineStr">
        <is>
          <t>ÖSTERGÖTLANDS LÄN</t>
        </is>
      </c>
      <c r="G528" t="inlineStr">
        <is>
          <t>NORRKÖPING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18128-2025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46262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16083-2026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46262</v>
      </c>
      <c r="F530" t="inlineStr">
        <is>
          <t>ÖSTERGÖTLANDS LÄN</t>
        </is>
      </c>
      <c r="G530" t="inlineStr">
        <is>
          <t>NORRKÖPING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15722-2026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46262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36571-2023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45153</v>
      </c>
      <c r="E532" s="1" t="n">
        <v>46262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30315-2024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45490</v>
      </c>
      <c r="E533" s="1" t="n">
        <v>46262</v>
      </c>
      <c r="F533" t="inlineStr">
        <is>
          <t>ÖSTERGÖTLANDS LÄN</t>
        </is>
      </c>
      <c r="G533" t="inlineStr">
        <is>
          <t>NORRKÖPING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46262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36887-2022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44805</v>
      </c>
      <c r="E535" s="1" t="n">
        <v>46262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46262</v>
      </c>
      <c r="F536" t="inlineStr">
        <is>
          <t>ÖSTERGÖTLANDS LÄN</t>
        </is>
      </c>
      <c r="G536" t="inlineStr">
        <is>
          <t>NORRKÖPING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59580-2022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44907</v>
      </c>
      <c r="E537" s="1" t="n">
        <v>46262</v>
      </c>
      <c r="F537" t="inlineStr">
        <is>
          <t>ÖSTERGÖTLANDS LÄN</t>
        </is>
      </c>
      <c r="G537" t="inlineStr">
        <is>
          <t>NORRKÖPING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31668-2023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46262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32617-2023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45121</v>
      </c>
      <c r="E539" s="1" t="n">
        <v>46262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12674-2025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45733</v>
      </c>
      <c r="E540" s="1" t="n">
        <v>46262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46262</v>
      </c>
      <c r="F541" t="inlineStr">
        <is>
          <t>ÖSTERGÖTLANDS LÄN</t>
        </is>
      </c>
      <c r="G541" t="inlineStr">
        <is>
          <t>NORRKÖPING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17506-2026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46262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46120</v>
      </c>
      <c r="E543" s="1" t="n">
        <v>46262</v>
      </c>
      <c r="F543" t="inlineStr">
        <is>
          <t>ÖSTERGÖTLANDS LÄN</t>
        </is>
      </c>
      <c r="G543" t="inlineStr">
        <is>
          <t>NORRKÖPING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30834-2022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44767</v>
      </c>
      <c r="E544" s="1" t="n">
        <v>46262</v>
      </c>
      <c r="F544" t="inlineStr">
        <is>
          <t>ÖSTERGÖTLANDS LÄN</t>
        </is>
      </c>
      <c r="G544" t="inlineStr">
        <is>
          <t>NORRKÖPING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46262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46262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46262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47477-2022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44853</v>
      </c>
      <c r="E548" s="1" t="n">
        <v>46262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46262</v>
      </c>
      <c r="F549" t="inlineStr">
        <is>
          <t>ÖSTERGÖTLANDS LÄN</t>
        </is>
      </c>
      <c r="G549" t="inlineStr">
        <is>
          <t>NORRKÖPING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46262</v>
      </c>
      <c r="F550" t="inlineStr">
        <is>
          <t>ÖSTERGÖTLANDS LÄN</t>
        </is>
      </c>
      <c r="G550" t="inlineStr">
        <is>
          <t>NORRKÖPING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46262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46262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Allmännings- och besparingsskogar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46262</v>
      </c>
      <c r="F553" t="inlineStr">
        <is>
          <t>ÖSTERGÖTLANDS LÄN</t>
        </is>
      </c>
      <c r="G553" t="inlineStr">
        <is>
          <t>NORRKÖPING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25981-2023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46262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Allmännings- och besparingsskogar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46262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44936</v>
      </c>
      <c r="E556" s="1" t="n">
        <v>46262</v>
      </c>
      <c r="F556" t="inlineStr">
        <is>
          <t>ÖSTERGÖTLANDS LÄN</t>
        </is>
      </c>
      <c r="G556" t="inlineStr">
        <is>
          <t>NORRKÖPING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51877-2021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44462</v>
      </c>
      <c r="E557" s="1" t="n">
        <v>46262</v>
      </c>
      <c r="F557" t="inlineStr">
        <is>
          <t>ÖSTERGÖTLANDS LÄN</t>
        </is>
      </c>
      <c r="G557" t="inlineStr">
        <is>
          <t>NORRKÖPING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48122-2023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45205</v>
      </c>
      <c r="E558" s="1" t="n">
        <v>46262</v>
      </c>
      <c r="F558" t="inlineStr">
        <is>
          <t>ÖSTERGÖTLANDS LÄN</t>
        </is>
      </c>
      <c r="G558" t="inlineStr">
        <is>
          <t>NORRKÖPING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22319-2024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45446</v>
      </c>
      <c r="E559" s="1" t="n">
        <v>46262</v>
      </c>
      <c r="F559" t="inlineStr">
        <is>
          <t>ÖSTERGÖTLANDS LÄN</t>
        </is>
      </c>
      <c r="G559" t="inlineStr">
        <is>
          <t>NORRKÖPING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45446</v>
      </c>
      <c r="E560" s="1" t="n">
        <v>46262</v>
      </c>
      <c r="F560" t="inlineStr">
        <is>
          <t>ÖSTERGÖTLANDS LÄN</t>
        </is>
      </c>
      <c r="G560" t="inlineStr">
        <is>
          <t>NORRKÖPING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20001-2026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46135</v>
      </c>
      <c r="E561" s="1" t="n">
        <v>46262</v>
      </c>
      <c r="F561" t="inlineStr">
        <is>
          <t>ÖSTERGÖTLANDS LÄN</t>
        </is>
      </c>
      <c r="G561" t="inlineStr">
        <is>
          <t>NORRKÖPING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46262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46262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45092</v>
      </c>
      <c r="E564" s="1" t="n">
        <v>46262</v>
      </c>
      <c r="F564" t="inlineStr">
        <is>
          <t>ÖSTERGÖTLANDS LÄN</t>
        </is>
      </c>
      <c r="G564" t="inlineStr">
        <is>
          <t>NORRKÖPING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46262</v>
      </c>
      <c r="F565" t="inlineStr">
        <is>
          <t>ÖSTERGÖTLANDS LÄN</t>
        </is>
      </c>
      <c r="G565" t="inlineStr">
        <is>
          <t>NORRKÖPING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39863-2025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45891</v>
      </c>
      <c r="E566" s="1" t="n">
        <v>46262</v>
      </c>
      <c r="F566" t="inlineStr">
        <is>
          <t>ÖSTERGÖTLANDS LÄN</t>
        </is>
      </c>
      <c r="G566" t="inlineStr">
        <is>
          <t>NORRKÖPING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16700-2023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45030</v>
      </c>
      <c r="E567" s="1" t="n">
        <v>46262</v>
      </c>
      <c r="F567" t="inlineStr">
        <is>
          <t>ÖSTERGÖTLANDS LÄN</t>
        </is>
      </c>
      <c r="G567" t="inlineStr">
        <is>
          <t>NORRKÖPING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62176-2024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45657</v>
      </c>
      <c r="E568" s="1" t="n">
        <v>46262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15082-2024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45399</v>
      </c>
      <c r="E569" s="1" t="n">
        <v>46262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46262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45159</v>
      </c>
      <c r="E571" s="1" t="n">
        <v>46262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32511-2023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45121</v>
      </c>
      <c r="E572" s="1" t="n">
        <v>46262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45699</v>
      </c>
      <c r="E573" s="1" t="n">
        <v>46262</v>
      </c>
      <c r="F573" t="inlineStr">
        <is>
          <t>ÖSTERGÖTLANDS LÄN</t>
        </is>
      </c>
      <c r="G573" t="inlineStr">
        <is>
          <t>NORRKÖPING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6568-2025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45699</v>
      </c>
      <c r="E574" s="1" t="n">
        <v>46262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20352-2026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46139</v>
      </c>
      <c r="E575" s="1" t="n">
        <v>46262</v>
      </c>
      <c r="F575" t="inlineStr">
        <is>
          <t>ÖSTERGÖTLANDS LÄN</t>
        </is>
      </c>
      <c r="G575" t="inlineStr">
        <is>
          <t>NORRKÖPING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60233-2022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44910</v>
      </c>
      <c r="E576" s="1" t="n">
        <v>46262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45884</v>
      </c>
      <c r="E577" s="1" t="n">
        <v>46262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44928</v>
      </c>
      <c r="E578" s="1" t="n">
        <v>46262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59221-2024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45637</v>
      </c>
      <c r="E579" s="1" t="n">
        <v>46262</v>
      </c>
      <c r="F579" t="inlineStr">
        <is>
          <t>ÖSTERGÖTLANDS LÄN</t>
        </is>
      </c>
      <c r="G579" t="inlineStr">
        <is>
          <t>NORRKÖPING</t>
        </is>
      </c>
      <c r="I579" t="n">
        <v>24.7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31653-2023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45117</v>
      </c>
      <c r="E580" s="1" t="n">
        <v>46262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46205-2025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45924</v>
      </c>
      <c r="E581" s="1" t="n">
        <v>46262</v>
      </c>
      <c r="F581" t="inlineStr">
        <is>
          <t>ÖSTERGÖTLANDS LÄN</t>
        </is>
      </c>
      <c r="G581" t="inlineStr">
        <is>
          <t>NORRKÖPING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45833</v>
      </c>
      <c r="E582" s="1" t="n">
        <v>46262</v>
      </c>
      <c r="F582" t="inlineStr">
        <is>
          <t>ÖSTERGÖTLANDS LÄN</t>
        </is>
      </c>
      <c r="G582" t="inlineStr">
        <is>
          <t>NORRKÖPING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45678</v>
      </c>
      <c r="E583" s="1" t="n">
        <v>46262</v>
      </c>
      <c r="F583" t="inlineStr">
        <is>
          <t>ÖSTERGÖTLANDS LÄN</t>
        </is>
      </c>
      <c r="G583" t="inlineStr">
        <is>
          <t>NORRKÖPING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14901-2023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45014</v>
      </c>
      <c r="E584" s="1" t="n">
        <v>46262</v>
      </c>
      <c r="F584" t="inlineStr">
        <is>
          <t>ÖSTERGÖTLANDS LÄN</t>
        </is>
      </c>
      <c r="G584" t="inlineStr">
        <is>
          <t>NORRKÖPING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45886</v>
      </c>
      <c r="E585" s="1" t="n">
        <v>46262</v>
      </c>
      <c r="F585" t="inlineStr">
        <is>
          <t>ÖSTERGÖTLANDS LÄN</t>
        </is>
      </c>
      <c r="G585" t="inlineStr">
        <is>
          <t>NORRKÖPING</t>
        </is>
      </c>
      <c r="I585" t="n">
        <v>14.3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54851-2025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46262</v>
      </c>
      <c r="F586" t="inlineStr">
        <is>
          <t>ÖSTERGÖTLANDS LÄN</t>
        </is>
      </c>
      <c r="G586" t="inlineStr">
        <is>
          <t>NORRKÖPING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39224-2025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45889</v>
      </c>
      <c r="E587" s="1" t="n">
        <v>46262</v>
      </c>
      <c r="F587" t="inlineStr">
        <is>
          <t>ÖSTERGÖTLANDS LÄN</t>
        </is>
      </c>
      <c r="G587" t="inlineStr">
        <is>
          <t>NORRKÖPING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23941-2025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45796</v>
      </c>
      <c r="E588" s="1" t="n">
        <v>46262</v>
      </c>
      <c r="F588" t="inlineStr">
        <is>
          <t>ÖSTERGÖTLANDS LÄN</t>
        </is>
      </c>
      <c r="G588" t="inlineStr">
        <is>
          <t>NORRKÖPING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62028-2023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45266</v>
      </c>
      <c r="E589" s="1" t="n">
        <v>46262</v>
      </c>
      <c r="F589" t="inlineStr">
        <is>
          <t>ÖSTERGÖTLANDS LÄN</t>
        </is>
      </c>
      <c r="G589" t="inlineStr">
        <is>
          <t>NORRKÖPING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45049</v>
      </c>
      <c r="E590" s="1" t="n">
        <v>46262</v>
      </c>
      <c r="F590" t="inlineStr">
        <is>
          <t>ÖSTERGÖTLANDS LÄN</t>
        </is>
      </c>
      <c r="G590" t="inlineStr">
        <is>
          <t>NORRKÖPING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19260-2023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45049</v>
      </c>
      <c r="E591" s="1" t="n">
        <v>46262</v>
      </c>
      <c r="F591" t="inlineStr">
        <is>
          <t>ÖSTERGÖTLANDS LÄN</t>
        </is>
      </c>
      <c r="G591" t="inlineStr">
        <is>
          <t>NORRKÖPING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62033-2023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45266</v>
      </c>
      <c r="E592" s="1" t="n">
        <v>46262</v>
      </c>
      <c r="F592" t="inlineStr">
        <is>
          <t>ÖSTERGÖTLANDS LÄN</t>
        </is>
      </c>
      <c r="G592" t="inlineStr">
        <is>
          <t>NORRKÖPING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46262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Kyrkan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8220-2023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46262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45520</v>
      </c>
      <c r="E595" s="1" t="n">
        <v>46262</v>
      </c>
      <c r="F595" t="inlineStr">
        <is>
          <t>ÖSTERGÖTLANDS LÄN</t>
        </is>
      </c>
      <c r="G595" t="inlineStr">
        <is>
          <t>NORRKÖPING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44965</v>
      </c>
      <c r="E596" s="1" t="n">
        <v>46262</v>
      </c>
      <c r="F596" t="inlineStr">
        <is>
          <t>ÖSTERGÖTLANDS LÄN</t>
        </is>
      </c>
      <c r="G596" t="inlineStr">
        <is>
          <t>NORRKÖPING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39861-2025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45891</v>
      </c>
      <c r="E597" s="1" t="n">
        <v>46262</v>
      </c>
      <c r="F597" t="inlineStr">
        <is>
          <t>ÖSTERGÖTLANDS LÄN</t>
        </is>
      </c>
      <c r="G597" t="inlineStr">
        <is>
          <t>NORRKÖPING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43322-2022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44834</v>
      </c>
      <c r="E598" s="1" t="n">
        <v>46262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5868-2022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44596</v>
      </c>
      <c r="E599" s="1" t="n">
        <v>46262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46262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19785-2025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46262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45546</v>
      </c>
      <c r="E602" s="1" t="n">
        <v>46262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45867</v>
      </c>
      <c r="E603" s="1" t="n">
        <v>46262</v>
      </c>
      <c r="F603" t="inlineStr">
        <is>
          <t>ÖSTERGÖTLANDS LÄN</t>
        </is>
      </c>
      <c r="G603" t="inlineStr">
        <is>
          <t>NORRKÖPING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32681-2025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46262</v>
      </c>
      <c r="F604" t="inlineStr">
        <is>
          <t>ÖSTERGÖTLANDS LÄN</t>
        </is>
      </c>
      <c r="G604" t="inlineStr">
        <is>
          <t>NORRKÖPING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45178</v>
      </c>
      <c r="E605" s="1" t="n">
        <v>46262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53278-2023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45229</v>
      </c>
      <c r="E606" s="1" t="n">
        <v>46262</v>
      </c>
      <c r="F606" t="inlineStr">
        <is>
          <t>ÖSTERGÖTLANDS LÄN</t>
        </is>
      </c>
      <c r="G606" t="inlineStr">
        <is>
          <t>NORRKÖPING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46262</v>
      </c>
      <c r="F607" t="inlineStr">
        <is>
          <t>ÖSTERGÖTLANDS LÄN</t>
        </is>
      </c>
      <c r="G607" t="inlineStr">
        <is>
          <t>NORRKÖPING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45030</v>
      </c>
      <c r="E608" s="1" t="n">
        <v>46262</v>
      </c>
      <c r="F608" t="inlineStr">
        <is>
          <t>ÖSTERGÖTLANDS LÄN</t>
        </is>
      </c>
      <c r="G608" t="inlineStr">
        <is>
          <t>NORRKÖPING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20340-2026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46262</v>
      </c>
      <c r="F609" t="inlineStr">
        <is>
          <t>ÖSTERGÖTLANDS LÄN</t>
        </is>
      </c>
      <c r="G609" t="inlineStr">
        <is>
          <t>NORRKÖPING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44197-2023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46262</v>
      </c>
      <c r="F610" t="inlineStr">
        <is>
          <t>ÖSTERGÖTLANDS LÄN</t>
        </is>
      </c>
      <c r="G610" t="inlineStr">
        <is>
          <t>NORRKÖPING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62475-2023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45268</v>
      </c>
      <c r="E611" s="1" t="n">
        <v>46262</v>
      </c>
      <c r="F611" t="inlineStr">
        <is>
          <t>ÖSTERGÖTLANDS LÄN</t>
        </is>
      </c>
      <c r="G611" t="inlineStr">
        <is>
          <t>NORRKÖPING</t>
        </is>
      </c>
      <c r="I611" t="n">
        <v>12.5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45550</v>
      </c>
      <c r="E612" s="1" t="n">
        <v>46262</v>
      </c>
      <c r="F612" t="inlineStr">
        <is>
          <t>ÖSTERGÖTLANDS LÄN</t>
        </is>
      </c>
      <c r="G612" t="inlineStr">
        <is>
          <t>NORRKÖPING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45362-2021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44439</v>
      </c>
      <c r="E613" s="1" t="n">
        <v>46262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19853-2023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45053</v>
      </c>
      <c r="E614" s="1" t="n">
        <v>46262</v>
      </c>
      <c r="F614" t="inlineStr">
        <is>
          <t>ÖSTERGÖTLANDS LÄN</t>
        </is>
      </c>
      <c r="G614" t="inlineStr">
        <is>
          <t>NORRKÖPING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49060-2022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44860</v>
      </c>
      <c r="E615" s="1" t="n">
        <v>46262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44597</v>
      </c>
      <c r="E616" s="1" t="n">
        <v>46262</v>
      </c>
      <c r="F616" t="inlineStr">
        <is>
          <t>ÖSTERGÖTLANDS LÄN</t>
        </is>
      </c>
      <c r="G616" t="inlineStr">
        <is>
          <t>NORRKÖPING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14899-2023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46262</v>
      </c>
      <c r="F617" t="inlineStr">
        <is>
          <t>ÖSTERGÖTLANDS LÄN</t>
        </is>
      </c>
      <c r="G617" t="inlineStr">
        <is>
          <t>NORRKÖPING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46262</v>
      </c>
      <c r="F618" t="inlineStr">
        <is>
          <t>ÖSTERGÖTLANDS LÄN</t>
        </is>
      </c>
      <c r="G618" t="inlineStr">
        <is>
          <t>NORRKÖPING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46262</v>
      </c>
      <c r="F619" t="inlineStr">
        <is>
          <t>ÖSTERGÖTLANDS LÄN</t>
        </is>
      </c>
      <c r="G619" t="inlineStr">
        <is>
          <t>NORRKÖPING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49882-2021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44455</v>
      </c>
      <c r="E620" s="1" t="n">
        <v>46262</v>
      </c>
      <c r="F620" t="inlineStr">
        <is>
          <t>ÖSTERGÖTLANDS LÄN</t>
        </is>
      </c>
      <c r="G620" t="inlineStr">
        <is>
          <t>NORRKÖPING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44588</v>
      </c>
      <c r="E621" s="1" t="n">
        <v>46262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59768-2021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44494</v>
      </c>
      <c r="E622" s="1" t="n">
        <v>46262</v>
      </c>
      <c r="F622" t="inlineStr">
        <is>
          <t>ÖSTERGÖTLANDS LÄN</t>
        </is>
      </c>
      <c r="G622" t="inlineStr">
        <is>
          <t>NORRKÖPING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46262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46262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45274</v>
      </c>
      <c r="E625" s="1" t="n">
        <v>46262</v>
      </c>
      <c r="F625" t="inlineStr">
        <is>
          <t>ÖSTERGÖTLANDS LÄN</t>
        </is>
      </c>
      <c r="G625" t="inlineStr">
        <is>
          <t>NORRKÖPING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40816-2024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45558</v>
      </c>
      <c r="E626" s="1" t="n">
        <v>46262</v>
      </c>
      <c r="F626" t="inlineStr">
        <is>
          <t>ÖSTERGÖTLANDS LÄN</t>
        </is>
      </c>
      <c r="G626" t="inlineStr">
        <is>
          <t>NORRKÖPING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48786-2022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44859</v>
      </c>
      <c r="E627" s="1" t="n">
        <v>46262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5938-2024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45336</v>
      </c>
      <c r="E628" s="1" t="n">
        <v>46262</v>
      </c>
      <c r="F628" t="inlineStr">
        <is>
          <t>ÖSTERGÖTLANDS LÄN</t>
        </is>
      </c>
      <c r="G628" t="inlineStr">
        <is>
          <t>NORRKÖPING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3116-2022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44582</v>
      </c>
      <c r="E629" s="1" t="n">
        <v>46262</v>
      </c>
      <c r="F629" t="inlineStr">
        <is>
          <t>ÖSTERGÖTLANDS LÄN</t>
        </is>
      </c>
      <c r="G629" t="inlineStr">
        <is>
          <t>NORRKÖPING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45442</v>
      </c>
      <c r="E630" s="1" t="n">
        <v>46262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43344-2023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45183</v>
      </c>
      <c r="E631" s="1" t="n">
        <v>46262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43346-2023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45183</v>
      </c>
      <c r="E632" s="1" t="n">
        <v>46262</v>
      </c>
      <c r="F632" t="inlineStr">
        <is>
          <t>ÖSTERGÖTLANDS LÄN</t>
        </is>
      </c>
      <c r="G632" t="inlineStr">
        <is>
          <t>NORRKÖPING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18658-2023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45043</v>
      </c>
      <c r="E633" s="1" t="n">
        <v>46262</v>
      </c>
      <c r="F633" t="inlineStr">
        <is>
          <t>ÖSTERGÖTLANDS LÄN</t>
        </is>
      </c>
      <c r="G633" t="inlineStr">
        <is>
          <t>NORRKÖPING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31801-2024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45509</v>
      </c>
      <c r="E634" s="1" t="n">
        <v>46262</v>
      </c>
      <c r="F634" t="inlineStr">
        <is>
          <t>ÖSTERGÖTLANDS LÄN</t>
        </is>
      </c>
      <c r="G634" t="inlineStr">
        <is>
          <t>NORRKÖPING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45145</v>
      </c>
      <c r="E635" s="1" t="n">
        <v>46262</v>
      </c>
      <c r="F635" t="inlineStr">
        <is>
          <t>ÖSTERGÖTLANDS LÄN</t>
        </is>
      </c>
      <c r="G635" t="inlineStr">
        <is>
          <t>NORRKÖPING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50119-2023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45215</v>
      </c>
      <c r="E636" s="1" t="n">
        <v>46262</v>
      </c>
      <c r="F636" t="inlineStr">
        <is>
          <t>ÖSTERGÖTLANDS LÄN</t>
        </is>
      </c>
      <c r="G636" t="inlineStr">
        <is>
          <t>NORRKÖPING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1835-2023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44936</v>
      </c>
      <c r="E637" s="1" t="n">
        <v>46262</v>
      </c>
      <c r="F637" t="inlineStr">
        <is>
          <t>ÖSTERGÖTLANDS LÄN</t>
        </is>
      </c>
      <c r="G637" t="inlineStr">
        <is>
          <t>NORRKÖPING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56331-2022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44890</v>
      </c>
      <c r="E638" s="1" t="n">
        <v>46262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19287-2025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46262</v>
      </c>
      <c r="F639" t="inlineStr">
        <is>
          <t>ÖSTERGÖTLANDS LÄN</t>
        </is>
      </c>
      <c r="G639" t="inlineStr">
        <is>
          <t>NORRKÖPING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46262</v>
      </c>
      <c r="F640" t="inlineStr">
        <is>
          <t>ÖSTERGÖTLANDS LÄN</t>
        </is>
      </c>
      <c r="G640" t="inlineStr">
        <is>
          <t>NORRKÖPING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44956</v>
      </c>
      <c r="E641" s="1" t="n">
        <v>46262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23783-2022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44721</v>
      </c>
      <c r="E642" s="1" t="n">
        <v>46262</v>
      </c>
      <c r="F642" t="inlineStr">
        <is>
          <t>ÖSTERGÖTLANDS LÄN</t>
        </is>
      </c>
      <c r="G642" t="inlineStr">
        <is>
          <t>NORRKÖPING</t>
        </is>
      </c>
      <c r="I642" t="n">
        <v>11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45763</v>
      </c>
      <c r="E643" s="1" t="n">
        <v>46262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9.300000000000001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50678-2023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45217</v>
      </c>
      <c r="E644" s="1" t="n">
        <v>46262</v>
      </c>
      <c r="F644" t="inlineStr">
        <is>
          <t>ÖSTERGÖTLANDS LÄN</t>
        </is>
      </c>
      <c r="G644" t="inlineStr">
        <is>
          <t>NORRKÖPING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45075-2023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45191</v>
      </c>
      <c r="E645" s="1" t="n">
        <v>46262</v>
      </c>
      <c r="F645" t="inlineStr">
        <is>
          <t>ÖSTERGÖTLANDS LÄN</t>
        </is>
      </c>
      <c r="G645" t="inlineStr">
        <is>
          <t>NORRKÖPING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10791-2024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45369</v>
      </c>
      <c r="E646" s="1" t="n">
        <v>46262</v>
      </c>
      <c r="F646" t="inlineStr">
        <is>
          <t>ÖSTERGÖTLANDS LÄN</t>
        </is>
      </c>
      <c r="G646" t="inlineStr">
        <is>
          <t>NORRKÖPING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12814-2025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45733</v>
      </c>
      <c r="E647" s="1" t="n">
        <v>46262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47895-2021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44448</v>
      </c>
      <c r="E648" s="1" t="n">
        <v>46262</v>
      </c>
      <c r="F648" t="inlineStr">
        <is>
          <t>ÖSTERGÖTLANDS LÄN</t>
        </is>
      </c>
      <c r="G648" t="inlineStr">
        <is>
          <t>NORRKÖPING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36258-2022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44803</v>
      </c>
      <c r="E649" s="1" t="n">
        <v>46262</v>
      </c>
      <c r="F649" t="inlineStr">
        <is>
          <t>ÖSTERGÖTLANDS LÄN</t>
        </is>
      </c>
      <c r="G649" t="inlineStr">
        <is>
          <t>NORRKÖPING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46262</v>
      </c>
      <c r="F650" t="inlineStr">
        <is>
          <t>ÖSTERGÖTLANDS LÄN</t>
        </is>
      </c>
      <c r="G650" t="inlineStr">
        <is>
          <t>NORRKÖPING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44860</v>
      </c>
      <c r="E651" s="1" t="n">
        <v>46262</v>
      </c>
      <c r="F651" t="inlineStr">
        <is>
          <t>ÖSTERGÖTLANDS LÄN</t>
        </is>
      </c>
      <c r="G651" t="inlineStr">
        <is>
          <t>NORRKÖPING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19739-2024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45432</v>
      </c>
      <c r="E652" s="1" t="n">
        <v>46262</v>
      </c>
      <c r="F652" t="inlineStr">
        <is>
          <t>ÖSTERGÖTLANDS LÄN</t>
        </is>
      </c>
      <c r="G652" t="inlineStr">
        <is>
          <t>NORRKÖPING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44939</v>
      </c>
      <c r="E653" s="1" t="n">
        <v>46262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Naturvårdsverket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44956</v>
      </c>
      <c r="E654" s="1" t="n">
        <v>46262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12538-2024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45379</v>
      </c>
      <c r="E655" s="1" t="n">
        <v>46262</v>
      </c>
      <c r="F655" t="inlineStr">
        <is>
          <t>ÖSTERGÖTLANDS LÄN</t>
        </is>
      </c>
      <c r="G655" t="inlineStr">
        <is>
          <t>NORRKÖPING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39223-2025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45889</v>
      </c>
      <c r="E656" s="1" t="n">
        <v>46262</v>
      </c>
      <c r="F656" t="inlineStr">
        <is>
          <t>ÖSTERGÖTLANDS LÄN</t>
        </is>
      </c>
      <c r="G656" t="inlineStr">
        <is>
          <t>NORRKÖPING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17138-2022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46262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57380-2024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45629</v>
      </c>
      <c r="E658" s="1" t="n">
        <v>46262</v>
      </c>
      <c r="F658" t="inlineStr">
        <is>
          <t>ÖSTERGÖTLANDS LÄN</t>
        </is>
      </c>
      <c r="G658" t="inlineStr">
        <is>
          <t>NORRKÖPING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45126</v>
      </c>
      <c r="E659" s="1" t="n">
        <v>46262</v>
      </c>
      <c r="F659" t="inlineStr">
        <is>
          <t>ÖSTERGÖTLANDS LÄN</t>
        </is>
      </c>
      <c r="G659" t="inlineStr">
        <is>
          <t>NORRKÖPING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33171-2023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46262</v>
      </c>
      <c r="F660" t="inlineStr">
        <is>
          <t>ÖSTERGÖTLANDS LÄN</t>
        </is>
      </c>
      <c r="G660" t="inlineStr">
        <is>
          <t>NORRKÖPING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7853-2026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46061</v>
      </c>
      <c r="E661" s="1" t="n">
        <v>46262</v>
      </c>
      <c r="F661" t="inlineStr">
        <is>
          <t>ÖSTERGÖTLANDS LÄN</t>
        </is>
      </c>
      <c r="G661" t="inlineStr">
        <is>
          <t>NORRKÖPING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62529-2023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45268</v>
      </c>
      <c r="E662" s="1" t="n">
        <v>46262</v>
      </c>
      <c r="F662" t="inlineStr">
        <is>
          <t>ÖSTERGÖTLANDS LÄN</t>
        </is>
      </c>
      <c r="G662" t="inlineStr">
        <is>
          <t>NORRKÖPING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59586-2022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44907</v>
      </c>
      <c r="E663" s="1" t="n">
        <v>46262</v>
      </c>
      <c r="F663" t="inlineStr">
        <is>
          <t>ÖSTERGÖTLANDS LÄN</t>
        </is>
      </c>
      <c r="G663" t="inlineStr">
        <is>
          <t>NORRKÖPING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31359-2023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46262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31361-2023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45114</v>
      </c>
      <c r="E665" s="1" t="n">
        <v>46262</v>
      </c>
      <c r="F665" t="inlineStr">
        <is>
          <t>ÖSTERGÖTLANDS LÄN</t>
        </is>
      </c>
      <c r="G665" t="inlineStr">
        <is>
          <t>NORRKÖPING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53899-2021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44469</v>
      </c>
      <c r="E666" s="1" t="n">
        <v>46262</v>
      </c>
      <c r="F666" t="inlineStr">
        <is>
          <t>ÖSTERGÖTLANDS LÄN</t>
        </is>
      </c>
      <c r="G666" t="inlineStr">
        <is>
          <t>NORRKÖPING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46262</v>
      </c>
      <c r="F667" t="inlineStr">
        <is>
          <t>ÖSTERGÖTLANDS LÄN</t>
        </is>
      </c>
      <c r="G667" t="inlineStr">
        <is>
          <t>NORRKÖPING</t>
        </is>
      </c>
      <c r="I667" t="n">
        <v>13.9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17503-2022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44679</v>
      </c>
      <c r="E668" s="1" t="n">
        <v>46262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Allmännings- och besparingsskogar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9528-2024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45359</v>
      </c>
      <c r="E669" s="1" t="n">
        <v>46262</v>
      </c>
      <c r="F669" t="inlineStr">
        <is>
          <t>ÖSTERGÖTLANDS LÄN</t>
        </is>
      </c>
      <c r="G669" t="inlineStr">
        <is>
          <t>NORRKÖPING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46262</v>
      </c>
      <c r="F670" t="inlineStr">
        <is>
          <t>ÖSTERGÖTLANDS LÄN</t>
        </is>
      </c>
      <c r="G670" t="inlineStr">
        <is>
          <t>NORRKÖPING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53747-2022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44880</v>
      </c>
      <c r="E671" s="1" t="n">
        <v>46262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46262</v>
      </c>
      <c r="F672" t="inlineStr">
        <is>
          <t>ÖSTERGÖTLANDS LÄN</t>
        </is>
      </c>
      <c r="G672" t="inlineStr">
        <is>
          <t>NORRKÖPING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25690-2026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46178</v>
      </c>
      <c r="E673" s="1" t="n">
        <v>46262</v>
      </c>
      <c r="F673" t="inlineStr">
        <is>
          <t>ÖSTERGÖTLANDS LÄN</t>
        </is>
      </c>
      <c r="G673" t="inlineStr">
        <is>
          <t>NORRKÖPING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25694-2026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46262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25715-2026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46262</v>
      </c>
      <c r="F675" t="inlineStr">
        <is>
          <t>ÖSTERGÖTLANDS LÄN</t>
        </is>
      </c>
      <c r="G675" t="inlineStr">
        <is>
          <t>NORRKÖPING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46262</v>
      </c>
      <c r="F676" t="inlineStr">
        <is>
          <t>ÖSTERGÖTLANDS LÄN</t>
        </is>
      </c>
      <c r="G676" t="inlineStr">
        <is>
          <t>NORRKÖPING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46262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44936</v>
      </c>
      <c r="E678" s="1" t="n">
        <v>46262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46262</v>
      </c>
      <c r="F679" t="inlineStr">
        <is>
          <t>ÖSTERGÖTLANDS LÄN</t>
        </is>
      </c>
      <c r="G679" t="inlineStr">
        <is>
          <t>NORRKÖPING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46178</v>
      </c>
      <c r="E680" s="1" t="n">
        <v>46262</v>
      </c>
      <c r="F680" t="inlineStr">
        <is>
          <t>ÖSTERGÖTLANDS LÄN</t>
        </is>
      </c>
      <c r="G680" t="inlineStr">
        <is>
          <t>NORRKÖPING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46262</v>
      </c>
      <c r="F681" t="inlineStr">
        <is>
          <t>ÖSTERGÖTLANDS LÄN</t>
        </is>
      </c>
      <c r="G681" t="inlineStr">
        <is>
          <t>NORRKÖPING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46262</v>
      </c>
      <c r="F682" t="inlineStr">
        <is>
          <t>ÖSTERGÖTLANDS LÄN</t>
        </is>
      </c>
      <c r="G682" t="inlineStr">
        <is>
          <t>NORRKÖPING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19324-2025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45769</v>
      </c>
      <c r="E683" s="1" t="n">
        <v>46262</v>
      </c>
      <c r="F683" t="inlineStr">
        <is>
          <t>ÖSTERGÖTLANDS LÄN</t>
        </is>
      </c>
      <c r="G683" t="inlineStr">
        <is>
          <t>NORRKÖPING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46262</v>
      </c>
      <c r="F684" t="inlineStr">
        <is>
          <t>ÖSTERGÖTLANDS LÄN</t>
        </is>
      </c>
      <c r="G684" t="inlineStr">
        <is>
          <t>NORRKÖPING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58525-2021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44488</v>
      </c>
      <c r="E685" s="1" t="n">
        <v>46262</v>
      </c>
      <c r="F685" t="inlineStr">
        <is>
          <t>ÖSTERGÖTLANDS LÄN</t>
        </is>
      </c>
      <c r="G685" t="inlineStr">
        <is>
          <t>NORRKÖPING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11612-2023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44994</v>
      </c>
      <c r="E686" s="1" t="n">
        <v>46262</v>
      </c>
      <c r="F686" t="inlineStr">
        <is>
          <t>ÖSTERGÖTLANDS LÄN</t>
        </is>
      </c>
      <c r="G686" t="inlineStr">
        <is>
          <t>NORRKÖPING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16253-2023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45028</v>
      </c>
      <c r="E687" s="1" t="n">
        <v>46262</v>
      </c>
      <c r="F687" t="inlineStr">
        <is>
          <t>ÖSTERGÖTLANDS LÄN</t>
        </is>
      </c>
      <c r="G687" t="inlineStr">
        <is>
          <t>NORRKÖPING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45442</v>
      </c>
      <c r="E688" s="1" t="n">
        <v>46262</v>
      </c>
      <c r="F688" t="inlineStr">
        <is>
          <t>ÖSTERGÖTLANDS LÄN</t>
        </is>
      </c>
      <c r="G688" t="inlineStr">
        <is>
          <t>NORRKÖPING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46225</v>
      </c>
      <c r="E689" s="1" t="n">
        <v>46262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46262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46262</v>
      </c>
      <c r="F691" t="inlineStr">
        <is>
          <t>ÖSTERGÖTLANDS LÄN</t>
        </is>
      </c>
      <c r="G691" t="inlineStr">
        <is>
          <t>NORRKÖPING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31844-2023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45106</v>
      </c>
      <c r="E692" s="1" t="n">
        <v>46262</v>
      </c>
      <c r="F692" t="inlineStr">
        <is>
          <t>ÖSTERGÖTLANDS LÄN</t>
        </is>
      </c>
      <c r="G692" t="inlineStr">
        <is>
          <t>NORRKÖPING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46182</v>
      </c>
      <c r="E693" s="1" t="n">
        <v>46262</v>
      </c>
      <c r="F693" t="inlineStr">
        <is>
          <t>ÖSTERGÖTLANDS LÄN</t>
        </is>
      </c>
      <c r="G693" t="inlineStr">
        <is>
          <t>NORRKÖPING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46182</v>
      </c>
      <c r="E694" s="1" t="n">
        <v>46262</v>
      </c>
      <c r="F694" t="inlineStr">
        <is>
          <t>ÖSTERGÖTLANDS LÄN</t>
        </is>
      </c>
      <c r="G694" t="inlineStr">
        <is>
          <t>NORRKÖPING</t>
        </is>
      </c>
      <c r="I694" t="n">
        <v>6.8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49799-2022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44862</v>
      </c>
      <c r="E695" s="1" t="n">
        <v>46262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18636-2023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46262</v>
      </c>
      <c r="F696" t="inlineStr">
        <is>
          <t>ÖSTERGÖTLANDS LÄN</t>
        </is>
      </c>
      <c r="G696" t="inlineStr">
        <is>
          <t>NORRKÖPING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22479-2026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46262</v>
      </c>
      <c r="F697" t="inlineStr">
        <is>
          <t>ÖSTERGÖTLANDS LÄN</t>
        </is>
      </c>
      <c r="G697" t="inlineStr">
        <is>
          <t>NORRKÖPING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46262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36954-2022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44805</v>
      </c>
      <c r="E699" s="1" t="n">
        <v>46262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46262</v>
      </c>
      <c r="F700" t="inlineStr">
        <is>
          <t>ÖSTERGÖTLANDS LÄN</t>
        </is>
      </c>
      <c r="G700" t="inlineStr">
        <is>
          <t>NORRKÖPING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34393-2023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45132</v>
      </c>
      <c r="E701" s="1" t="n">
        <v>46262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Allmännings- och besparingsskogar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11641-2024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45373</v>
      </c>
      <c r="E702" s="1" t="n">
        <v>46262</v>
      </c>
      <c r="F702" t="inlineStr">
        <is>
          <t>ÖSTERGÖTLANDS LÄN</t>
        </is>
      </c>
      <c r="G702" t="inlineStr">
        <is>
          <t>NORRKÖPING</t>
        </is>
      </c>
      <c r="I702" t="n">
        <v>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11261-2023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44992</v>
      </c>
      <c r="E703" s="1" t="n">
        <v>46262</v>
      </c>
      <c r="F703" t="inlineStr">
        <is>
          <t>ÖSTERGÖTLANDS LÄN</t>
        </is>
      </c>
      <c r="G703" t="inlineStr">
        <is>
          <t>NORRKÖPING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26953-2026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46262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45252</v>
      </c>
      <c r="E705" s="1" t="n">
        <v>46262</v>
      </c>
      <c r="F705" t="inlineStr">
        <is>
          <t>ÖSTERGÖTLANDS LÄN</t>
        </is>
      </c>
      <c r="G705" t="inlineStr">
        <is>
          <t>NORRKÖPING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46231</v>
      </c>
      <c r="E706" s="1" t="n">
        <v>46262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10796-2024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45369</v>
      </c>
      <c r="E707" s="1" t="n">
        <v>46262</v>
      </c>
      <c r="F707" t="inlineStr">
        <is>
          <t>ÖSTERGÖTLANDS LÄN</t>
        </is>
      </c>
      <c r="G707" t="inlineStr">
        <is>
          <t>NORRKÖPING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46262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2287-2025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45673</v>
      </c>
      <c r="E709" s="1" t="n">
        <v>46262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33341-2023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45128</v>
      </c>
      <c r="E710" s="1" t="n">
        <v>46262</v>
      </c>
      <c r="F710" t="inlineStr">
        <is>
          <t>ÖSTERGÖTLANDS LÄN</t>
        </is>
      </c>
      <c r="G710" t="inlineStr">
        <is>
          <t>NORRKÖPING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26999-2026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46262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14441-2025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45741</v>
      </c>
      <c r="E712" s="1" t="n">
        <v>46262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6.9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46233</v>
      </c>
      <c r="E713" s="1" t="n">
        <v>46262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45096</v>
      </c>
      <c r="E714" s="1" t="n">
        <v>46262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Allmännings- och besparingsskogar</t>
        </is>
      </c>
      <c r="I714" t="n">
        <v>12.3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46262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32077-2026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46262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46262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57492-2023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45246</v>
      </c>
      <c r="E718" s="1" t="n">
        <v>46262</v>
      </c>
      <c r="F718" t="inlineStr">
        <is>
          <t>ÖSTERGÖTLANDS LÄN</t>
        </is>
      </c>
      <c r="G718" t="inlineStr">
        <is>
          <t>NORRKÖPING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57496-2023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46262</v>
      </c>
      <c r="F719" t="inlineStr">
        <is>
          <t>ÖSTERGÖTLANDS LÄN</t>
        </is>
      </c>
      <c r="G719" t="inlineStr">
        <is>
          <t>NORRKÖPING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46262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46262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46262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32073-2026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46233</v>
      </c>
      <c r="E723" s="1" t="n">
        <v>46262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46262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41382-2023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45174</v>
      </c>
      <c r="E725" s="1" t="n">
        <v>46262</v>
      </c>
      <c r="F725" t="inlineStr">
        <is>
          <t>ÖSTERGÖTLANDS LÄN</t>
        </is>
      </c>
      <c r="G725" t="inlineStr">
        <is>
          <t>NORRKÖPING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46233</v>
      </c>
      <c r="E726" s="1" t="n">
        <v>46262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32028-2026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46262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24354-2024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45457</v>
      </c>
      <c r="E728" s="1" t="n">
        <v>46262</v>
      </c>
      <c r="F728" t="inlineStr">
        <is>
          <t>ÖSTERGÖTLANDS LÄN</t>
        </is>
      </c>
      <c r="G728" t="inlineStr">
        <is>
          <t>NORRKÖPING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26085-2026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46181</v>
      </c>
      <c r="E729" s="1" t="n">
        <v>46262</v>
      </c>
      <c r="F729" t="inlineStr">
        <is>
          <t>ÖSTERGÖTLANDS LÄN</t>
        </is>
      </c>
      <c r="G729" t="inlineStr">
        <is>
          <t>NORRKÖPING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26407-2023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45092</v>
      </c>
      <c r="E730" s="1" t="n">
        <v>46262</v>
      </c>
      <c r="F730" t="inlineStr">
        <is>
          <t>ÖSTERGÖTLANDS LÄN</t>
        </is>
      </c>
      <c r="G730" t="inlineStr">
        <is>
          <t>NORRKÖPING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59964-2023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45254</v>
      </c>
      <c r="E731" s="1" t="n">
        <v>46262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16594-2023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45027</v>
      </c>
      <c r="E732" s="1" t="n">
        <v>46262</v>
      </c>
      <c r="F732" t="inlineStr">
        <is>
          <t>ÖSTERGÖTLANDS LÄN</t>
        </is>
      </c>
      <c r="G732" t="inlineStr">
        <is>
          <t>NORRKÖPING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45425</v>
      </c>
      <c r="E733" s="1" t="n">
        <v>46262</v>
      </c>
      <c r="F733" t="inlineStr">
        <is>
          <t>ÖSTERGÖTLANDS LÄN</t>
        </is>
      </c>
      <c r="G733" t="inlineStr">
        <is>
          <t>NORRKÖPING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45581</v>
      </c>
      <c r="E734" s="1" t="n">
        <v>46262</v>
      </c>
      <c r="F734" t="inlineStr">
        <is>
          <t>ÖSTERGÖTLANDS LÄN</t>
        </is>
      </c>
      <c r="G734" t="inlineStr">
        <is>
          <t>NORRKÖPING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26977-2023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45091</v>
      </c>
      <c r="E735" s="1" t="n">
        <v>46262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10798-2024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45369</v>
      </c>
      <c r="E736" s="1" t="n">
        <v>46262</v>
      </c>
      <c r="F736" t="inlineStr">
        <is>
          <t>ÖSTERGÖTLANDS LÄN</t>
        </is>
      </c>
      <c r="G736" t="inlineStr">
        <is>
          <t>NORRKÖPING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45043</v>
      </c>
      <c r="E737" s="1" t="n">
        <v>46262</v>
      </c>
      <c r="F737" t="inlineStr">
        <is>
          <t>ÖSTERGÖTLANDS LÄN</t>
        </is>
      </c>
      <c r="G737" t="inlineStr">
        <is>
          <t>NORRKÖPING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21772-2024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45442</v>
      </c>
      <c r="E738" s="1" t="n">
        <v>46262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45008</v>
      </c>
      <c r="E739" s="1" t="n">
        <v>46262</v>
      </c>
      <c r="F739" t="inlineStr">
        <is>
          <t>ÖSTERGÖTLANDS LÄN</t>
        </is>
      </c>
      <c r="G739" t="inlineStr">
        <is>
          <t>NORRKÖPING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28259-2026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46196</v>
      </c>
      <c r="E740" s="1" t="n">
        <v>46262</v>
      </c>
      <c r="F740" t="inlineStr">
        <is>
          <t>ÖSTERGÖTLANDS LÄN</t>
        </is>
      </c>
      <c r="G740" t="inlineStr">
        <is>
          <t>NORRKÖPING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24018-2025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45796</v>
      </c>
      <c r="E741" s="1" t="n">
        <v>46262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8.6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28256-2026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46196</v>
      </c>
      <c r="E742" s="1" t="n">
        <v>46262</v>
      </c>
      <c r="F742" t="inlineStr">
        <is>
          <t>ÖSTERGÖTLANDS LÄN</t>
        </is>
      </c>
      <c r="G742" t="inlineStr">
        <is>
          <t>NORRKÖPING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28271-2026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46262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46262</v>
      </c>
      <c r="F744" t="inlineStr">
        <is>
          <t>ÖSTERGÖTLANDS LÄN</t>
        </is>
      </c>
      <c r="G744" t="inlineStr">
        <is>
          <t>NORRKÖPING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28258-2026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46262</v>
      </c>
      <c r="F745" t="inlineStr">
        <is>
          <t>ÖSTERGÖTLANDS LÄN</t>
        </is>
      </c>
      <c r="G745" t="inlineStr">
        <is>
          <t>NORRKÖPING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6490-2024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45339</v>
      </c>
      <c r="E746" s="1" t="n">
        <v>46262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29285-2026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46197</v>
      </c>
      <c r="E747" s="1" t="n">
        <v>46262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Allmännings- och besparingsskogar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17852-2025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45758</v>
      </c>
      <c r="E748" s="1" t="n">
        <v>46262</v>
      </c>
      <c r="F748" t="inlineStr">
        <is>
          <t>ÖSTERGÖTLANDS LÄN</t>
        </is>
      </c>
      <c r="G748" t="inlineStr">
        <is>
          <t>NORRKÖPING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26834-2023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45093</v>
      </c>
      <c r="E749" s="1" t="n">
        <v>46262</v>
      </c>
      <c r="F749" t="inlineStr">
        <is>
          <t>ÖSTERGÖTLANDS LÄN</t>
        </is>
      </c>
      <c r="G749" t="inlineStr">
        <is>
          <t>NORRKÖPING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46262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44992</v>
      </c>
      <c r="E751" s="1" t="n">
        <v>46262</v>
      </c>
      <c r="F751" t="inlineStr">
        <is>
          <t>ÖSTERGÖTLANDS LÄN</t>
        </is>
      </c>
      <c r="G751" t="inlineStr">
        <is>
          <t>NORRKÖPING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9233-2023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44980</v>
      </c>
      <c r="E752" s="1" t="n">
        <v>46262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28757-2026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46262</v>
      </c>
      <c r="F753" t="inlineStr">
        <is>
          <t>ÖSTERGÖTLANDS LÄN</t>
        </is>
      </c>
      <c r="G753" t="inlineStr">
        <is>
          <t>NORRKÖPING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46262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23349-2024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45453</v>
      </c>
      <c r="E755" s="1" t="n">
        <v>46262</v>
      </c>
      <c r="F755" t="inlineStr">
        <is>
          <t>ÖSTERGÖTLANDS LÄN</t>
        </is>
      </c>
      <c r="G755" t="inlineStr">
        <is>
          <t>NORRKÖPING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59077-2023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45252</v>
      </c>
      <c r="E756" s="1" t="n">
        <v>46262</v>
      </c>
      <c r="F756" t="inlineStr">
        <is>
          <t>ÖSTERGÖTLANDS LÄN</t>
        </is>
      </c>
      <c r="G756" t="inlineStr">
        <is>
          <t>NORRKÖPING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58884-2024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45636</v>
      </c>
      <c r="E757" s="1" t="n">
        <v>46262</v>
      </c>
      <c r="F757" t="inlineStr">
        <is>
          <t>ÖSTERGÖTLANDS LÄN</t>
        </is>
      </c>
      <c r="G757" t="inlineStr">
        <is>
          <t>NORRKÖPING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58901-2024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45636</v>
      </c>
      <c r="E758" s="1" t="n">
        <v>46262</v>
      </c>
      <c r="F758" t="inlineStr">
        <is>
          <t>ÖSTERGÖTLANDS LÄN</t>
        </is>
      </c>
      <c r="G758" t="inlineStr">
        <is>
          <t>NORRKÖPING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44573</v>
      </c>
      <c r="E759" s="1" t="n">
        <v>46262</v>
      </c>
      <c r="F759" t="inlineStr">
        <is>
          <t>ÖSTERGÖTLANDS LÄN</t>
        </is>
      </c>
      <c r="G759" t="inlineStr">
        <is>
          <t>NORRKÖPING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32885-2026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46262</v>
      </c>
      <c r="F760" t="inlineStr">
        <is>
          <t>ÖSTERGÖTLANDS LÄN</t>
        </is>
      </c>
      <c r="G760" t="inlineStr">
        <is>
          <t>NORRKÖPING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32926-2026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46262</v>
      </c>
      <c r="F761" t="inlineStr">
        <is>
          <t>ÖSTERGÖTLANDS LÄN</t>
        </is>
      </c>
      <c r="G761" t="inlineStr">
        <is>
          <t>NORRKÖPING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46241</v>
      </c>
      <c r="E762" s="1" t="n">
        <v>46262</v>
      </c>
      <c r="F762" t="inlineStr">
        <is>
          <t>ÖSTERGÖTLANDS LÄN</t>
        </is>
      </c>
      <c r="G762" t="inlineStr">
        <is>
          <t>NORRKÖPING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32813-2026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46262</v>
      </c>
      <c r="F763" t="inlineStr">
        <is>
          <t>ÖSTERGÖTLANDS LÄN</t>
        </is>
      </c>
      <c r="G763" t="inlineStr">
        <is>
          <t>NORRKÖPING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29180-2026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46202</v>
      </c>
      <c r="E764" s="1" t="n">
        <v>46262</v>
      </c>
      <c r="F764" t="inlineStr">
        <is>
          <t>ÖSTERGÖTLANDS LÄN</t>
        </is>
      </c>
      <c r="G764" t="inlineStr">
        <is>
          <t>NORRKÖPING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46245</v>
      </c>
      <c r="E765" s="1" t="n">
        <v>46262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46262</v>
      </c>
      <c r="F766" t="inlineStr">
        <is>
          <t>ÖSTERGÖTLANDS LÄN</t>
        </is>
      </c>
      <c r="G766" t="inlineStr">
        <is>
          <t>NORRKÖPING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46262</v>
      </c>
      <c r="F767" t="inlineStr">
        <is>
          <t>ÖSTERGÖTLANDS LÄN</t>
        </is>
      </c>
      <c r="G767" t="inlineStr">
        <is>
          <t>NORRKÖPING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32967-2026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46262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46262</v>
      </c>
      <c r="F769" t="inlineStr">
        <is>
          <t>ÖSTERGÖTLANDS LÄN</t>
        </is>
      </c>
      <c r="G769" t="inlineStr">
        <is>
          <t>NORRKÖPING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33013-2026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46262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Allmännings- och besparingsskogar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5116-2024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45330</v>
      </c>
      <c r="E771" s="1" t="n">
        <v>46262</v>
      </c>
      <c r="F771" t="inlineStr">
        <is>
          <t>ÖSTERGÖTLANDS LÄN</t>
        </is>
      </c>
      <c r="G771" t="inlineStr">
        <is>
          <t>NORRKÖPING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46262</v>
      </c>
      <c r="F772" t="inlineStr">
        <is>
          <t>ÖSTERGÖTLANDS LÄN</t>
        </is>
      </c>
      <c r="G772" t="inlineStr">
        <is>
          <t>NORRKÖPING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33124-2026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46245</v>
      </c>
      <c r="E773" s="1" t="n">
        <v>46262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49617-2022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44862</v>
      </c>
      <c r="E774" s="1" t="n">
        <v>46262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33075-2026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46262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28902-2026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46199</v>
      </c>
      <c r="E776" s="1" t="n">
        <v>46262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44573</v>
      </c>
      <c r="E777" s="1" t="n">
        <v>46262</v>
      </c>
      <c r="F777" t="inlineStr">
        <is>
          <t>ÖSTERGÖTLANDS LÄN</t>
        </is>
      </c>
      <c r="G777" t="inlineStr">
        <is>
          <t>NORRKÖPING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30062-2023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45110</v>
      </c>
      <c r="E778" s="1" t="n">
        <v>46262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30485-2026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46262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Allmännings- och besparingsskogar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22470-2022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44713</v>
      </c>
      <c r="E780" s="1" t="n">
        <v>46262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12727-2022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44641</v>
      </c>
      <c r="E781" s="1" t="n">
        <v>46262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29416-2026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46203</v>
      </c>
      <c r="E782" s="1" t="n">
        <v>46262</v>
      </c>
      <c r="F782" t="inlineStr">
        <is>
          <t>ÖSTERGÖTLANDS LÄN</t>
        </is>
      </c>
      <c r="G782" t="inlineStr">
        <is>
          <t>NORRKÖPING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30784-2023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45112</v>
      </c>
      <c r="E783" s="1" t="n">
        <v>46262</v>
      </c>
      <c r="F783" t="inlineStr">
        <is>
          <t>ÖSTERGÖTLANDS LÄN</t>
        </is>
      </c>
      <c r="G783" t="inlineStr">
        <is>
          <t>NORRKÖPING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18686-2023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45043</v>
      </c>
      <c r="E784" s="1" t="n">
        <v>46262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26583-2022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44739</v>
      </c>
      <c r="E785" s="1" t="n">
        <v>46262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46262</v>
      </c>
      <c r="F786" t="inlineStr">
        <is>
          <t>ÖSTERGÖTLANDS LÄN</t>
        </is>
      </c>
      <c r="G786" t="inlineStr">
        <is>
          <t>NORRKÖPING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45317</v>
      </c>
      <c r="E787" s="1" t="n">
        <v>46262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19702-2024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45432</v>
      </c>
      <c r="E788" s="1" t="n">
        <v>46262</v>
      </c>
      <c r="F788" t="inlineStr">
        <is>
          <t>ÖSTERGÖTLANDS LÄN</t>
        </is>
      </c>
      <c r="G788" t="inlineStr">
        <is>
          <t>NORRKÖPING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45715</v>
      </c>
      <c r="E789" s="1" t="n">
        <v>46262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11519-2025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45726</v>
      </c>
      <c r="E790" s="1" t="n">
        <v>46262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11144-2025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45723</v>
      </c>
      <c r="E791" s="1" t="n">
        <v>46262</v>
      </c>
      <c r="F791" t="inlineStr">
        <is>
          <t>ÖSTERGÖTLANDS LÄN</t>
        </is>
      </c>
      <c r="G791" t="inlineStr">
        <is>
          <t>NORRKÖPING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46262</v>
      </c>
      <c r="F792" t="inlineStr">
        <is>
          <t>ÖSTERGÖTLANDS LÄN</t>
        </is>
      </c>
      <c r="G792" t="inlineStr">
        <is>
          <t>NORRKÖPING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46262</v>
      </c>
      <c r="F793" t="inlineStr">
        <is>
          <t>ÖSTERGÖTLANDS LÄN</t>
        </is>
      </c>
      <c r="G793" t="inlineStr">
        <is>
          <t>NORRKÖPING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46262</v>
      </c>
      <c r="F794" t="inlineStr">
        <is>
          <t>ÖSTERGÖTLANDS LÄN</t>
        </is>
      </c>
      <c r="G794" t="inlineStr">
        <is>
          <t>NORRKÖPING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45254</v>
      </c>
      <c r="E795" s="1" t="n">
        <v>46262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BillerudKorsnäs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48091-2023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46262</v>
      </c>
      <c r="F796" t="inlineStr">
        <is>
          <t>ÖSTERGÖTLANDS LÄN</t>
        </is>
      </c>
      <c r="G796" t="inlineStr">
        <is>
          <t>NORRKÖPING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46738-2022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44851</v>
      </c>
      <c r="E797" s="1" t="n">
        <v>46262</v>
      </c>
      <c r="F797" t="inlineStr">
        <is>
          <t>ÖSTERGÖTLANDS LÄN</t>
        </is>
      </c>
      <c r="G797" t="inlineStr">
        <is>
          <t>NORRKÖPING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45129</v>
      </c>
      <c r="E798" s="1" t="n">
        <v>46262</v>
      </c>
      <c r="F798" t="inlineStr">
        <is>
          <t>ÖSTERGÖTLANDS LÄN</t>
        </is>
      </c>
      <c r="G798" t="inlineStr">
        <is>
          <t>NORRKÖPING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28663-2024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46262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4770-2023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44957</v>
      </c>
      <c r="E800" s="1" t="n">
        <v>46262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46213</v>
      </c>
      <c r="E801" s="1" t="n">
        <v>46262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Allmännings- och besparingsskogar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46240</v>
      </c>
      <c r="E802" s="1" t="n">
        <v>46262</v>
      </c>
      <c r="F802" t="inlineStr">
        <is>
          <t>ÖSTERGÖTLANDS LÄN</t>
        </is>
      </c>
      <c r="G802" t="inlineStr">
        <is>
          <t>NORRKÖPING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45403</v>
      </c>
      <c r="E803" s="1" t="n">
        <v>46262</v>
      </c>
      <c r="F803" t="inlineStr">
        <is>
          <t>ÖSTERGÖTLANDS LÄN</t>
        </is>
      </c>
      <c r="G803" t="inlineStr">
        <is>
          <t>NORRKÖPING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45033</v>
      </c>
      <c r="E804" s="1" t="n">
        <v>46262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48758-2024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46262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45037</v>
      </c>
      <c r="E806" s="1" t="n">
        <v>46262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16689-2023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45030</v>
      </c>
      <c r="E807" s="1" t="n">
        <v>46262</v>
      </c>
      <c r="F807" t="inlineStr">
        <is>
          <t>ÖSTERGÖTLANDS LÄN</t>
        </is>
      </c>
      <c r="G807" t="inlineStr">
        <is>
          <t>NORRKÖPING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45048</v>
      </c>
      <c r="E808" s="1" t="n">
        <v>46262</v>
      </c>
      <c r="F808" t="inlineStr">
        <is>
          <t>ÖSTERGÖTLANDS LÄN</t>
        </is>
      </c>
      <c r="G808" t="inlineStr">
        <is>
          <t>NORRKÖPING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45777</v>
      </c>
      <c r="E809" s="1" t="n">
        <v>46262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46043</v>
      </c>
      <c r="E810" s="1" t="n">
        <v>46262</v>
      </c>
      <c r="F810" t="inlineStr">
        <is>
          <t>ÖSTERGÖTLANDS LÄN</t>
        </is>
      </c>
      <c r="G810" t="inlineStr">
        <is>
          <t>NORRKÖPING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30905-2026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46213</v>
      </c>
      <c r="E811" s="1" t="n">
        <v>46262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31078-2026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46216</v>
      </c>
      <c r="E812" s="1" t="n">
        <v>46262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34712-2026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46262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21770-2025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45783</v>
      </c>
      <c r="E814" s="1" t="n">
        <v>46262</v>
      </c>
      <c r="F814" t="inlineStr">
        <is>
          <t>ÖSTERGÖTLANDS LÄN</t>
        </is>
      </c>
      <c r="G814" t="inlineStr">
        <is>
          <t>NORRKÖPING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34815-2026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46262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34787-2026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46258</v>
      </c>
      <c r="E816" s="1" t="n">
        <v>46262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24634-2025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46262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46050</v>
      </c>
      <c r="E818" s="1" t="n">
        <v>46262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30911-2026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46213</v>
      </c>
      <c r="E819" s="1" t="n">
        <v>46262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46262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34809-2026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46258</v>
      </c>
      <c r="E821" s="1" t="n">
        <v>46262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30901-2026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46213</v>
      </c>
      <c r="E822" s="1" t="n">
        <v>46262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46262</v>
      </c>
      <c r="F823" t="inlineStr">
        <is>
          <t>ÖSTERGÖTLANDS LÄN</t>
        </is>
      </c>
      <c r="G823" t="inlineStr">
        <is>
          <t>NORRKÖPING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35200-2026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46260</v>
      </c>
      <c r="E824" s="1" t="n">
        <v>46262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46218</v>
      </c>
      <c r="E825" s="1" t="n">
        <v>46262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31225-2026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46217</v>
      </c>
      <c r="E826" s="1" t="n">
        <v>46262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31268-2026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46218</v>
      </c>
      <c r="E827" s="1" t="n">
        <v>46262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46217</v>
      </c>
      <c r="E828" s="1" t="n">
        <v>46262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35202-2026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46260</v>
      </c>
      <c r="E829" s="1" t="n">
        <v>46262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2289-2020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44130</v>
      </c>
      <c r="E830" s="1" t="n">
        <v>46262</v>
      </c>
      <c r="F830" t="inlineStr">
        <is>
          <t>ÖSTERGÖTLANDS LÄN</t>
        </is>
      </c>
      <c r="G830" t="inlineStr">
        <is>
          <t>NORRKÖPING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1519-2021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44313</v>
      </c>
      <c r="E831" s="1" t="n">
        <v>46262</v>
      </c>
      <c r="F831" t="inlineStr">
        <is>
          <t>ÖSTERGÖTLANDS LÄN</t>
        </is>
      </c>
      <c r="G831" t="inlineStr">
        <is>
          <t>NORRKÖPING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161-2021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44230</v>
      </c>
      <c r="E832" s="1" t="n">
        <v>46262</v>
      </c>
      <c r="F832" t="inlineStr">
        <is>
          <t>ÖSTERGÖTLANDS LÄN</t>
        </is>
      </c>
      <c r="G832" t="inlineStr">
        <is>
          <t>NORRKÖPING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45316</v>
      </c>
      <c r="E833" s="1" t="n">
        <v>46262</v>
      </c>
      <c r="F833" t="inlineStr">
        <is>
          <t>ÖSTERGÖTLANDS LÄN</t>
        </is>
      </c>
      <c r="G833" t="inlineStr">
        <is>
          <t>NORRKÖPING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1484-2022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44638</v>
      </c>
      <c r="E834" s="1" t="n">
        <v>46262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1678-2022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44649</v>
      </c>
      <c r="E835" s="1" t="n">
        <v>46262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11.1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10364-2021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44551</v>
      </c>
      <c r="E836" s="1" t="n">
        <v>46262</v>
      </c>
      <c r="F836" t="inlineStr">
        <is>
          <t>ÖSTERGÖTLANDS LÄN</t>
        </is>
      </c>
      <c r="G836" t="inlineStr">
        <is>
          <t>NORRKÖPING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4973-2024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45629</v>
      </c>
      <c r="E837" s="1" t="n">
        <v>46262</v>
      </c>
      <c r="F837" t="inlineStr">
        <is>
          <t>ÖSTERGÖTLANDS LÄN</t>
        </is>
      </c>
      <c r="G837" t="inlineStr">
        <is>
          <t>NORRKÖPING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4011-2024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45571</v>
      </c>
      <c r="E838" s="1" t="n">
        <v>46262</v>
      </c>
      <c r="F838" t="inlineStr">
        <is>
          <t>ÖSTERGÖTLANDS LÄN</t>
        </is>
      </c>
      <c r="G838" t="inlineStr">
        <is>
          <t>NORRKÖPING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1663-2024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45432</v>
      </c>
      <c r="E839" s="1" t="n">
        <v>46262</v>
      </c>
      <c r="F839" t="inlineStr">
        <is>
          <t>ÖSTERGÖTLANDS LÄN</t>
        </is>
      </c>
      <c r="G839" t="inlineStr">
        <is>
          <t>NORRKÖPING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2481-2022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44692</v>
      </c>
      <c r="E840" s="1" t="n">
        <v>46262</v>
      </c>
      <c r="F840" t="inlineStr">
        <is>
          <t>ÖSTERGÖTLANDS LÄN</t>
        </is>
      </c>
      <c r="G840" t="inlineStr">
        <is>
          <t>NORRKÖPING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4012-2024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46262</v>
      </c>
      <c r="F841" t="inlineStr">
        <is>
          <t>ÖSTERGÖTLANDS LÄN</t>
        </is>
      </c>
      <c r="G841" t="inlineStr">
        <is>
          <t>NORRKÖPING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1486-2025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45789</v>
      </c>
      <c r="E842" s="1" t="n">
        <v>46262</v>
      </c>
      <c r="F842" t="inlineStr">
        <is>
          <t>ÖSTERGÖTLANDS LÄN</t>
        </is>
      </c>
      <c r="G842" t="inlineStr">
        <is>
          <t>NORRKÖPING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1433-2025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45784</v>
      </c>
      <c r="E843" s="1" t="n">
        <v>46262</v>
      </c>
      <c r="F843" t="inlineStr">
        <is>
          <t>ÖSTERGÖTLANDS LÄN</t>
        </is>
      </c>
      <c r="G843" t="inlineStr">
        <is>
          <t>NORRKÖPING</t>
        </is>
      </c>
      <c r="I843" t="n">
        <v>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2026-08-28T01:50:15Z</dcterms:created>
  <dcterms:modified xmlns:dcterms="http://purl.org/dc/terms/" xmlns:xsi="http://www.w3.org/2001/XMLSchema-instance" xsi:type="dcterms:W3CDTF">2026-08-28T01:50:16Z</dcterms:modified>
</cp:coreProperties>
</file>