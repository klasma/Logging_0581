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45844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45844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45844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45844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45844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45844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45844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45844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45844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45844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45844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45844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45844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45844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45844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45844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45844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45844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45844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45844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45844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45844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45844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45844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45844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45844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45844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45844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45844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30910-2025</t>
        </is>
      </c>
      <c r="B31" s="1" t="n">
        <v>45832</v>
      </c>
      <c r="C31" s="1" t="n">
        <v>45844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8.4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Vedskivlav
Blåmossa
Bronshjon
Grönpyrola
Mindre märgborre</t>
        </is>
      </c>
      <c r="S31">
        <f>HYPERLINK("https://klasma.github.io/Logging_050581/artfynd/A 30910-2025 artfynd.xlsx", "A 30910-2025")</f>
        <v/>
      </c>
      <c r="T31">
        <f>HYPERLINK("https://klasma.github.io/Logging_050581/kartor/A 30910-2025 karta.png", "A 30910-2025")</f>
        <v/>
      </c>
      <c r="V31">
        <f>HYPERLINK("https://klasma.github.io/Logging_050581/klagomål/A 30910-2025 FSC-klagomål.docx", "A 30910-2025")</f>
        <v/>
      </c>
      <c r="W31">
        <f>HYPERLINK("https://klasma.github.io/Logging_050581/klagomålsmail/A 30910-2025 FSC-klagomål mail.docx", "A 30910-2025")</f>
        <v/>
      </c>
      <c r="X31">
        <f>HYPERLINK("https://klasma.github.io/Logging_050581/tillsyn/A 30910-2025 tillsynsbegäran.docx", "A 30910-2025")</f>
        <v/>
      </c>
      <c r="Y31">
        <f>HYPERLINK("https://klasma.github.io/Logging_050581/tillsynsmail/A 30910-2025 tillsynsbegäran mail.docx", "A 30910-2025")</f>
        <v/>
      </c>
    </row>
    <row r="32" ht="15" customHeight="1">
      <c r="A32" t="inlineStr">
        <is>
          <t>A 39136-2021</t>
        </is>
      </c>
      <c r="B32" s="1" t="n">
        <v>44412</v>
      </c>
      <c r="C32" s="1" t="n">
        <v>45844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Flagellkvastmossa
Mindre märgborre
Skarp dropptaggsvamp</t>
        </is>
      </c>
      <c r="S32">
        <f>HYPERLINK("https://klasma.github.io/Logging_0581/artfynd/A 39136-2021 artfynd.xlsx", "A 39136-2021")</f>
        <v/>
      </c>
      <c r="T32">
        <f>HYPERLINK("https://klasma.github.io/Logging_0581/kartor/A 39136-2021 karta.png", "A 39136-2021")</f>
        <v/>
      </c>
      <c r="V32">
        <f>HYPERLINK("https://klasma.github.io/Logging_0581/klagomål/A 39136-2021 FSC-klagomål.docx", "A 39136-2021")</f>
        <v/>
      </c>
      <c r="W32">
        <f>HYPERLINK("https://klasma.github.io/Logging_0581/klagomålsmail/A 39136-2021 FSC-klagomål mail.docx", "A 39136-2021")</f>
        <v/>
      </c>
      <c r="X32">
        <f>HYPERLINK("https://klasma.github.io/Logging_0581/tillsyn/A 39136-2021 tillsynsbegäran.docx", "A 39136-2021")</f>
        <v/>
      </c>
      <c r="Y32">
        <f>HYPERLINK("https://klasma.github.io/Logging_0581/tillsynsmail/A 39136-2021 tillsynsbegäran mail.docx", "A 39136-2021")</f>
        <v/>
      </c>
      <c r="Z32">
        <f>HYPERLINK("https://klasma.github.io/Logging_0581/fåglar/A 39136-2021 prioriterade fågelarter.docx", "A 39136-2021")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45844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11955-2024</t>
        </is>
      </c>
      <c r="B34" s="1" t="n">
        <v>45376</v>
      </c>
      <c r="C34" s="1" t="n">
        <v>45844</v>
      </c>
      <c r="D34" t="inlineStr">
        <is>
          <t>ÖSTERGÖTLANDS LÄN</t>
        </is>
      </c>
      <c r="E34" t="inlineStr">
        <is>
          <t>NORRKÖPING</t>
        </is>
      </c>
      <c r="G34" t="n">
        <v>6.6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Platt fjädermossa
Traslav
Blåsippa</t>
        </is>
      </c>
      <c r="S34">
        <f>HYPERLINK("https://klasma.github.io/Logging_0581/artfynd/A 11955-2024 artfynd.xlsx", "A 11955-2024")</f>
        <v/>
      </c>
      <c r="T34">
        <f>HYPERLINK("https://klasma.github.io/Logging_0581/kartor/A 11955-2024 karta.png", "A 11955-2024")</f>
        <v/>
      </c>
      <c r="V34">
        <f>HYPERLINK("https://klasma.github.io/Logging_0581/klagomål/A 11955-2024 FSC-klagomål.docx", "A 11955-2024")</f>
        <v/>
      </c>
      <c r="W34">
        <f>HYPERLINK("https://klasma.github.io/Logging_0581/klagomålsmail/A 11955-2024 FSC-klagomål mail.docx", "A 11955-2024")</f>
        <v/>
      </c>
      <c r="X34">
        <f>HYPERLINK("https://klasma.github.io/Logging_0581/tillsyn/A 11955-2024 tillsynsbegäran.docx", "A 11955-2024")</f>
        <v/>
      </c>
      <c r="Y34">
        <f>HYPERLINK("https://klasma.github.io/Logging_0581/tillsynsmail/A 11955-2024 tillsynsbegäran mail.docx", "A 11955-2024")</f>
        <v/>
      </c>
    </row>
    <row r="35" ht="15" customHeight="1">
      <c r="A35" t="inlineStr">
        <is>
          <t>A 18268-2024</t>
        </is>
      </c>
      <c r="B35" s="1" t="n">
        <v>45421</v>
      </c>
      <c r="C35" s="1" t="n">
        <v>45844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5.1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Gullgröppa
Tjäder
Fläcknycklar</t>
        </is>
      </c>
      <c r="S35">
        <f>HYPERLINK("https://klasma.github.io/Logging_0581/artfynd/A 18268-2024 artfynd.xlsx", "A 18268-2024")</f>
        <v/>
      </c>
      <c r="T35">
        <f>HYPERLINK("https://klasma.github.io/Logging_0581/kartor/A 18268-2024 karta.png", "A 18268-2024")</f>
        <v/>
      </c>
      <c r="V35">
        <f>HYPERLINK("https://klasma.github.io/Logging_0581/klagomål/A 18268-2024 FSC-klagomål.docx", "A 18268-2024")</f>
        <v/>
      </c>
      <c r="W35">
        <f>HYPERLINK("https://klasma.github.io/Logging_0581/klagomålsmail/A 18268-2024 FSC-klagomål mail.docx", "A 18268-2024")</f>
        <v/>
      </c>
      <c r="X35">
        <f>HYPERLINK("https://klasma.github.io/Logging_0581/tillsyn/A 18268-2024 tillsynsbegäran.docx", "A 18268-2024")</f>
        <v/>
      </c>
      <c r="Y35">
        <f>HYPERLINK("https://klasma.github.io/Logging_0581/tillsynsmail/A 18268-2024 tillsynsbegäran mail.docx", "A 18268-2024")</f>
        <v/>
      </c>
      <c r="Z35">
        <f>HYPERLINK("https://klasma.github.io/Logging_0581/fåglar/A 18268-2024 prioriterade fågelarter.docx", "A 18268-2024")</f>
        <v/>
      </c>
    </row>
    <row r="36" ht="15" customHeight="1">
      <c r="A36" t="inlineStr">
        <is>
          <t>A 43283-2024</t>
        </is>
      </c>
      <c r="B36" s="1" t="n">
        <v>45568</v>
      </c>
      <c r="C36" s="1" t="n">
        <v>45844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Motaggsvamp
Vedskivlav
Flagellkvastmossa</t>
        </is>
      </c>
      <c r="S36">
        <f>HYPERLINK("https://klasma.github.io/Logging_0581/artfynd/A 43283-2024 artfynd.xlsx", "A 43283-2024")</f>
        <v/>
      </c>
      <c r="T36">
        <f>HYPERLINK("https://klasma.github.io/Logging_0581/kartor/A 43283-2024 karta.png", "A 43283-2024")</f>
        <v/>
      </c>
      <c r="V36">
        <f>HYPERLINK("https://klasma.github.io/Logging_0581/klagomål/A 43283-2024 FSC-klagomål.docx", "A 43283-2024")</f>
        <v/>
      </c>
      <c r="W36">
        <f>HYPERLINK("https://klasma.github.io/Logging_0581/klagomålsmail/A 43283-2024 FSC-klagomål mail.docx", "A 43283-2024")</f>
        <v/>
      </c>
      <c r="X36">
        <f>HYPERLINK("https://klasma.github.io/Logging_0581/tillsyn/A 43283-2024 tillsynsbegäran.docx", "A 43283-2024")</f>
        <v/>
      </c>
      <c r="Y36">
        <f>HYPERLINK("https://klasma.github.io/Logging_0581/tillsynsmail/A 43283-2024 tillsynsbegäran mail.docx", "A 43283-2024")</f>
        <v/>
      </c>
    </row>
    <row r="37" ht="15" customHeight="1">
      <c r="A37" t="inlineStr">
        <is>
          <t>A 46671-2024</t>
        </is>
      </c>
      <c r="B37" s="1" t="n">
        <v>45583</v>
      </c>
      <c r="C37" s="1" t="n">
        <v>45844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Flagellkvastmossa
Kattfotslav
Vedticka</t>
        </is>
      </c>
      <c r="S37">
        <f>HYPERLINK("https://klasma.github.io/Logging_0581/artfynd/A 46671-2024 artfynd.xlsx", "A 46671-2024")</f>
        <v/>
      </c>
      <c r="T37">
        <f>HYPERLINK("https://klasma.github.io/Logging_0581/kartor/A 46671-2024 karta.png", "A 46671-2024")</f>
        <v/>
      </c>
      <c r="V37">
        <f>HYPERLINK("https://klasma.github.io/Logging_0581/klagomål/A 46671-2024 FSC-klagomål.docx", "A 46671-2024")</f>
        <v/>
      </c>
      <c r="W37">
        <f>HYPERLINK("https://klasma.github.io/Logging_0581/klagomålsmail/A 46671-2024 FSC-klagomål mail.docx", "A 46671-2024")</f>
        <v/>
      </c>
      <c r="X37">
        <f>HYPERLINK("https://klasma.github.io/Logging_0581/tillsyn/A 46671-2024 tillsynsbegäran.docx", "A 46671-2024")</f>
        <v/>
      </c>
      <c r="Y37">
        <f>HYPERLINK("https://klasma.github.io/Logging_0581/tillsynsmail/A 46671-2024 tillsynsbegäran mail.docx", "A 46671-2024")</f>
        <v/>
      </c>
    </row>
    <row r="38" ht="15" customHeight="1">
      <c r="A38" t="inlineStr">
        <is>
          <t>A 11100-2025</t>
        </is>
      </c>
      <c r="B38" s="1" t="n">
        <v>45723</v>
      </c>
      <c r="C38" s="1" t="n">
        <v>45844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</v>
      </c>
      <c r="H38" t="n">
        <v>0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Guldlockmossa
Platt fjädermossa
Trubbfjädermossa</t>
        </is>
      </c>
      <c r="S38">
        <f>HYPERLINK("https://klasma.github.io/Logging_050581/artfynd/A 11100-2025 artfynd.xlsx", "A 11100-2025")</f>
        <v/>
      </c>
      <c r="T38">
        <f>HYPERLINK("https://klasma.github.io/Logging_050581/kartor/A 11100-2025 karta.png", "A 11100-2025")</f>
        <v/>
      </c>
      <c r="V38">
        <f>HYPERLINK("https://klasma.github.io/Logging_050581/klagomål/A 11100-2025 FSC-klagomål.docx", "A 11100-2025")</f>
        <v/>
      </c>
      <c r="W38">
        <f>HYPERLINK("https://klasma.github.io/Logging_050581/klagomålsmail/A 11100-2025 FSC-klagomål mail.docx", "A 11100-2025")</f>
        <v/>
      </c>
      <c r="X38">
        <f>HYPERLINK("https://klasma.github.io/Logging_050581/tillsyn/A 11100-2025 tillsynsbegäran.docx", "A 11100-2025")</f>
        <v/>
      </c>
      <c r="Y38">
        <f>HYPERLINK("https://klasma.github.io/Logging_050581/tillsynsmail/A 11100-2025 tillsynsbegäran mail.docx", "A 11100-2025")</f>
        <v/>
      </c>
    </row>
    <row r="39" ht="15" customHeight="1">
      <c r="A39" t="inlineStr">
        <is>
          <t>A 11085-2025</t>
        </is>
      </c>
      <c r="B39" s="1" t="n">
        <v>45723</v>
      </c>
      <c r="C39" s="1" t="n">
        <v>45844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3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Dropptaggsvamp
Nattskärra
Huggorm</t>
        </is>
      </c>
      <c r="S39">
        <f>HYPERLINK("https://klasma.github.io/Logging_050581/artfynd/A 11085-2025 artfynd.xlsx", "A 11085-2025")</f>
        <v/>
      </c>
      <c r="T39">
        <f>HYPERLINK("https://klasma.github.io/Logging_050581/kartor/A 11085-2025 karta.png", "A 11085-2025")</f>
        <v/>
      </c>
      <c r="U39">
        <f>HYPERLINK("https://klasma.github.io/Logging_050581/knärot/A 11085-2025 karta knärot.png", "A 11085-2025")</f>
        <v/>
      </c>
      <c r="V39">
        <f>HYPERLINK("https://klasma.github.io/Logging_050581/klagomål/A 11085-2025 FSC-klagomål.docx", "A 11085-2025")</f>
        <v/>
      </c>
      <c r="W39">
        <f>HYPERLINK("https://klasma.github.io/Logging_050581/klagomålsmail/A 11085-2025 FSC-klagomål mail.docx", "A 11085-2025")</f>
        <v/>
      </c>
      <c r="X39">
        <f>HYPERLINK("https://klasma.github.io/Logging_050581/tillsyn/A 11085-2025 tillsynsbegäran.docx", "A 11085-2025")</f>
        <v/>
      </c>
      <c r="Y39">
        <f>HYPERLINK("https://klasma.github.io/Logging_050581/tillsynsmail/A 11085-2025 tillsynsbegäran mail.docx", "A 11085-2025")</f>
        <v/>
      </c>
      <c r="Z39">
        <f>HYPERLINK("https://klasma.github.io/Logging_050581/fåglar/A 11085-2025 prioriterade fågelarter.docx", "A 11085-2025")</f>
        <v/>
      </c>
    </row>
    <row r="40" ht="15" customHeight="1">
      <c r="A40" t="inlineStr">
        <is>
          <t>A 12567-2025</t>
        </is>
      </c>
      <c r="B40" s="1" t="n">
        <v>45731</v>
      </c>
      <c r="C40" s="1" t="n">
        <v>45844</v>
      </c>
      <c r="D40" t="inlineStr">
        <is>
          <t>ÖSTERGÖTLANDS LÄN</t>
        </is>
      </c>
      <c r="E40" t="inlineStr">
        <is>
          <t>NORRKÖPING</t>
        </is>
      </c>
      <c r="G40" t="n">
        <v>15.6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Ask
Knärot
Tallticka
Blåmossa</t>
        </is>
      </c>
      <c r="S40">
        <f>HYPERLINK("https://klasma.github.io/Logging_050581/artfynd/A 12567-2025 artfynd.xlsx", "A 12567-2025")</f>
        <v/>
      </c>
      <c r="T40">
        <f>HYPERLINK("https://klasma.github.io/Logging_050581/kartor/A 12567-2025 karta.png", "A 12567-2025")</f>
        <v/>
      </c>
      <c r="U40">
        <f>HYPERLINK("https://klasma.github.io/Logging_050581/knärot/A 12567-2025 karta knärot.png", "A 12567-2025")</f>
        <v/>
      </c>
      <c r="V40">
        <f>HYPERLINK("https://klasma.github.io/Logging_050581/klagomål/A 12567-2025 FSC-klagomål.docx", "A 12567-2025")</f>
        <v/>
      </c>
      <c r="W40">
        <f>HYPERLINK("https://klasma.github.io/Logging_050581/klagomålsmail/A 12567-2025 FSC-klagomål mail.docx", "A 12567-2025")</f>
        <v/>
      </c>
      <c r="X40">
        <f>HYPERLINK("https://klasma.github.io/Logging_050581/tillsyn/A 12567-2025 tillsynsbegäran.docx", "A 12567-2025")</f>
        <v/>
      </c>
      <c r="Y40">
        <f>HYPERLINK("https://klasma.github.io/Logging_050581/tillsynsmail/A 12567-2025 tillsynsbegäran mail.docx", "A 12567-2025")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45844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45844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45844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45844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45844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45844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45844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45844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45844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45844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45844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45844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45844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45844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45844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45844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45844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31468-2025</t>
        </is>
      </c>
      <c r="B58" s="1" t="n">
        <v>45833</v>
      </c>
      <c r="C58" s="1" t="n">
        <v>45844</v>
      </c>
      <c r="D58" t="inlineStr">
        <is>
          <t>ÖSTERGÖTLANDS LÄN</t>
        </is>
      </c>
      <c r="E58" t="inlineStr">
        <is>
          <t>NORRKÖPING</t>
        </is>
      </c>
      <c r="G58" t="n">
        <v>6.3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Talltita
Vedskivlav
Grönpyrola</t>
        </is>
      </c>
      <c r="S58">
        <f>HYPERLINK("https://klasma.github.io/Logging_050581/artfynd/A 31468-2025 artfynd.xlsx", "A 31468-2025")</f>
        <v/>
      </c>
      <c r="T58">
        <f>HYPERLINK("https://klasma.github.io/Logging_050581/kartor/A 31468-2025 karta.png", "A 31468-2025")</f>
        <v/>
      </c>
      <c r="V58">
        <f>HYPERLINK("https://klasma.github.io/Logging_050581/klagomål/A 31468-2025 FSC-klagomål.docx", "A 31468-2025")</f>
        <v/>
      </c>
      <c r="W58">
        <f>HYPERLINK("https://klasma.github.io/Logging_050581/klagomålsmail/A 31468-2025 FSC-klagomål mail.docx", "A 31468-2025")</f>
        <v/>
      </c>
      <c r="X58">
        <f>HYPERLINK("https://klasma.github.io/Logging_050581/tillsyn/A 31468-2025 tillsynsbegäran.docx", "A 31468-2025")</f>
        <v/>
      </c>
      <c r="Y58">
        <f>HYPERLINK("https://klasma.github.io/Logging_050581/tillsynsmail/A 31468-2025 tillsynsbegäran mail.docx", "A 31468-2025")</f>
        <v/>
      </c>
      <c r="Z58">
        <f>HYPERLINK("https://klasma.github.io/Logging_050581/fåglar/A 31468-2025 prioriterade fågelarter.docx", "A 31468-2025")</f>
        <v/>
      </c>
    </row>
    <row r="59" ht="15" customHeight="1">
      <c r="A59" t="inlineStr">
        <is>
          <t>A 40291-2020</t>
        </is>
      </c>
      <c r="B59" s="1" t="n">
        <v>44067</v>
      </c>
      <c r="C59" s="1" t="n">
        <v>45844</v>
      </c>
      <c r="D59" t="inlineStr">
        <is>
          <t>ÖSTERGÖTLANDS LÄN</t>
        </is>
      </c>
      <c r="E59" t="inlineStr">
        <is>
          <t>NORRKÖPING</t>
        </is>
      </c>
      <c r="G59" t="n">
        <v>11.6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Gullgröppa</t>
        </is>
      </c>
      <c r="S59">
        <f>HYPERLINK("https://klasma.github.io/Logging_0581/artfynd/A 40291-2020 artfynd.xlsx", "A 40291-2020")</f>
        <v/>
      </c>
      <c r="T59">
        <f>HYPERLINK("https://klasma.github.io/Logging_0581/kartor/A 40291-2020 karta.png", "A 40291-2020")</f>
        <v/>
      </c>
      <c r="V59">
        <f>HYPERLINK("https://klasma.github.io/Logging_0581/klagomål/A 40291-2020 FSC-klagomål.docx", "A 40291-2020")</f>
        <v/>
      </c>
      <c r="W59">
        <f>HYPERLINK("https://klasma.github.io/Logging_0581/klagomålsmail/A 40291-2020 FSC-klagomål mail.docx", "A 40291-2020")</f>
        <v/>
      </c>
      <c r="X59">
        <f>HYPERLINK("https://klasma.github.io/Logging_0581/tillsyn/A 40291-2020 tillsynsbegäran.docx", "A 40291-2020")</f>
        <v/>
      </c>
      <c r="Y59">
        <f>HYPERLINK("https://klasma.github.io/Logging_0581/tillsynsmail/A 40291-2020 tillsynsbegäran mail.docx", "A 40291-2020")</f>
        <v/>
      </c>
    </row>
    <row r="60" ht="15" customHeight="1">
      <c r="A60" t="inlineStr">
        <is>
          <t>A 49366-2021</t>
        </is>
      </c>
      <c r="B60" s="1" t="n">
        <v>44454</v>
      </c>
      <c r="C60" s="1" t="n">
        <v>45844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Sårläka</t>
        </is>
      </c>
      <c r="S60">
        <f>HYPERLINK("https://klasma.github.io/Logging_0581/artfynd/A 49366-2021 artfynd.xlsx", "A 49366-2021")</f>
        <v/>
      </c>
      <c r="T60">
        <f>HYPERLINK("https://klasma.github.io/Logging_0581/kartor/A 49366-2021 karta.png", "A 49366-2021")</f>
        <v/>
      </c>
      <c r="U60">
        <f>HYPERLINK("https://klasma.github.io/Logging_0581/knärot/A 49366-2021 karta knärot.png", "A 49366-2021")</f>
        <v/>
      </c>
      <c r="V60">
        <f>HYPERLINK("https://klasma.github.io/Logging_0581/klagomål/A 49366-2021 FSC-klagomål.docx", "A 49366-2021")</f>
        <v/>
      </c>
      <c r="W60">
        <f>HYPERLINK("https://klasma.github.io/Logging_0581/klagomålsmail/A 49366-2021 FSC-klagomål mail.docx", "A 49366-2021")</f>
        <v/>
      </c>
      <c r="X60">
        <f>HYPERLINK("https://klasma.github.io/Logging_0581/tillsyn/A 49366-2021 tillsynsbegäran.docx", "A 49366-2021")</f>
        <v/>
      </c>
      <c r="Y60">
        <f>HYPERLINK("https://klasma.github.io/Logging_0581/tillsynsmail/A 49366-2021 tillsynsbegäran mail.docx", "A 49366-2021")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45844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1083-2023</t>
        </is>
      </c>
      <c r="B62" s="1" t="n">
        <v>44935</v>
      </c>
      <c r="C62" s="1" t="n">
        <v>45844</v>
      </c>
      <c r="D62" t="inlineStr">
        <is>
          <t>ÖSTERGÖTLANDS LÄN</t>
        </is>
      </c>
      <c r="E62" t="inlineStr">
        <is>
          <t>NORRKÖPING</t>
        </is>
      </c>
      <c r="G62" t="n">
        <v>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HYPERLINK("https://klasma.github.io/Logging_0581/artfynd/A 1083-2023 artfynd.xlsx", "A 1083-2023")</f>
        <v/>
      </c>
      <c r="T62">
        <f>HYPERLINK("https://klasma.github.io/Logging_0581/kartor/A 1083-2023 karta.png", "A 1083-2023")</f>
        <v/>
      </c>
      <c r="U62">
        <f>HYPERLINK("https://klasma.github.io/Logging_0581/knärot/A 1083-2023 karta knärot.png", "A 1083-2023")</f>
        <v/>
      </c>
      <c r="V62">
        <f>HYPERLINK("https://klasma.github.io/Logging_0581/klagomål/A 1083-2023 FSC-klagomål.docx", "A 1083-2023")</f>
        <v/>
      </c>
      <c r="W62">
        <f>HYPERLINK("https://klasma.github.io/Logging_0581/klagomålsmail/A 1083-2023 FSC-klagomål mail.docx", "A 1083-2023")</f>
        <v/>
      </c>
      <c r="X62">
        <f>HYPERLINK("https://klasma.github.io/Logging_0581/tillsyn/A 1083-2023 tillsynsbegäran.docx", "A 1083-2023")</f>
        <v/>
      </c>
      <c r="Y62">
        <f>HYPERLINK("https://klasma.github.io/Logging_0581/tillsynsmail/A 1083-2023 tillsynsbegäran mail.docx", "A 1083-2023")</f>
        <v/>
      </c>
    </row>
    <row r="63" ht="15" customHeight="1">
      <c r="A63" t="inlineStr">
        <is>
          <t>A 7211-2023</t>
        </is>
      </c>
      <c r="B63" s="1" t="n">
        <v>44970</v>
      </c>
      <c r="C63" s="1" t="n">
        <v>45844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Skogsklocka</t>
        </is>
      </c>
      <c r="S63">
        <f>HYPERLINK("https://klasma.github.io/Logging_0581/artfynd/A 7211-2023 artfynd.xlsx", "A 7211-2023")</f>
        <v/>
      </c>
      <c r="T63">
        <f>HYPERLINK("https://klasma.github.io/Logging_0581/kartor/A 7211-2023 karta.png", "A 7211-2023")</f>
        <v/>
      </c>
      <c r="V63">
        <f>HYPERLINK("https://klasma.github.io/Logging_0581/klagomål/A 7211-2023 FSC-klagomål.docx", "A 7211-2023")</f>
        <v/>
      </c>
      <c r="W63">
        <f>HYPERLINK("https://klasma.github.io/Logging_0581/klagomålsmail/A 7211-2023 FSC-klagomål mail.docx", "A 7211-2023")</f>
        <v/>
      </c>
      <c r="X63">
        <f>HYPERLINK("https://klasma.github.io/Logging_0581/tillsyn/A 7211-2023 tillsynsbegäran.docx", "A 7211-2023")</f>
        <v/>
      </c>
      <c r="Y63">
        <f>HYPERLINK("https://klasma.github.io/Logging_0581/tillsynsmail/A 7211-2023 tillsynsbegäran mail.docx", "A 7211-2023")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45844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38978-2023</t>
        </is>
      </c>
      <c r="B65" s="1" t="n">
        <v>45163</v>
      </c>
      <c r="C65" s="1" t="n">
        <v>45844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8.9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Småflikig brosklav</t>
        </is>
      </c>
      <c r="S65">
        <f>HYPERLINK("https://klasma.github.io/Logging_0581/artfynd/A 38978-2023 artfynd.xlsx", "A 38978-2023")</f>
        <v/>
      </c>
      <c r="T65">
        <f>HYPERLINK("https://klasma.github.io/Logging_0581/kartor/A 38978-2023 karta.png", "A 38978-2023")</f>
        <v/>
      </c>
      <c r="V65">
        <f>HYPERLINK("https://klasma.github.io/Logging_0581/klagomål/A 38978-2023 FSC-klagomål.docx", "A 38978-2023")</f>
        <v/>
      </c>
      <c r="W65">
        <f>HYPERLINK("https://klasma.github.io/Logging_0581/klagomålsmail/A 38978-2023 FSC-klagomål mail.docx", "A 38978-2023")</f>
        <v/>
      </c>
      <c r="X65">
        <f>HYPERLINK("https://klasma.github.io/Logging_0581/tillsyn/A 38978-2023 tillsynsbegäran.docx", "A 38978-2023")</f>
        <v/>
      </c>
      <c r="Y65">
        <f>HYPERLINK("https://klasma.github.io/Logging_0581/tillsynsmail/A 38978-2023 tillsynsbegäran mail.docx", "A 38978-2023")</f>
        <v/>
      </c>
      <c r="Z65">
        <f>HYPERLINK("https://klasma.github.io/Logging_0581/fåglar/A 38978-2023 prioriterade fågelarter.docx", "A 38978-2023")</f>
        <v/>
      </c>
    </row>
    <row r="66" ht="15" customHeight="1">
      <c r="A66" t="inlineStr">
        <is>
          <t>A 38988-2023</t>
        </is>
      </c>
      <c r="B66" s="1" t="n">
        <v>45163</v>
      </c>
      <c r="C66" s="1" t="n">
        <v>45844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Svartvit flugsnappare
Korallrot</t>
        </is>
      </c>
      <c r="S66">
        <f>HYPERLINK("https://klasma.github.io/Logging_0581/artfynd/A 38988-2023 artfynd.xlsx", "A 38988-2023")</f>
        <v/>
      </c>
      <c r="T66">
        <f>HYPERLINK("https://klasma.github.io/Logging_0581/kartor/A 38988-2023 karta.png", "A 38988-2023")</f>
        <v/>
      </c>
      <c r="V66">
        <f>HYPERLINK("https://klasma.github.io/Logging_0581/klagomål/A 38988-2023 FSC-klagomål.docx", "A 38988-2023")</f>
        <v/>
      </c>
      <c r="W66">
        <f>HYPERLINK("https://klasma.github.io/Logging_0581/klagomålsmail/A 38988-2023 FSC-klagomål mail.docx", "A 38988-2023")</f>
        <v/>
      </c>
      <c r="X66">
        <f>HYPERLINK("https://klasma.github.io/Logging_0581/tillsyn/A 38988-2023 tillsynsbegäran.docx", "A 38988-2023")</f>
        <v/>
      </c>
      <c r="Y66">
        <f>HYPERLINK("https://klasma.github.io/Logging_0581/tillsynsmail/A 38988-2023 tillsynsbegäran mail.docx", "A 38988-2023")</f>
        <v/>
      </c>
      <c r="Z66">
        <f>HYPERLINK("https://klasma.github.io/Logging_0581/fåglar/A 38988-2023 prioriterade fågelarter.docx", "A 38988-2023")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45844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60171-2023</t>
        </is>
      </c>
      <c r="B68" s="1" t="n">
        <v>45258</v>
      </c>
      <c r="C68" s="1" t="n">
        <v>45844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Blomkålssvamp</t>
        </is>
      </c>
      <c r="S68">
        <f>HYPERLINK("https://klasma.github.io/Logging_0581/artfynd/A 60171-2023 artfynd.xlsx", "A 60171-2023")</f>
        <v/>
      </c>
      <c r="T68">
        <f>HYPERLINK("https://klasma.github.io/Logging_0581/kartor/A 60171-2023 karta.png", "A 60171-2023")</f>
        <v/>
      </c>
      <c r="V68">
        <f>HYPERLINK("https://klasma.github.io/Logging_0581/klagomål/A 60171-2023 FSC-klagomål.docx", "A 60171-2023")</f>
        <v/>
      </c>
      <c r="W68">
        <f>HYPERLINK("https://klasma.github.io/Logging_0581/klagomålsmail/A 60171-2023 FSC-klagomål mail.docx", "A 60171-2023")</f>
        <v/>
      </c>
      <c r="X68">
        <f>HYPERLINK("https://klasma.github.io/Logging_0581/tillsyn/A 60171-2023 tillsynsbegäran.docx", "A 60171-2023")</f>
        <v/>
      </c>
      <c r="Y68">
        <f>HYPERLINK("https://klasma.github.io/Logging_0581/tillsynsmail/A 60171-2023 tillsynsbegäran mail.docx", "A 60171-2023")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45844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Vedticka
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18209-2024</t>
        </is>
      </c>
      <c r="B70" s="1" t="n">
        <v>45420</v>
      </c>
      <c r="C70" s="1" t="n">
        <v>45844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Granbarkgnagare</t>
        </is>
      </c>
      <c r="S70">
        <f>HYPERLINK("https://klasma.github.io/Logging_0581/artfynd/A 18209-2024 artfynd.xlsx", "A 18209-2024")</f>
        <v/>
      </c>
      <c r="T70">
        <f>HYPERLINK("https://klasma.github.io/Logging_0581/kartor/A 18209-2024 karta.png", "A 18209-2024")</f>
        <v/>
      </c>
      <c r="V70">
        <f>HYPERLINK("https://klasma.github.io/Logging_0581/klagomål/A 18209-2024 FSC-klagomål.docx", "A 18209-2024")</f>
        <v/>
      </c>
      <c r="W70">
        <f>HYPERLINK("https://klasma.github.io/Logging_0581/klagomålsmail/A 18209-2024 FSC-klagomål mail.docx", "A 18209-2024")</f>
        <v/>
      </c>
      <c r="X70">
        <f>HYPERLINK("https://klasma.github.io/Logging_0581/tillsyn/A 18209-2024 tillsynsbegäran.docx", "A 18209-2024")</f>
        <v/>
      </c>
      <c r="Y70">
        <f>HYPERLINK("https://klasma.github.io/Logging_0581/tillsynsmail/A 18209-2024 tillsynsbegäran mail.docx", "A 18209-2024")</f>
        <v/>
      </c>
    </row>
    <row r="71" ht="15" customHeight="1">
      <c r="A71" t="inlineStr">
        <is>
          <t>A 21068-2024</t>
        </is>
      </c>
      <c r="B71" s="1" t="n">
        <v>45439</v>
      </c>
      <c r="C71" s="1" t="n">
        <v>45844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Havsörn
Kungsörn</t>
        </is>
      </c>
      <c r="S71">
        <f>HYPERLINK("https://klasma.github.io/Logging_0581/artfynd/A 21068-2024 artfynd.xlsx", "A 21068-2024")</f>
        <v/>
      </c>
      <c r="T71">
        <f>HYPERLINK("https://klasma.github.io/Logging_0581/kartor/A 21068-2024 karta.png", "A 21068-2024")</f>
        <v/>
      </c>
      <c r="V71">
        <f>HYPERLINK("https://klasma.github.io/Logging_0581/klagomål/A 21068-2024 FSC-klagomål.docx", "A 21068-2024")</f>
        <v/>
      </c>
      <c r="W71">
        <f>HYPERLINK("https://klasma.github.io/Logging_0581/klagomålsmail/A 21068-2024 FSC-klagomål mail.docx", "A 21068-2024")</f>
        <v/>
      </c>
      <c r="X71">
        <f>HYPERLINK("https://klasma.github.io/Logging_0581/tillsyn/A 21068-2024 tillsynsbegäran.docx", "A 21068-2024")</f>
        <v/>
      </c>
      <c r="Y71">
        <f>HYPERLINK("https://klasma.github.io/Logging_0581/tillsynsmail/A 21068-2024 tillsynsbegäran mail.docx", "A 21068-2024")</f>
        <v/>
      </c>
      <c r="Z71">
        <f>HYPERLINK("https://klasma.github.io/Logging_0581/fåglar/A 21068-2024 prioriterade fågelarter.docx", "A 21068-2024")</f>
        <v/>
      </c>
    </row>
    <row r="72" ht="15" customHeight="1">
      <c r="A72" t="inlineStr">
        <is>
          <t>A 43306-2024</t>
        </is>
      </c>
      <c r="B72" s="1" t="n">
        <v>45568</v>
      </c>
      <c r="C72" s="1" t="n">
        <v>45844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Mindre märgborre</t>
        </is>
      </c>
      <c r="S72">
        <f>HYPERLINK("https://klasma.github.io/Logging_0581/artfynd/A 43306-2024 artfynd.xlsx", "A 43306-2024")</f>
        <v/>
      </c>
      <c r="T72">
        <f>HYPERLINK("https://klasma.github.io/Logging_0581/kartor/A 43306-2024 karta.png", "A 43306-2024")</f>
        <v/>
      </c>
      <c r="V72">
        <f>HYPERLINK("https://klasma.github.io/Logging_0581/klagomål/A 43306-2024 FSC-klagomål.docx", "A 43306-2024")</f>
        <v/>
      </c>
      <c r="W72">
        <f>HYPERLINK("https://klasma.github.io/Logging_0581/klagomålsmail/A 43306-2024 FSC-klagomål mail.docx", "A 43306-2024")</f>
        <v/>
      </c>
      <c r="X72">
        <f>HYPERLINK("https://klasma.github.io/Logging_0581/tillsyn/A 43306-2024 tillsynsbegäran.docx", "A 43306-2024")</f>
        <v/>
      </c>
      <c r="Y72">
        <f>HYPERLINK("https://klasma.github.io/Logging_0581/tillsynsmail/A 43306-2024 tillsynsbegäran mail.docx", "A 43306-2024")</f>
        <v/>
      </c>
    </row>
    <row r="73" ht="15" customHeight="1">
      <c r="A73" t="inlineStr">
        <is>
          <t>A 46692-2024</t>
        </is>
      </c>
      <c r="B73" s="1" t="n">
        <v>45583</v>
      </c>
      <c r="C73" s="1" t="n">
        <v>45844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Dvärgbägarlav
Flagellkvastmossa</t>
        </is>
      </c>
      <c r="S73">
        <f>HYPERLINK("https://klasma.github.io/Logging_0581/artfynd/A 46692-2024 artfynd.xlsx", "A 46692-2024")</f>
        <v/>
      </c>
      <c r="T73">
        <f>HYPERLINK("https://klasma.github.io/Logging_0581/kartor/A 46692-2024 karta.png", "A 46692-2024")</f>
        <v/>
      </c>
      <c r="V73">
        <f>HYPERLINK("https://klasma.github.io/Logging_0581/klagomål/A 46692-2024 FSC-klagomål.docx", "A 46692-2024")</f>
        <v/>
      </c>
      <c r="W73">
        <f>HYPERLINK("https://klasma.github.io/Logging_0581/klagomålsmail/A 46692-2024 FSC-klagomål mail.docx", "A 46692-2024")</f>
        <v/>
      </c>
      <c r="X73">
        <f>HYPERLINK("https://klasma.github.io/Logging_0581/tillsyn/A 46692-2024 tillsynsbegäran.docx", "A 46692-2024")</f>
        <v/>
      </c>
      <c r="Y73">
        <f>HYPERLINK("https://klasma.github.io/Logging_0581/tillsynsmail/A 46692-2024 tillsynsbegäran mail.docx", "A 46692-2024")</f>
        <v/>
      </c>
    </row>
    <row r="74" ht="15" customHeight="1">
      <c r="A74" t="inlineStr">
        <is>
          <t>A 50492-2024</t>
        </is>
      </c>
      <c r="B74" s="1" t="n">
        <v>45601</v>
      </c>
      <c r="C74" s="1" t="n">
        <v>45844</v>
      </c>
      <c r="D74" t="inlineStr">
        <is>
          <t>ÖSTERGÖTLANDS LÄN</t>
        </is>
      </c>
      <c r="E74" t="inlineStr">
        <is>
          <t>NORRKÖPING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Blåmossa</t>
        </is>
      </c>
      <c r="S74">
        <f>HYPERLINK("https://klasma.github.io/Logging_0581/artfynd/A 50492-2024 artfynd.xlsx", "A 50492-2024")</f>
        <v/>
      </c>
      <c r="T74">
        <f>HYPERLINK("https://klasma.github.io/Logging_0581/kartor/A 50492-2024 karta.png", "A 50492-2024")</f>
        <v/>
      </c>
      <c r="V74">
        <f>HYPERLINK("https://klasma.github.io/Logging_0581/klagomål/A 50492-2024 FSC-klagomål.docx", "A 50492-2024")</f>
        <v/>
      </c>
      <c r="W74">
        <f>HYPERLINK("https://klasma.github.io/Logging_0581/klagomålsmail/A 50492-2024 FSC-klagomål mail.docx", "A 50492-2024")</f>
        <v/>
      </c>
      <c r="X74">
        <f>HYPERLINK("https://klasma.github.io/Logging_0581/tillsyn/A 50492-2024 tillsynsbegäran.docx", "A 50492-2024")</f>
        <v/>
      </c>
      <c r="Y74">
        <f>HYPERLINK("https://klasma.github.io/Logging_0581/tillsynsmail/A 50492-2024 tillsynsbegäran mail.docx", "A 50492-2024")</f>
        <v/>
      </c>
    </row>
    <row r="75" ht="15" customHeight="1">
      <c r="A75" t="inlineStr">
        <is>
          <t>A 60900-2024</t>
        </is>
      </c>
      <c r="B75" s="1" t="n">
        <v>45645</v>
      </c>
      <c r="C75" s="1" t="n">
        <v>45844</v>
      </c>
      <c r="D75" t="inlineStr">
        <is>
          <t>ÖSTERGÖTLANDS LÄN</t>
        </is>
      </c>
      <c r="E75" t="inlineStr">
        <is>
          <t>NORRKÖPING</t>
        </is>
      </c>
      <c r="G75" t="n">
        <v>1.7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Grönpyrola</t>
        </is>
      </c>
      <c r="S75">
        <f>HYPERLINK("https://klasma.github.io/Logging_0581/artfynd/A 60900-2024 artfynd.xlsx", "A 60900-2024")</f>
        <v/>
      </c>
      <c r="T75">
        <f>HYPERLINK("https://klasma.github.io/Logging_0581/kartor/A 60900-2024 karta.png", "A 60900-2024")</f>
        <v/>
      </c>
      <c r="V75">
        <f>HYPERLINK("https://klasma.github.io/Logging_0581/klagomål/A 60900-2024 FSC-klagomål.docx", "A 60900-2024")</f>
        <v/>
      </c>
      <c r="W75">
        <f>HYPERLINK("https://klasma.github.io/Logging_0581/klagomålsmail/A 60900-2024 FSC-klagomål mail.docx", "A 60900-2024")</f>
        <v/>
      </c>
      <c r="X75">
        <f>HYPERLINK("https://klasma.github.io/Logging_0581/tillsyn/A 60900-2024 tillsynsbegäran.docx", "A 60900-2024")</f>
        <v/>
      </c>
      <c r="Y75">
        <f>HYPERLINK("https://klasma.github.io/Logging_0581/tillsynsmail/A 60900-2024 tillsynsbegäran mail.docx", "A 60900-2024")</f>
        <v/>
      </c>
      <c r="Z75">
        <f>HYPERLINK("https://klasma.github.io/Logging_0581/fåglar/A 60900-2024 prioriterade fågelarter.docx", "A 60900-2024")</f>
        <v/>
      </c>
    </row>
    <row r="76" ht="15" customHeight="1">
      <c r="A76" t="inlineStr">
        <is>
          <t>A 5809-2025</t>
        </is>
      </c>
      <c r="B76" s="1" t="n">
        <v>45694</v>
      </c>
      <c r="C76" s="1" t="n">
        <v>45844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Vanlig padda
Blåsippa</t>
        </is>
      </c>
      <c r="S76">
        <f>HYPERLINK("https://klasma.github.io/Logging_0581/artfynd/A 5809-2025 artfynd.xlsx", "A 5809-2025")</f>
        <v/>
      </c>
      <c r="T76">
        <f>HYPERLINK("https://klasma.github.io/Logging_0581/kartor/A 5809-2025 karta.png", "A 5809-2025")</f>
        <v/>
      </c>
      <c r="V76">
        <f>HYPERLINK("https://klasma.github.io/Logging_0581/klagomål/A 5809-2025 FSC-klagomål.docx", "A 5809-2025")</f>
        <v/>
      </c>
      <c r="W76">
        <f>HYPERLINK("https://klasma.github.io/Logging_0581/klagomålsmail/A 5809-2025 FSC-klagomål mail.docx", "A 5809-2025")</f>
        <v/>
      </c>
      <c r="X76">
        <f>HYPERLINK("https://klasma.github.io/Logging_0581/tillsyn/A 5809-2025 tillsynsbegäran.docx", "A 5809-2025")</f>
        <v/>
      </c>
      <c r="Y76">
        <f>HYPERLINK("https://klasma.github.io/Logging_0581/tillsynsmail/A 5809-2025 tillsynsbegäran mail.docx", "A 5809-2025")</f>
        <v/>
      </c>
    </row>
    <row r="77" ht="15" customHeight="1">
      <c r="A77" t="inlineStr">
        <is>
          <t>A 12297-2025</t>
        </is>
      </c>
      <c r="B77" s="1" t="n">
        <v>45729</v>
      </c>
      <c r="C77" s="1" t="n">
        <v>45844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Tallticka
Vedskivlav</t>
        </is>
      </c>
      <c r="S77">
        <f>HYPERLINK("https://klasma.github.io/Logging_050581/artfynd/A 12297-2025 artfynd.xlsx", "A 12297-2025")</f>
        <v/>
      </c>
      <c r="T77">
        <f>HYPERLINK("https://klasma.github.io/Logging_050581/kartor/A 12297-2025 karta.png", "A 12297-2025")</f>
        <v/>
      </c>
      <c r="V77">
        <f>HYPERLINK("https://klasma.github.io/Logging_050581/klagomål/A 12297-2025 FSC-klagomål.docx", "A 12297-2025")</f>
        <v/>
      </c>
      <c r="W77">
        <f>HYPERLINK("https://klasma.github.io/Logging_050581/klagomålsmail/A 12297-2025 FSC-klagomål mail.docx", "A 12297-2025")</f>
        <v/>
      </c>
      <c r="X77">
        <f>HYPERLINK("https://klasma.github.io/Logging_050581/tillsyn/A 12297-2025 tillsynsbegäran.docx", "A 12297-2025")</f>
        <v/>
      </c>
      <c r="Y77">
        <f>HYPERLINK("https://klasma.github.io/Logging_050581/tillsynsmail/A 12297-2025 tillsynsbegäran mail.docx", "A 12297-2025")</f>
        <v/>
      </c>
    </row>
    <row r="78" ht="15" customHeight="1">
      <c r="A78" t="inlineStr">
        <is>
          <t>A 12692-2025</t>
        </is>
      </c>
      <c r="B78" s="1" t="n">
        <v>45733</v>
      </c>
      <c r="C78" s="1" t="n">
        <v>45844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Mattlummer</t>
        </is>
      </c>
      <c r="S78">
        <f>HYPERLINK("https://klasma.github.io/Logging_050581/artfynd/A 12692-2025 artfynd.xlsx", "A 12692-2025")</f>
        <v/>
      </c>
      <c r="T78">
        <f>HYPERLINK("https://klasma.github.io/Logging_050581/kartor/A 12692-2025 karta.png", "A 12692-2025")</f>
        <v/>
      </c>
      <c r="V78">
        <f>HYPERLINK("https://klasma.github.io/Logging_050581/klagomål/A 12692-2025 FSC-klagomål.docx", "A 12692-2025")</f>
        <v/>
      </c>
      <c r="W78">
        <f>HYPERLINK("https://klasma.github.io/Logging_050581/klagomålsmail/A 12692-2025 FSC-klagomål mail.docx", "A 12692-2025")</f>
        <v/>
      </c>
      <c r="X78">
        <f>HYPERLINK("https://klasma.github.io/Logging_050581/tillsyn/A 12692-2025 tillsynsbegäran.docx", "A 12692-2025")</f>
        <v/>
      </c>
      <c r="Y78">
        <f>HYPERLINK("https://klasma.github.io/Logging_050581/tillsynsmail/A 12692-2025 tillsynsbegäran mail.docx", "A 12692-2025")</f>
        <v/>
      </c>
    </row>
    <row r="79" ht="15" customHeight="1">
      <c r="A79" t="inlineStr">
        <is>
          <t>A 17793-2025</t>
        </is>
      </c>
      <c r="B79" s="1" t="n">
        <v>45758</v>
      </c>
      <c r="C79" s="1" t="n">
        <v>45844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Huggorm</t>
        </is>
      </c>
      <c r="S79">
        <f>HYPERLINK("https://klasma.github.io/Logging_050581/artfynd/A 17793-2025 artfynd.xlsx", "A 17793-2025")</f>
        <v/>
      </c>
      <c r="T79">
        <f>HYPERLINK("https://klasma.github.io/Logging_050581/kartor/A 17793-2025 karta.png", "A 17793-2025")</f>
        <v/>
      </c>
      <c r="V79">
        <f>HYPERLINK("https://klasma.github.io/Logging_050581/klagomål/A 17793-2025 FSC-klagomål.docx", "A 17793-2025")</f>
        <v/>
      </c>
      <c r="W79">
        <f>HYPERLINK("https://klasma.github.io/Logging_050581/klagomålsmail/A 17793-2025 FSC-klagomål mail.docx", "A 17793-2025")</f>
        <v/>
      </c>
      <c r="X79">
        <f>HYPERLINK("https://klasma.github.io/Logging_050581/tillsyn/A 17793-2025 tillsynsbegäran.docx", "A 17793-2025")</f>
        <v/>
      </c>
      <c r="Y79">
        <f>HYPERLINK("https://klasma.github.io/Logging_050581/tillsynsmail/A 17793-2025 tillsynsbegäran mail.docx", "A 17793-2025")</f>
        <v/>
      </c>
    </row>
    <row r="80" ht="15" customHeight="1">
      <c r="A80" t="inlineStr">
        <is>
          <t>A 20224-2025</t>
        </is>
      </c>
      <c r="B80" s="1" t="n">
        <v>45772</v>
      </c>
      <c r="C80" s="1" t="n">
        <v>45844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Vågbandad barkbock</t>
        </is>
      </c>
      <c r="S80">
        <f>HYPERLINK("https://klasma.github.io/Logging_050581/artfynd/A 20224-2025 artfynd.xlsx", "A 20224-2025")</f>
        <v/>
      </c>
      <c r="T80">
        <f>HYPERLINK("https://klasma.github.io/Logging_050581/kartor/A 20224-2025 karta.png", "A 20224-2025")</f>
        <v/>
      </c>
      <c r="V80">
        <f>HYPERLINK("https://klasma.github.io/Logging_050581/klagomål/A 20224-2025 FSC-klagomål.docx", "A 20224-2025")</f>
        <v/>
      </c>
      <c r="W80">
        <f>HYPERLINK("https://klasma.github.io/Logging_050581/klagomålsmail/A 20224-2025 FSC-klagomål mail.docx", "A 20224-2025")</f>
        <v/>
      </c>
      <c r="X80">
        <f>HYPERLINK("https://klasma.github.io/Logging_050581/tillsyn/A 20224-2025 tillsynsbegäran.docx", "A 20224-2025")</f>
        <v/>
      </c>
      <c r="Y80">
        <f>HYPERLINK("https://klasma.github.io/Logging_050581/tillsynsmail/A 20224-2025 tillsynsbegäran mail.docx", "A 20224-2025")</f>
        <v/>
      </c>
    </row>
    <row r="81" ht="15" customHeight="1">
      <c r="A81" t="inlineStr">
        <is>
          <t>A 30871-2025</t>
        </is>
      </c>
      <c r="B81" s="1" t="n">
        <v>45832</v>
      </c>
      <c r="C81" s="1" t="n">
        <v>45844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Blåmossa</t>
        </is>
      </c>
      <c r="S81">
        <f>HYPERLINK("https://klasma.github.io/Logging_050581/artfynd/A 30871-2025 artfynd.xlsx", "A 30871-2025")</f>
        <v/>
      </c>
      <c r="T81">
        <f>HYPERLINK("https://klasma.github.io/Logging_050581/kartor/A 30871-2025 karta.png", "A 30871-2025")</f>
        <v/>
      </c>
      <c r="V81">
        <f>HYPERLINK("https://klasma.github.io/Logging_050581/klagomål/A 30871-2025 FSC-klagomål.docx", "A 30871-2025")</f>
        <v/>
      </c>
      <c r="W81">
        <f>HYPERLINK("https://klasma.github.io/Logging_050581/klagomålsmail/A 30871-2025 FSC-klagomål mail.docx", "A 30871-2025")</f>
        <v/>
      </c>
      <c r="X81">
        <f>HYPERLINK("https://klasma.github.io/Logging_050581/tillsyn/A 30871-2025 tillsynsbegäran.docx", "A 30871-2025")</f>
        <v/>
      </c>
      <c r="Y81">
        <f>HYPERLINK("https://klasma.github.io/Logging_050581/tillsynsmail/A 30871-2025 tillsynsbegäran mail.docx", "A 30871-2025")</f>
        <v/>
      </c>
    </row>
    <row r="82" ht="15" customHeight="1">
      <c r="A82" t="inlineStr">
        <is>
          <t>A 30863-2025</t>
        </is>
      </c>
      <c r="B82" s="1" t="n">
        <v>45832</v>
      </c>
      <c r="C82" s="1" t="n">
        <v>45844</v>
      </c>
      <c r="D82" t="inlineStr">
        <is>
          <t>ÖSTERGÖTLANDS LÄN</t>
        </is>
      </c>
      <c r="E82" t="inlineStr">
        <is>
          <t>NORRKÖPING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Grönpyrola</t>
        </is>
      </c>
      <c r="S82">
        <f>HYPERLINK("https://klasma.github.io/Logging_050581/artfynd/A 30863-2025 artfynd.xlsx", "A 30863-2025")</f>
        <v/>
      </c>
      <c r="T82">
        <f>HYPERLINK("https://klasma.github.io/Logging_050581/kartor/A 30863-2025 karta.png", "A 30863-2025")</f>
        <v/>
      </c>
      <c r="V82">
        <f>HYPERLINK("https://klasma.github.io/Logging_050581/klagomål/A 30863-2025 FSC-klagomål.docx", "A 30863-2025")</f>
        <v/>
      </c>
      <c r="W82">
        <f>HYPERLINK("https://klasma.github.io/Logging_050581/klagomålsmail/A 30863-2025 FSC-klagomål mail.docx", "A 30863-2025")</f>
        <v/>
      </c>
      <c r="X82">
        <f>HYPERLINK("https://klasma.github.io/Logging_050581/tillsyn/A 30863-2025 tillsynsbegäran.docx", "A 30863-2025")</f>
        <v/>
      </c>
      <c r="Y82">
        <f>HYPERLINK("https://klasma.github.io/Logging_050581/tillsynsmail/A 30863-2025 tillsynsbegäran mail.docx", "A 30863-2025")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45844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45844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45844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45844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45844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45844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45844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45844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45844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45844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45844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45844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45844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45844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45844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45844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45844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45844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45844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45844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45844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45844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45844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45844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45844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45844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45844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45844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45844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45844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45844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45844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45844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45844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45844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45844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45844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45844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45844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45844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45844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45844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45844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45844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45844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45844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45844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45844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45844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45844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45844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45844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45844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45844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45844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45844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45844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45844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45844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45844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45844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45844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45844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45844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45844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45844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45844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45844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45844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45844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45844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45844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45844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45844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45844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45844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45844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45844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45844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45844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45844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45844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45844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45844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45844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45844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45844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45844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45844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45844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45844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45844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45844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45844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45844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45844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45844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45844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45844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45844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45844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45844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45844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45844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45844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45844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45844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45844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45844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45844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45844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45844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45844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45844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45844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45844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45844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45844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45844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45844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45844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45844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45844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45844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45844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45844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45844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45844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45844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45844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45844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45844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45844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45844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45844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45844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45844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45844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45844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45844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45844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45844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45844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45844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45844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45844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45844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45844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45844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45844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45844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45844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45844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45844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45844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45844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45844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45844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45844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45844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45844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45844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45844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45844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45844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45844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45844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45844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45844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45844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45844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45844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45844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45844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45844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45844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45844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45844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45844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45844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45844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45844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45844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45844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45844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45844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45844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45844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45844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45844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45844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45844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45844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45844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45844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45844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45844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45844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45844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45844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45844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45844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45844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45844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45844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45844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45844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45844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45844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45844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45844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45844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45844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45844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45844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45844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45844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45844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45844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45844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45844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45844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45844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45844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45844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45844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45844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45844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45844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45844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45844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45844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45844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45844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45844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45844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45844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45844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45844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45844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45844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45844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45844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45844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45844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45844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45844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45844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45844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45844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45844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45844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45844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45844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45844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45844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45844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45844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45844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45844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45844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45844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45844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45844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45844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45844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45844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45844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45844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45844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45844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45844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45844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45844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45844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45844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45844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45844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45844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45844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45844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45844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45844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45844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45844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45844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45844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45844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45844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45844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45844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45844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45844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45844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45844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45844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45844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45844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45844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45844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45844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45844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45844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45844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45844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45844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45844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45844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45844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45844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45844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45844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45844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45844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45844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45844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45844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45844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45844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45844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45844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45844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45844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45844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45844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45844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45844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45844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45844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45844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45844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45844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45844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45844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45844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45844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45844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45844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45844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45844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45844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45844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45844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45844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45844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45844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45844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45844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45844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45844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45844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45844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45844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45844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45844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45844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45844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45844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45844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45844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45844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45844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45844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45844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45844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45844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45844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45844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45844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45844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45844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45844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45844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45844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45844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45844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45844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45844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45844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45844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45844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45844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45844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45844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45844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45844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45844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45844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45844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45844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45844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45844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45844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45844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45844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45844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45844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45844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45844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45844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45844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45844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45844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45844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45844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45844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45844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45844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45844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45844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45844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45844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45844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45844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45844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45844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45844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45844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45844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45844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45844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45844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45844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45844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45844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45844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45844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45844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45844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45844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45844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45844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45844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45844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45844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45844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45844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45844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45844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45844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45844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45844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45844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45844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45844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45844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45844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45844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45844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45844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45844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45844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45844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45844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45844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45844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45844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45844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45844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45844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45844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45844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45844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45844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45844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45844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45844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45844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45844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45844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45844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45844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45844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45844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45844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45844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45844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45844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45844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45844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45844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45844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45844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45844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45844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45844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45844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45844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45844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45844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45844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45844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45844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45844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45844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45844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45844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45844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45844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45844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45844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45844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45844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45844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45844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45844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45844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45844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45844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45844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45844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45844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45844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45844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45844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45844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45844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45844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45844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45844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45844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45844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45844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45844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45844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45844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45844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45844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45844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45844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45844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45844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45844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45844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45844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45844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45844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45844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45844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45844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45844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45844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45844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45844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45844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45844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45844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45844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45844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45844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45844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45844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45844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45844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45844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45844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45844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45844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45844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45844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45844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45844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45844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45844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45844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45844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45844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45844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45844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45844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45844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45844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45844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45844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45844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45844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45844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45844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45844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45844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45844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45844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45844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45844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45844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45844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45844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45844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45844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45844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45844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45844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45844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45844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45844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45844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45844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45844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45844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45844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45844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45844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45844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45844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45844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45844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45844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45844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45844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45844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45844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45844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45844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45844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45844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45844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45844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45844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45844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45844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45844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45844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45844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45844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45844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45844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45844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45844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45844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45844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45844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45844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45844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45844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45844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45844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45844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45844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45844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45844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45844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45844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45844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45844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45844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45844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45844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45844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45844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45844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45844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45844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45844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45844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45844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45844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45844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45844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45844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45844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45844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45844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45844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45844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45844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45844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45844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45844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45844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45844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45844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45844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45844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45844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45844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45844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45844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45844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45844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45844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45844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45844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45844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45844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45844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45844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45844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45844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45844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45844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45844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45844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45844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45844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45844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45844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45844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45844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45844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45844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45844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45844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45844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45844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45844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45844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45844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45844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45844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45844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45844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45844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45844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45844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45844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45844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45844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45844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45844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45844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45844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45844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45844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45844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45844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45844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45844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45844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45844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45844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45844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45844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45844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45844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45844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45844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45844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45844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45844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45844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45844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45844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45844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45844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45844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45844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45844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45844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45844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45844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45844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45844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45844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45844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45844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45844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45844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45844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45844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45844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45844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45844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45844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45844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45844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45844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45844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45844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45844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45844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45844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45844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45844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45844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45844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45844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45844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45844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45844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45844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45844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45844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45844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45844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45844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45844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45844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45844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45844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45844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45844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45844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45844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45844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45844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45844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45844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45844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45844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45844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45844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45844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45844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45844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45844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45844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45844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45844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45844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45844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45844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45844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45844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45844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45844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45844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45844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45844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45844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45844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45844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45844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45844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45844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45844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45844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45844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45844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45844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45844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45844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45844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45844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45844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45844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45844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45844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45844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45844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45844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45844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45844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45844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45844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45844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45844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45844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45844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45844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45844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45844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45844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45844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45844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45844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45844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45844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45844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45844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45844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45844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45844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45844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45844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45844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45844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45844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45844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45844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45844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45844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45844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45844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45844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45844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45844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45844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45844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45844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45844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45844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45844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45844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45844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45844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45844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45844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45844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45844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45844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45844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45844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45844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45844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45844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45844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45844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45844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45844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45844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45844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45844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45844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45844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45844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45844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45844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45844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45844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45844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45844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45844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45844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45844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45844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45844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45844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45844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45844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45844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45844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45844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45844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45844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45844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45844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45844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45844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45844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45844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45844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45844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45844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45844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45844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45844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45844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45844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45844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45844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45844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45844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45844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45844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45844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45844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45844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45844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45844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45844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45844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45844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45844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45844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45844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45844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45844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45844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45844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45844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45844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45844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45844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45844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45844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45844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45844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45844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45844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45844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45844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45844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45844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45844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45844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45844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45844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45844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45844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45844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45844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45844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45844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45844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45844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45844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45844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45844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45844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45844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45844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45844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45844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45844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45844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45844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45844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45844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45844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45844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45844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45844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45844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45844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45844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45844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45844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45844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45844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45844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45844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45844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45844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45844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45844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45844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45844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45844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45844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45844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45844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45844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45844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45844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45844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45844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45844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45844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45844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45844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45844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45844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45844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45844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45844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45844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45844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45844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45844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45844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45844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45844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45844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45844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45844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45844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45844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45844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45844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45844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45844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45844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45844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45844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45844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45844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45844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45844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45844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45844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45844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45844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45844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45844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45844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45844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45844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45844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45844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45844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45844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45844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45844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45844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45844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45844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45844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45844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45844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45844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45844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45844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45844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45844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45844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45844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45844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45844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45844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45844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45844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45844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45844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45844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45844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45844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45844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45844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45844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45844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45844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45844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45844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45844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45844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45844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45844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45844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45844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45844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45844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45844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45844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45844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45844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45844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45844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45844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45844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45844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45844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45844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45844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45844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45844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45844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45844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45844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45844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45844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45844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45844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45844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45844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45844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45844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45844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45844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45844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45844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45844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45844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45844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45844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45844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45844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45844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45844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45844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45844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45844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45844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45844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45844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45844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45844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45844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45844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45844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45844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45844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45844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45844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45844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45844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45844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45844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45844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45844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45844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45844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45844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45844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45844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45844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45844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45844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45844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45844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45844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45844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45844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45844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45844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45844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45844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45844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45844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45844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45844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45844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45844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45844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45844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45844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45844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45844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45844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45844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45844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45844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45844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45844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45844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45844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45844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45844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45844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45844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45844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45844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45844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45844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45844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45844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45844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45844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45844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45844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45844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45844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45844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45844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45844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45844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45844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45844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45844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45844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45844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45844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45844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45844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45844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45844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45844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45844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45844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45844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45844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45844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45844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45844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45844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45844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45844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45844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45844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45844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45844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45844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45844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45844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45844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45844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45844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45844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45844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45844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45844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45844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45844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45844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45844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45844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45844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45844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45844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45844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45844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45844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45844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45844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45844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45844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45844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45844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45844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45844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45844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45844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45844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45844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45844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45844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45844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45844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45844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45844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45844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45844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45844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45844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45844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45844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45844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45844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45844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45844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45844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45844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45844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45844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45844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45844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45844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45844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45844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45844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45844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45844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45844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45844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45844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45844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45844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45844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45844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45844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45844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45844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45844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45844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45844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45844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45844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45844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45844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45844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45844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45844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45844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45844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45844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45844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45844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45844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45844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45844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45844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45844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45844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45844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45844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45844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45844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45844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45844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45844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45844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45844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45844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45844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45844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45844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45844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45844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45844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45844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45844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45844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45844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45844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45844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45844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45844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45844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45844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45844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45844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45844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45844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45844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45844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45844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45844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45844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45844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45844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45844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45844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45844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45844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45844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45844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45844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45844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45844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45844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45844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45844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45844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45844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45844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45844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45844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45844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45844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45844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45844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45844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45844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45844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45844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45844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45844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45844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45844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45844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45844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45844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45844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45844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45844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45844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45844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45844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45844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45844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45844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45844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45844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45844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45844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45844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45844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45844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45844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45844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45844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45844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45844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45844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45844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45844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45844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45844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45844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45844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45844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45844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45844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45844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45844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45844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45844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45844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45844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45844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45844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45844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45844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45844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45844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45844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45844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45844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45844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45844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45844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45844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45844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45844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45844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45844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45844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45844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45844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45844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45844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45844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45844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45844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45844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45844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45844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45844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45844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45844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45844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45844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45844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45844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45844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45844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45844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45844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45844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45844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45844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45844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45844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45844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45844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45844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45844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45844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45844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45844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45844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45844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45844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45844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45844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45844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45844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45844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45844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45844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45844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45844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45844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45844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45844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45844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45844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45844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45844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45844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45844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45844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45844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45844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45844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45844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45844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45844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45844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45844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45844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45844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45844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45844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45844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45844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45844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45844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45844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45844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45844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45844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45844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45844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45844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45844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45844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45844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45844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45844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45844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45844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45844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45844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45844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45844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45844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45844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45844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45844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45844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45844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45844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45844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45844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45844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45844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45844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45844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45844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27857-2025</t>
        </is>
      </c>
      <c r="B1652" s="1" t="n">
        <v>45817</v>
      </c>
      <c r="C1652" s="1" t="n">
        <v>45844</v>
      </c>
      <c r="D1652" t="inlineStr">
        <is>
          <t>ÖSTERGÖTLANDS LÄN</t>
        </is>
      </c>
      <c r="E1652" t="inlineStr">
        <is>
          <t>NORRKÖPING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27865-2025</t>
        </is>
      </c>
      <c r="B1653" s="1" t="n">
        <v>45817</v>
      </c>
      <c r="C1653" s="1" t="n">
        <v>45844</v>
      </c>
      <c r="D1653" t="inlineStr">
        <is>
          <t>ÖSTERGÖTLANDS LÄN</t>
        </is>
      </c>
      <c r="E1653" t="inlineStr">
        <is>
          <t>NORRKÖPING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27912-2025</t>
        </is>
      </c>
      <c r="B1654" s="1" t="n">
        <v>45817</v>
      </c>
      <c r="C1654" s="1" t="n">
        <v>45844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28039-2025</t>
        </is>
      </c>
      <c r="B1655" s="1" t="n">
        <v>45817</v>
      </c>
      <c r="C1655" s="1" t="n">
        <v>45844</v>
      </c>
      <c r="D1655" t="inlineStr">
        <is>
          <t>ÖSTERGÖTLANDS LÄN</t>
        </is>
      </c>
      <c r="E1655" t="inlineStr">
        <is>
          <t>NORRKÖPING</t>
        </is>
      </c>
      <c r="F1655" t="inlineStr">
        <is>
          <t>Holmen skog AB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45844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28514-2025</t>
        </is>
      </c>
      <c r="B1657" s="1" t="n">
        <v>45817</v>
      </c>
      <c r="C1657" s="1" t="n">
        <v>45844</v>
      </c>
      <c r="D1657" t="inlineStr">
        <is>
          <t>ÖSTERGÖTLANDS LÄN</t>
        </is>
      </c>
      <c r="E1657" t="inlineStr">
        <is>
          <t>NORRKÖPING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28497-2025</t>
        </is>
      </c>
      <c r="B1658" s="1" t="n">
        <v>45817</v>
      </c>
      <c r="C1658" s="1" t="n">
        <v>45844</v>
      </c>
      <c r="D1658" t="inlineStr">
        <is>
          <t>ÖSTERGÖTLANDS LÄN</t>
        </is>
      </c>
      <c r="E1658" t="inlineStr">
        <is>
          <t>NORRKÖPING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45844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45844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29298-2025</t>
        </is>
      </c>
      <c r="B1661" s="1" t="n">
        <v>45824</v>
      </c>
      <c r="C1661" s="1" t="n">
        <v>45844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29216-2025</t>
        </is>
      </c>
      <c r="B1662" s="1" t="n">
        <v>45824</v>
      </c>
      <c r="C1662" s="1" t="n">
        <v>45844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29220-2025</t>
        </is>
      </c>
      <c r="B1663" s="1" t="n">
        <v>45824</v>
      </c>
      <c r="C1663" s="1" t="n">
        <v>45844</v>
      </c>
      <c r="D1663" t="inlineStr">
        <is>
          <t>ÖSTERGÖTLANDS LÄN</t>
        </is>
      </c>
      <c r="E1663" t="inlineStr">
        <is>
          <t>NORRKÖPING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33126-2025</t>
        </is>
      </c>
      <c r="B1664" s="1" t="n">
        <v>45832</v>
      </c>
      <c r="C1664" s="1" t="n">
        <v>45844</v>
      </c>
      <c r="D1664" t="inlineStr">
        <is>
          <t>ÖSTERGÖTLANDS LÄN</t>
        </is>
      </c>
      <c r="E1664" t="inlineStr">
        <is>
          <t>NORRKÖPING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33138-2025</t>
        </is>
      </c>
      <c r="B1665" s="1" t="n">
        <v>45832</v>
      </c>
      <c r="C1665" s="1" t="n">
        <v>45844</v>
      </c>
      <c r="D1665" t="inlineStr">
        <is>
          <t>ÖSTERGÖTLANDS LÄN</t>
        </is>
      </c>
      <c r="E1665" t="inlineStr">
        <is>
          <t>NORRKÖPING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33131-2025</t>
        </is>
      </c>
      <c r="B1666" s="1" t="n">
        <v>45832</v>
      </c>
      <c r="C1666" s="1" t="n">
        <v>45844</v>
      </c>
      <c r="D1666" t="inlineStr">
        <is>
          <t>ÖSTERGÖTLANDS LÄN</t>
        </is>
      </c>
      <c r="E1666" t="inlineStr">
        <is>
          <t>NORRKÖPING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31320-2025</t>
        </is>
      </c>
      <c r="B1667" s="1" t="n">
        <v>45833</v>
      </c>
      <c r="C1667" s="1" t="n">
        <v>45844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31564-2025</t>
        </is>
      </c>
      <c r="B1668" s="1" t="n">
        <v>45833</v>
      </c>
      <c r="C1668" s="1" t="n">
        <v>45844</v>
      </c>
      <c r="D1668" t="inlineStr">
        <is>
          <t>ÖSTERGÖTLANDS LÄN</t>
        </is>
      </c>
      <c r="E1668" t="inlineStr">
        <is>
          <t>NORRKÖPING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31364-2025</t>
        </is>
      </c>
      <c r="B1669" s="1" t="n">
        <v>45833</v>
      </c>
      <c r="C1669" s="1" t="n">
        <v>45844</v>
      </c>
      <c r="D1669" t="inlineStr">
        <is>
          <t>ÖSTERGÖTLANDS LÄN</t>
        </is>
      </c>
      <c r="E1669" t="inlineStr">
        <is>
          <t>NORRKÖPING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45844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33247-2025</t>
        </is>
      </c>
      <c r="B1671" s="1" t="n">
        <v>45840</v>
      </c>
      <c r="C1671" s="1" t="n">
        <v>45844</v>
      </c>
      <c r="D1671" t="inlineStr">
        <is>
          <t>ÖSTERGÖTLANDS LÄN</t>
        </is>
      </c>
      <c r="E1671" t="inlineStr">
        <is>
          <t>NORRKÖPING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33256-2025</t>
        </is>
      </c>
      <c r="B1672" s="1" t="n">
        <v>45840</v>
      </c>
      <c r="C1672" s="1" t="n">
        <v>45844</v>
      </c>
      <c r="D1672" t="inlineStr">
        <is>
          <t>ÖSTERGÖTLANDS LÄN</t>
        </is>
      </c>
      <c r="E1672" t="inlineStr">
        <is>
          <t>NORRKÖPING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33246-2025</t>
        </is>
      </c>
      <c r="B1673" s="1" t="n">
        <v>45840</v>
      </c>
      <c r="C1673" s="1" t="n">
        <v>45844</v>
      </c>
      <c r="D1673" t="inlineStr">
        <is>
          <t>ÖSTERGÖTLANDS LÄN</t>
        </is>
      </c>
      <c r="E1673" t="inlineStr">
        <is>
          <t>NORRKÖPING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33250-2025</t>
        </is>
      </c>
      <c r="B1674" s="1" t="n">
        <v>45840</v>
      </c>
      <c r="C1674" s="1" t="n">
        <v>45844</v>
      </c>
      <c r="D1674" t="inlineStr">
        <is>
          <t>ÖSTERGÖTLANDS LÄN</t>
        </is>
      </c>
      <c r="E1674" t="inlineStr">
        <is>
          <t>NORRKÖPING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>
      <c r="A1675" t="inlineStr">
        <is>
          <t>A 33255-2025</t>
        </is>
      </c>
      <c r="B1675" s="1" t="n">
        <v>45840</v>
      </c>
      <c r="C1675" s="1" t="n">
        <v>45844</v>
      </c>
      <c r="D1675" t="inlineStr">
        <is>
          <t>ÖSTERGÖTLANDS LÄN</t>
        </is>
      </c>
      <c r="E1675" t="inlineStr">
        <is>
          <t>NORRKÖPING</t>
        </is>
      </c>
      <c r="G1675" t="n">
        <v>20.3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2025-07-06T19:34:58Z</dcterms:created>
  <dcterms:modified xmlns:dcterms="http://purl.org/dc/terms/" xmlns:xsi="http://www.w3.org/2001/XMLSchema-instance" xsi:type="dcterms:W3CDTF">2025-07-06T19:34:59Z</dcterms:modified>
</cp:coreProperties>
</file>