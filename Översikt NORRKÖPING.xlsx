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45755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45755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45755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45755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45755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45755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45755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45755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45755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45755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45755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45755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45755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45755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45755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19825-2021</t>
        </is>
      </c>
      <c r="B82" s="1" t="n">
        <v>44313</v>
      </c>
      <c r="C82" s="1" t="n">
        <v>45755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HYPERLINK("https://klasma.github.io/Logging_0581/artfynd/A 19825-2021 artfynd.xlsx", "A 19825-2021")</f>
        <v/>
      </c>
      <c r="T82">
        <f>HYPERLINK("https://klasma.github.io/Logging_0581/kartor/A 19825-2021 karta.png", "A 19825-2021")</f>
        <v/>
      </c>
      <c r="V82">
        <f>HYPERLINK("https://klasma.github.io/Logging_0581/klagomål/A 19825-2021 FSC-klagomål.docx", "A 19825-2021")</f>
        <v/>
      </c>
      <c r="W82">
        <f>HYPERLINK("https://klasma.github.io/Logging_0581/klagomålsmail/A 19825-2021 FSC-klagomål mail.docx", "A 19825-2021")</f>
        <v/>
      </c>
      <c r="X82">
        <f>HYPERLINK("https://klasma.github.io/Logging_0581/tillsyn/A 19825-2021 tillsynsbegäran.docx", "A 19825-2021")</f>
        <v/>
      </c>
      <c r="Y82">
        <f>HYPERLINK("https://klasma.github.io/Logging_0581/tillsynsmail/A 19825-2021 tillsynsbegäran mail.docx", "A 19825-2021")</f>
        <v/>
      </c>
    </row>
    <row r="83" ht="15" customHeight="1">
      <c r="A83" t="inlineStr">
        <is>
          <t>A 25392-2021</t>
        </is>
      </c>
      <c r="B83" s="1" t="n">
        <v>44342</v>
      </c>
      <c r="C83" s="1" t="n">
        <v>45755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4.9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25392-2021 artfynd.xlsx", "A 25392-2021")</f>
        <v/>
      </c>
      <c r="T83">
        <f>HYPERLINK("https://klasma.github.io/Logging_0581/kartor/A 25392-2021 karta.png", "A 25392-2021")</f>
        <v/>
      </c>
      <c r="V83">
        <f>HYPERLINK("https://klasma.github.io/Logging_0581/klagomål/A 25392-2021 FSC-klagomål.docx", "A 25392-2021")</f>
        <v/>
      </c>
      <c r="W83">
        <f>HYPERLINK("https://klasma.github.io/Logging_0581/klagomålsmail/A 25392-2021 FSC-klagomål mail.docx", "A 25392-2021")</f>
        <v/>
      </c>
      <c r="X83">
        <f>HYPERLINK("https://klasma.github.io/Logging_0581/tillsyn/A 25392-2021 tillsynsbegäran.docx", "A 25392-2021")</f>
        <v/>
      </c>
      <c r="Y83">
        <f>HYPERLINK("https://klasma.github.io/Logging_0581/tillsynsmail/A 25392-2021 tillsynsbegäran mail.docx", "A 25392-2021")</f>
        <v/>
      </c>
      <c r="Z83">
        <f>HYPERLINK("https://klasma.github.io/Logging_0581/fåglar/A 25392-2021 prioriterade fågelarter.docx", "A 25392-2021")</f>
        <v/>
      </c>
    </row>
    <row r="84" ht="15" customHeight="1">
      <c r="A84" t="inlineStr">
        <is>
          <t>A 25614-2021</t>
        </is>
      </c>
      <c r="B84" s="1" t="n">
        <v>44343</v>
      </c>
      <c r="C84" s="1" t="n">
        <v>45755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13.4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HYPERLINK("https://klasma.github.io/Logging_0581/artfynd/A 25614-2021 artfynd.xlsx", "A 25614-2021")</f>
        <v/>
      </c>
      <c r="T84">
        <f>HYPERLINK("https://klasma.github.io/Logging_0581/kartor/A 25614-2021 karta.png", "A 25614-2021")</f>
        <v/>
      </c>
      <c r="V84">
        <f>HYPERLINK("https://klasma.github.io/Logging_0581/klagomål/A 25614-2021 FSC-klagomål.docx", "A 25614-2021")</f>
        <v/>
      </c>
      <c r="W84">
        <f>HYPERLINK("https://klasma.github.io/Logging_0581/klagomålsmail/A 25614-2021 FSC-klagomål mail.docx", "A 25614-2021")</f>
        <v/>
      </c>
      <c r="X84">
        <f>HYPERLINK("https://klasma.github.io/Logging_0581/tillsyn/A 25614-2021 tillsynsbegäran.docx", "A 25614-2021")</f>
        <v/>
      </c>
      <c r="Y84">
        <f>HYPERLINK("https://klasma.github.io/Logging_0581/tillsynsmail/A 25614-2021 tillsynsbegäran mail.docx", "A 25614-2021")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45755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42188-2021</t>
        </is>
      </c>
      <c r="B86" s="1" t="n">
        <v>44426</v>
      </c>
      <c r="C86" s="1" t="n">
        <v>45755</v>
      </c>
      <c r="D86" t="inlineStr">
        <is>
          <t>ÖSTERGÖTLANDS LÄN</t>
        </is>
      </c>
      <c r="E86" t="inlineStr">
        <is>
          <t>NORRKÖPING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Ängsnycklar</t>
        </is>
      </c>
      <c r="S86">
        <f>HYPERLINK("https://klasma.github.io/Logging_0581/artfynd/A 42188-2021 artfynd.xlsx", "A 42188-2021")</f>
        <v/>
      </c>
      <c r="T86">
        <f>HYPERLINK("https://klasma.github.io/Logging_0581/kartor/A 42188-2021 karta.png", "A 42188-2021")</f>
        <v/>
      </c>
      <c r="V86">
        <f>HYPERLINK("https://klasma.github.io/Logging_0581/klagomål/A 42188-2021 FSC-klagomål.docx", "A 42188-2021")</f>
        <v/>
      </c>
      <c r="W86">
        <f>HYPERLINK("https://klasma.github.io/Logging_0581/klagomålsmail/A 42188-2021 FSC-klagomål mail.docx", "A 42188-2021")</f>
        <v/>
      </c>
      <c r="X86">
        <f>HYPERLINK("https://klasma.github.io/Logging_0581/tillsyn/A 42188-2021 tillsynsbegäran.docx", "A 42188-2021")</f>
        <v/>
      </c>
      <c r="Y86">
        <f>HYPERLINK("https://klasma.github.io/Logging_0581/tillsynsmail/A 42188-2021 tillsynsbegäran mail.docx", "A 42188-2021")</f>
        <v/>
      </c>
    </row>
    <row r="87" ht="15" customHeight="1">
      <c r="A87" t="inlineStr">
        <is>
          <t>A 48612-2021</t>
        </is>
      </c>
      <c r="B87" s="1" t="n">
        <v>44452</v>
      </c>
      <c r="C87" s="1" t="n">
        <v>45755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HYPERLINK("https://klasma.github.io/Logging_0581/artfynd/A 48612-2021 artfynd.xlsx", "A 48612-2021")</f>
        <v/>
      </c>
      <c r="T87">
        <f>HYPERLINK("https://klasma.github.io/Logging_0581/kartor/A 48612-2021 karta.png", "A 48612-2021")</f>
        <v/>
      </c>
      <c r="V87">
        <f>HYPERLINK("https://klasma.github.io/Logging_0581/klagomål/A 48612-2021 FSC-klagomål.docx", "A 48612-2021")</f>
        <v/>
      </c>
      <c r="W87">
        <f>HYPERLINK("https://klasma.github.io/Logging_0581/klagomålsmail/A 48612-2021 FSC-klagomål mail.docx", "A 48612-2021")</f>
        <v/>
      </c>
      <c r="X87">
        <f>HYPERLINK("https://klasma.github.io/Logging_0581/tillsyn/A 48612-2021 tillsynsbegäran.docx", "A 48612-2021")</f>
        <v/>
      </c>
      <c r="Y87">
        <f>HYPERLINK("https://klasma.github.io/Logging_0581/tillsynsmail/A 48612-2021 tillsynsbegäran mail.docx", "A 48612-2021")</f>
        <v/>
      </c>
    </row>
    <row r="88" ht="15" customHeight="1">
      <c r="A88" t="inlineStr">
        <is>
          <t>A 56584-2021</t>
        </is>
      </c>
      <c r="B88" s="1" t="n">
        <v>44480</v>
      </c>
      <c r="C88" s="1" t="n">
        <v>45755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Vätteros</t>
        </is>
      </c>
      <c r="S88">
        <f>HYPERLINK("https://klasma.github.io/Logging_0581/artfynd/A 56584-2021 artfynd.xlsx", "A 56584-2021")</f>
        <v/>
      </c>
      <c r="T88">
        <f>HYPERLINK("https://klasma.github.io/Logging_0581/kartor/A 56584-2021 karta.png", "A 56584-2021")</f>
        <v/>
      </c>
      <c r="V88">
        <f>HYPERLINK("https://klasma.github.io/Logging_0581/klagomål/A 56584-2021 FSC-klagomål.docx", "A 56584-2021")</f>
        <v/>
      </c>
      <c r="W88">
        <f>HYPERLINK("https://klasma.github.io/Logging_0581/klagomålsmail/A 56584-2021 FSC-klagomål mail.docx", "A 56584-2021")</f>
        <v/>
      </c>
      <c r="X88">
        <f>HYPERLINK("https://klasma.github.io/Logging_0581/tillsyn/A 56584-2021 tillsynsbegäran.docx", "A 56584-2021")</f>
        <v/>
      </c>
      <c r="Y88">
        <f>HYPERLINK("https://klasma.github.io/Logging_0581/tillsynsmail/A 56584-2021 tillsynsbegäran mail.docx", "A 56584-2021")</f>
        <v/>
      </c>
    </row>
    <row r="89" ht="15" customHeight="1">
      <c r="A89" t="inlineStr">
        <is>
          <t>A 59092-2021</t>
        </is>
      </c>
      <c r="B89" s="1" t="n">
        <v>44490</v>
      </c>
      <c r="C89" s="1" t="n">
        <v>45755</v>
      </c>
      <c r="D89" t="inlineStr">
        <is>
          <t>ÖSTERGÖTLANDS LÄN</t>
        </is>
      </c>
      <c r="E89" t="inlineStr">
        <is>
          <t>NORRKÖPING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59092-2021 artfynd.xlsx", "A 59092-2021")</f>
        <v/>
      </c>
      <c r="T89">
        <f>HYPERLINK("https://klasma.github.io/Logging_0581/kartor/A 59092-2021 karta.png", "A 59092-2021")</f>
        <v/>
      </c>
      <c r="V89">
        <f>HYPERLINK("https://klasma.github.io/Logging_0581/klagomål/A 59092-2021 FSC-klagomål.docx", "A 59092-2021")</f>
        <v/>
      </c>
      <c r="W89">
        <f>HYPERLINK("https://klasma.github.io/Logging_0581/klagomålsmail/A 59092-2021 FSC-klagomål mail.docx", "A 59092-2021")</f>
        <v/>
      </c>
      <c r="X89">
        <f>HYPERLINK("https://klasma.github.io/Logging_0581/tillsyn/A 59092-2021 tillsynsbegäran.docx", "A 59092-2021")</f>
        <v/>
      </c>
      <c r="Y89">
        <f>HYPERLINK("https://klasma.github.io/Logging_0581/tillsynsmail/A 59092-2021 tillsynsbegäran mail.docx", "A 59092-2021")</f>
        <v/>
      </c>
    </row>
    <row r="90" ht="15" customHeight="1">
      <c r="A90" t="inlineStr">
        <is>
          <t>A 59254-2021</t>
        </is>
      </c>
      <c r="B90" s="1" t="n">
        <v>44490</v>
      </c>
      <c r="C90" s="1" t="n">
        <v>45755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59254-2021 artfynd.xlsx", "A 59254-2021")</f>
        <v/>
      </c>
      <c r="T90">
        <f>HYPERLINK("https://klasma.github.io/Logging_0581/kartor/A 59254-2021 karta.png", "A 59254-2021")</f>
        <v/>
      </c>
      <c r="V90">
        <f>HYPERLINK("https://klasma.github.io/Logging_0581/klagomål/A 59254-2021 FSC-klagomål.docx", "A 59254-2021")</f>
        <v/>
      </c>
      <c r="W90">
        <f>HYPERLINK("https://klasma.github.io/Logging_0581/klagomålsmail/A 59254-2021 FSC-klagomål mail.docx", "A 59254-2021")</f>
        <v/>
      </c>
      <c r="X90">
        <f>HYPERLINK("https://klasma.github.io/Logging_0581/tillsyn/A 59254-2021 tillsynsbegäran.docx", "A 59254-2021")</f>
        <v/>
      </c>
      <c r="Y90">
        <f>HYPERLINK("https://klasma.github.io/Logging_0581/tillsynsmail/A 59254-2021 tillsynsbegäran mail.docx", "A 59254-2021")</f>
        <v/>
      </c>
    </row>
    <row r="91" ht="15" customHeight="1">
      <c r="A91" t="inlineStr">
        <is>
          <t>A 67652-2021</t>
        </is>
      </c>
      <c r="B91" s="1" t="n">
        <v>44524</v>
      </c>
      <c r="C91" s="1" t="n">
        <v>45755</v>
      </c>
      <c r="D91" t="inlineStr">
        <is>
          <t>ÖSTERGÖTLANDS LÄN</t>
        </is>
      </c>
      <c r="E91" t="inlineStr">
        <is>
          <t>NORRKÖPING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HYPERLINK("https://klasma.github.io/Logging_0581/artfynd/A 67652-2021 artfynd.xlsx", "A 67652-2021")</f>
        <v/>
      </c>
      <c r="T91">
        <f>HYPERLINK("https://klasma.github.io/Logging_0581/kartor/A 67652-2021 karta.png", "A 67652-2021")</f>
        <v/>
      </c>
      <c r="V91">
        <f>HYPERLINK("https://klasma.github.io/Logging_0581/klagomål/A 67652-2021 FSC-klagomål.docx", "A 67652-2021")</f>
        <v/>
      </c>
      <c r="W91">
        <f>HYPERLINK("https://klasma.github.io/Logging_0581/klagomålsmail/A 67652-2021 FSC-klagomål mail.docx", "A 67652-2021")</f>
        <v/>
      </c>
      <c r="X91">
        <f>HYPERLINK("https://klasma.github.io/Logging_0581/tillsyn/A 67652-2021 tillsynsbegäran.docx", "A 67652-2021")</f>
        <v/>
      </c>
      <c r="Y91">
        <f>HYPERLINK("https://klasma.github.io/Logging_0581/tillsynsmail/A 67652-2021 tillsynsbegäran mail.docx", "A 67652-2021")</f>
        <v/>
      </c>
    </row>
    <row r="92" ht="15" customHeight="1">
      <c r="A92" t="inlineStr">
        <is>
          <t>A 31897-2022</t>
        </is>
      </c>
      <c r="B92" s="1" t="n">
        <v>44777</v>
      </c>
      <c r="C92" s="1" t="n">
        <v>45755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31897-2022 artfynd.xlsx", "A 31897-2022")</f>
        <v/>
      </c>
      <c r="T92">
        <f>HYPERLINK("https://klasma.github.io/Logging_0581/kartor/A 31897-2022 karta.png", "A 31897-2022")</f>
        <v/>
      </c>
      <c r="V92">
        <f>HYPERLINK("https://klasma.github.io/Logging_0581/klagomål/A 31897-2022 FSC-klagomål.docx", "A 31897-2022")</f>
        <v/>
      </c>
      <c r="W92">
        <f>HYPERLINK("https://klasma.github.io/Logging_0581/klagomålsmail/A 31897-2022 FSC-klagomål mail.docx", "A 31897-2022")</f>
        <v/>
      </c>
      <c r="X92">
        <f>HYPERLINK("https://klasma.github.io/Logging_0581/tillsyn/A 31897-2022 tillsynsbegäran.docx", "A 31897-2022")</f>
        <v/>
      </c>
      <c r="Y92">
        <f>HYPERLINK("https://klasma.github.io/Logging_0581/tillsynsmail/A 31897-2022 tillsynsbegäran mail.docx", "A 31897-2022")</f>
        <v/>
      </c>
    </row>
    <row r="93" ht="15" customHeight="1">
      <c r="A93" t="inlineStr">
        <is>
          <t>A 55022-2022</t>
        </is>
      </c>
      <c r="B93" s="1" t="n">
        <v>44886</v>
      </c>
      <c r="C93" s="1" t="n">
        <v>45755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 taggsvamp</t>
        </is>
      </c>
      <c r="S93">
        <f>HYPERLINK("https://klasma.github.io/Logging_0581/artfynd/A 55022-2022 artfynd.xlsx", "A 55022-2022")</f>
        <v/>
      </c>
      <c r="T93">
        <f>HYPERLINK("https://klasma.github.io/Logging_0581/kartor/A 55022-2022 karta.png", "A 55022-2022")</f>
        <v/>
      </c>
      <c r="V93">
        <f>HYPERLINK("https://klasma.github.io/Logging_0581/klagomål/A 55022-2022 FSC-klagomål.docx", "A 55022-2022")</f>
        <v/>
      </c>
      <c r="W93">
        <f>HYPERLINK("https://klasma.github.io/Logging_0581/klagomålsmail/A 55022-2022 FSC-klagomål mail.docx", "A 55022-2022")</f>
        <v/>
      </c>
      <c r="X93">
        <f>HYPERLINK("https://klasma.github.io/Logging_0581/tillsyn/A 55022-2022 tillsynsbegäran.docx", "A 55022-2022")</f>
        <v/>
      </c>
      <c r="Y93">
        <f>HYPERLINK("https://klasma.github.io/Logging_0581/tillsynsmail/A 55022-2022 tillsynsbegäran mail.docx", "A 55022-2022")</f>
        <v/>
      </c>
    </row>
    <row r="94" ht="15" customHeight="1">
      <c r="A94" t="inlineStr">
        <is>
          <t>A 2457-2023</t>
        </is>
      </c>
      <c r="B94" s="1" t="n">
        <v>44943</v>
      </c>
      <c r="C94" s="1" t="n">
        <v>45755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2457-2023 artfynd.xlsx", "A 2457-2023")</f>
        <v/>
      </c>
      <c r="T94">
        <f>HYPERLINK("https://klasma.github.io/Logging_0581/kartor/A 2457-2023 karta.png", "A 2457-2023")</f>
        <v/>
      </c>
      <c r="V94">
        <f>HYPERLINK("https://klasma.github.io/Logging_0581/klagomål/A 2457-2023 FSC-klagomål.docx", "A 2457-2023")</f>
        <v/>
      </c>
      <c r="W94">
        <f>HYPERLINK("https://klasma.github.io/Logging_0581/klagomålsmail/A 2457-2023 FSC-klagomål mail.docx", "A 2457-2023")</f>
        <v/>
      </c>
      <c r="X94">
        <f>HYPERLINK("https://klasma.github.io/Logging_0581/tillsyn/A 2457-2023 tillsynsbegäran.docx", "A 2457-2023")</f>
        <v/>
      </c>
      <c r="Y94">
        <f>HYPERLINK("https://klasma.github.io/Logging_0581/tillsynsmail/A 2457-2023 tillsynsbegäran mail.docx", "A 2457-2023")</f>
        <v/>
      </c>
    </row>
    <row r="95" ht="15" customHeight="1">
      <c r="A95" t="inlineStr">
        <is>
          <t>A 7264-2023</t>
        </is>
      </c>
      <c r="B95" s="1" t="n">
        <v>44970</v>
      </c>
      <c r="C95" s="1" t="n">
        <v>45755</v>
      </c>
      <c r="D95" t="inlineStr">
        <is>
          <t>ÖSTERGÖTLANDS LÄN</t>
        </is>
      </c>
      <c r="E95" t="inlineStr">
        <is>
          <t>NORRKÖPING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HYPERLINK("https://klasma.github.io/Logging_0581/artfynd/A 7264-2023 artfynd.xlsx", "A 7264-2023")</f>
        <v/>
      </c>
      <c r="T95">
        <f>HYPERLINK("https://klasma.github.io/Logging_0581/kartor/A 7264-2023 karta.png", "A 7264-2023")</f>
        <v/>
      </c>
      <c r="V95">
        <f>HYPERLINK("https://klasma.github.io/Logging_0581/klagomål/A 7264-2023 FSC-klagomål.docx", "A 7264-2023")</f>
        <v/>
      </c>
      <c r="W95">
        <f>HYPERLINK("https://klasma.github.io/Logging_0581/klagomålsmail/A 7264-2023 FSC-klagomål mail.docx", "A 7264-2023")</f>
        <v/>
      </c>
      <c r="X95">
        <f>HYPERLINK("https://klasma.github.io/Logging_0581/tillsyn/A 7264-2023 tillsynsbegäran.docx", "A 7264-2023")</f>
        <v/>
      </c>
      <c r="Y95">
        <f>HYPERLINK("https://klasma.github.io/Logging_0581/tillsynsmail/A 7264-2023 tillsynsbegäran mail.docx", "A 7264-2023")</f>
        <v/>
      </c>
    </row>
    <row r="96" ht="15" customHeight="1">
      <c r="A96" t="inlineStr">
        <is>
          <t>A 18500-2023</t>
        </is>
      </c>
      <c r="B96" s="1" t="n">
        <v>45042</v>
      </c>
      <c r="C96" s="1" t="n">
        <v>45755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HYPERLINK("https://klasma.github.io/Logging_0581/artfynd/A 18500-2023 artfynd.xlsx", "A 18500-2023")</f>
        <v/>
      </c>
      <c r="T96">
        <f>HYPERLINK("https://klasma.github.io/Logging_0581/kartor/A 18500-2023 karta.png", "A 18500-2023")</f>
        <v/>
      </c>
      <c r="V96">
        <f>HYPERLINK("https://klasma.github.io/Logging_0581/klagomål/A 18500-2023 FSC-klagomål.docx", "A 18500-2023")</f>
        <v/>
      </c>
      <c r="W96">
        <f>HYPERLINK("https://klasma.github.io/Logging_0581/klagomålsmail/A 18500-2023 FSC-klagomål mail.docx", "A 18500-2023")</f>
        <v/>
      </c>
      <c r="X96">
        <f>HYPERLINK("https://klasma.github.io/Logging_0581/tillsyn/A 18500-2023 tillsynsbegäran.docx", "A 18500-2023")</f>
        <v/>
      </c>
      <c r="Y96">
        <f>HYPERLINK("https://klasma.github.io/Logging_0581/tillsynsmail/A 18500-2023 tillsynsbegäran mail.docx", "A 18500-2023")</f>
        <v/>
      </c>
    </row>
    <row r="97" ht="15" customHeight="1">
      <c r="A97" t="inlineStr">
        <is>
          <t>A 20377-2023</t>
        </is>
      </c>
      <c r="B97" s="1" t="n">
        <v>45056</v>
      </c>
      <c r="C97" s="1" t="n">
        <v>45755</v>
      </c>
      <c r="D97" t="inlineStr">
        <is>
          <t>ÖSTERGÖTLANDS LÄN</t>
        </is>
      </c>
      <c r="E97" t="inlineStr">
        <is>
          <t>NORRKÖPING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20377-2023 artfynd.xlsx", "A 20377-2023")</f>
        <v/>
      </c>
      <c r="T97">
        <f>HYPERLINK("https://klasma.github.io/Logging_0581/kartor/A 20377-2023 karta.png", "A 20377-2023")</f>
        <v/>
      </c>
      <c r="V97">
        <f>HYPERLINK("https://klasma.github.io/Logging_0581/klagomål/A 20377-2023 FSC-klagomål.docx", "A 20377-2023")</f>
        <v/>
      </c>
      <c r="W97">
        <f>HYPERLINK("https://klasma.github.io/Logging_0581/klagomålsmail/A 20377-2023 FSC-klagomål mail.docx", "A 20377-2023")</f>
        <v/>
      </c>
      <c r="X97">
        <f>HYPERLINK("https://klasma.github.io/Logging_0581/tillsyn/A 20377-2023 tillsynsbegäran.docx", "A 20377-2023")</f>
        <v/>
      </c>
      <c r="Y97">
        <f>HYPERLINK("https://klasma.github.io/Logging_0581/tillsynsmail/A 20377-2023 tillsynsbegäran mail.docx", "A 20377-2023")</f>
        <v/>
      </c>
    </row>
    <row r="98" ht="15" customHeight="1">
      <c r="A98" t="inlineStr">
        <is>
          <t>A 20668-2023</t>
        </is>
      </c>
      <c r="B98" s="1" t="n">
        <v>45058</v>
      </c>
      <c r="C98" s="1" t="n">
        <v>45755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20668-2023 artfynd.xlsx", "A 20668-2023")</f>
        <v/>
      </c>
      <c r="T98">
        <f>HYPERLINK("https://klasma.github.io/Logging_0581/kartor/A 20668-2023 karta.png", "A 20668-2023")</f>
        <v/>
      </c>
      <c r="V98">
        <f>HYPERLINK("https://klasma.github.io/Logging_0581/klagomål/A 20668-2023 FSC-klagomål.docx", "A 20668-2023")</f>
        <v/>
      </c>
      <c r="W98">
        <f>HYPERLINK("https://klasma.github.io/Logging_0581/klagomålsmail/A 20668-2023 FSC-klagomål mail.docx", "A 20668-2023")</f>
        <v/>
      </c>
      <c r="X98">
        <f>HYPERLINK("https://klasma.github.io/Logging_0581/tillsyn/A 20668-2023 tillsynsbegäran.docx", "A 20668-2023")</f>
        <v/>
      </c>
      <c r="Y98">
        <f>HYPERLINK("https://klasma.github.io/Logging_0581/tillsynsmail/A 20668-2023 tillsynsbegäran mail.docx", "A 20668-2023")</f>
        <v/>
      </c>
    </row>
    <row r="99" ht="15" customHeight="1">
      <c r="A99" t="inlineStr">
        <is>
          <t>A 21833-2023</t>
        </is>
      </c>
      <c r="B99" s="1" t="n">
        <v>45068</v>
      </c>
      <c r="C99" s="1" t="n">
        <v>45755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HYPERLINK("https://klasma.github.io/Logging_0581/artfynd/A 21833-2023 artfynd.xlsx", "A 21833-2023")</f>
        <v/>
      </c>
      <c r="T99">
        <f>HYPERLINK("https://klasma.github.io/Logging_0581/kartor/A 21833-2023 karta.png", "A 21833-2023")</f>
        <v/>
      </c>
      <c r="V99">
        <f>HYPERLINK("https://klasma.github.io/Logging_0581/klagomål/A 21833-2023 FSC-klagomål.docx", "A 21833-2023")</f>
        <v/>
      </c>
      <c r="W99">
        <f>HYPERLINK("https://klasma.github.io/Logging_0581/klagomålsmail/A 21833-2023 FSC-klagomål mail.docx", "A 21833-2023")</f>
        <v/>
      </c>
      <c r="X99">
        <f>HYPERLINK("https://klasma.github.io/Logging_0581/tillsyn/A 21833-2023 tillsynsbegäran.docx", "A 21833-2023")</f>
        <v/>
      </c>
      <c r="Y99">
        <f>HYPERLINK("https://klasma.github.io/Logging_0581/tillsynsmail/A 21833-2023 tillsynsbegäran mail.docx", "A 21833-2023")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45755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29236-2023</t>
        </is>
      </c>
      <c r="B101" s="1" t="n">
        <v>45105</v>
      </c>
      <c r="C101" s="1" t="n">
        <v>45755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14.5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HYPERLINK("https://klasma.github.io/Logging_0581/artfynd/A 29236-2023 artfynd.xlsx", "A 29236-2023")</f>
        <v/>
      </c>
      <c r="T101">
        <f>HYPERLINK("https://klasma.github.io/Logging_0581/kartor/A 29236-2023 karta.png", "A 29236-2023")</f>
        <v/>
      </c>
      <c r="V101">
        <f>HYPERLINK("https://klasma.github.io/Logging_0581/klagomål/A 29236-2023 FSC-klagomål.docx", "A 29236-2023")</f>
        <v/>
      </c>
      <c r="W101">
        <f>HYPERLINK("https://klasma.github.io/Logging_0581/klagomålsmail/A 29236-2023 FSC-klagomål mail.docx", "A 29236-2023")</f>
        <v/>
      </c>
      <c r="X101">
        <f>HYPERLINK("https://klasma.github.io/Logging_0581/tillsyn/A 29236-2023 tillsynsbegäran.docx", "A 29236-2023")</f>
        <v/>
      </c>
      <c r="Y101">
        <f>HYPERLINK("https://klasma.github.io/Logging_0581/tillsynsmail/A 29236-2023 tillsynsbegäran mail.docx", "A 29236-2023")</f>
        <v/>
      </c>
    </row>
    <row r="102" ht="15" customHeight="1">
      <c r="A102" t="inlineStr">
        <is>
          <t>A 31663-2023</t>
        </is>
      </c>
      <c r="B102" s="1" t="n">
        <v>45117</v>
      </c>
      <c r="C102" s="1" t="n">
        <v>45755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Kamjordstjärna</t>
        </is>
      </c>
      <c r="S102">
        <f>HYPERLINK("https://klasma.github.io/Logging_0581/artfynd/A 31663-2023 artfynd.xlsx", "A 31663-2023")</f>
        <v/>
      </c>
      <c r="T102">
        <f>HYPERLINK("https://klasma.github.io/Logging_0581/kartor/A 31663-2023 karta.png", "A 31663-2023")</f>
        <v/>
      </c>
      <c r="V102">
        <f>HYPERLINK("https://klasma.github.io/Logging_0581/klagomål/A 31663-2023 FSC-klagomål.docx", "A 31663-2023")</f>
        <v/>
      </c>
      <c r="W102">
        <f>HYPERLINK("https://klasma.github.io/Logging_0581/klagomålsmail/A 31663-2023 FSC-klagomål mail.docx", "A 31663-2023")</f>
        <v/>
      </c>
      <c r="X102">
        <f>HYPERLINK("https://klasma.github.io/Logging_0581/tillsyn/A 31663-2023 tillsynsbegäran.docx", "A 31663-2023")</f>
        <v/>
      </c>
      <c r="Y102">
        <f>HYPERLINK("https://klasma.github.io/Logging_0581/tillsynsmail/A 31663-2023 tillsynsbegäran mail.docx", "A 31663-2023")</f>
        <v/>
      </c>
    </row>
    <row r="103" ht="15" customHeight="1">
      <c r="A103" t="inlineStr">
        <is>
          <t>A 31659-2023</t>
        </is>
      </c>
      <c r="B103" s="1" t="n">
        <v>45117</v>
      </c>
      <c r="C103" s="1" t="n">
        <v>45755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HYPERLINK("https://klasma.github.io/Logging_0581/artfynd/A 31659-2023 artfynd.xlsx", "A 31659-2023")</f>
        <v/>
      </c>
      <c r="T103">
        <f>HYPERLINK("https://klasma.github.io/Logging_0581/kartor/A 31659-2023 karta.png", "A 31659-2023")</f>
        <v/>
      </c>
      <c r="V103">
        <f>HYPERLINK("https://klasma.github.io/Logging_0581/klagomål/A 31659-2023 FSC-klagomål.docx", "A 31659-2023")</f>
        <v/>
      </c>
      <c r="W103">
        <f>HYPERLINK("https://klasma.github.io/Logging_0581/klagomålsmail/A 31659-2023 FSC-klagomål mail.docx", "A 31659-2023")</f>
        <v/>
      </c>
      <c r="X103">
        <f>HYPERLINK("https://klasma.github.io/Logging_0581/tillsyn/A 31659-2023 tillsynsbegäran.docx", "A 31659-2023")</f>
        <v/>
      </c>
      <c r="Y103">
        <f>HYPERLINK("https://klasma.github.io/Logging_0581/tillsynsmail/A 31659-2023 tillsynsbegäran mail.docx", "A 31659-2023")</f>
        <v/>
      </c>
      <c r="Z103">
        <f>HYPERLINK("https://klasma.github.io/Logging_0581/fåglar/A 31659-2023 prioriterade fågelarter.docx", "A 31659-2023")</f>
        <v/>
      </c>
    </row>
    <row r="104" ht="15" customHeight="1">
      <c r="A104" t="inlineStr">
        <is>
          <t>A 32510-2023</t>
        </is>
      </c>
      <c r="B104" s="1" t="n">
        <v>45121</v>
      </c>
      <c r="C104" s="1" t="n">
        <v>45755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HYPERLINK("https://klasma.github.io/Logging_0581/artfynd/A 32510-2023 artfynd.xlsx", "A 32510-2023")</f>
        <v/>
      </c>
      <c r="T104">
        <f>HYPERLINK("https://klasma.github.io/Logging_0581/kartor/A 32510-2023 karta.png", "A 32510-2023")</f>
        <v/>
      </c>
      <c r="V104">
        <f>HYPERLINK("https://klasma.github.io/Logging_0581/klagomål/A 32510-2023 FSC-klagomål.docx", "A 32510-2023")</f>
        <v/>
      </c>
      <c r="W104">
        <f>HYPERLINK("https://klasma.github.io/Logging_0581/klagomålsmail/A 32510-2023 FSC-klagomål mail.docx", "A 32510-2023")</f>
        <v/>
      </c>
      <c r="X104">
        <f>HYPERLINK("https://klasma.github.io/Logging_0581/tillsyn/A 32510-2023 tillsynsbegäran.docx", "A 32510-2023")</f>
        <v/>
      </c>
      <c r="Y104">
        <f>HYPERLINK("https://klasma.github.io/Logging_0581/tillsynsmail/A 32510-2023 tillsynsbegäran mail.docx", "A 32510-2023")</f>
        <v/>
      </c>
    </row>
    <row r="105" ht="15" customHeight="1">
      <c r="A105" t="inlineStr">
        <is>
          <t>A 41369-2023</t>
        </is>
      </c>
      <c r="B105" s="1" t="n">
        <v>45174</v>
      </c>
      <c r="C105" s="1" t="n">
        <v>45755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41369-2023 artfynd.xlsx", "A 41369-2023")</f>
        <v/>
      </c>
      <c r="T105">
        <f>HYPERLINK("https://klasma.github.io/Logging_0581/kartor/A 41369-2023 karta.png", "A 41369-2023")</f>
        <v/>
      </c>
      <c r="V105">
        <f>HYPERLINK("https://klasma.github.io/Logging_0581/klagomål/A 41369-2023 FSC-klagomål.docx", "A 41369-2023")</f>
        <v/>
      </c>
      <c r="W105">
        <f>HYPERLINK("https://klasma.github.io/Logging_0581/klagomålsmail/A 41369-2023 FSC-klagomål mail.docx", "A 41369-2023")</f>
        <v/>
      </c>
      <c r="X105">
        <f>HYPERLINK("https://klasma.github.io/Logging_0581/tillsyn/A 41369-2023 tillsynsbegäran.docx", "A 41369-2023")</f>
        <v/>
      </c>
      <c r="Y105">
        <f>HYPERLINK("https://klasma.github.io/Logging_0581/tillsynsmail/A 41369-2023 tillsynsbegäran mail.docx", "A 41369-2023")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45755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45755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48586-2023</t>
        </is>
      </c>
      <c r="B108" s="1" t="n">
        <v>45208</v>
      </c>
      <c r="C108" s="1" t="n">
        <v>45755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48586-2023 artfynd.xlsx", "A 48586-2023")</f>
        <v/>
      </c>
      <c r="T108">
        <f>HYPERLINK("https://klasma.github.io/Logging_0581/kartor/A 48586-2023 karta.png", "A 48586-2023")</f>
        <v/>
      </c>
      <c r="V108">
        <f>HYPERLINK("https://klasma.github.io/Logging_0581/klagomål/A 48586-2023 FSC-klagomål.docx", "A 48586-2023")</f>
        <v/>
      </c>
      <c r="W108">
        <f>HYPERLINK("https://klasma.github.io/Logging_0581/klagomålsmail/A 48586-2023 FSC-klagomål mail.docx", "A 48586-2023")</f>
        <v/>
      </c>
      <c r="X108">
        <f>HYPERLINK("https://klasma.github.io/Logging_0581/tillsyn/A 48586-2023 tillsynsbegäran.docx", "A 48586-2023")</f>
        <v/>
      </c>
      <c r="Y108">
        <f>HYPERLINK("https://klasma.github.io/Logging_0581/tillsynsmail/A 48586-2023 tillsynsbegäran mail.docx", "A 48586-2023")</f>
        <v/>
      </c>
    </row>
    <row r="109" ht="15" customHeight="1">
      <c r="A109" t="inlineStr">
        <is>
          <t>A 51973-2023</t>
        </is>
      </c>
      <c r="B109" s="1" t="n">
        <v>45223</v>
      </c>
      <c r="C109" s="1" t="n">
        <v>45755</v>
      </c>
      <c r="D109" t="inlineStr">
        <is>
          <t>ÖSTERGÖTLANDS LÄN</t>
        </is>
      </c>
      <c r="E109" t="inlineStr">
        <is>
          <t>NORRKÖPING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51973-2023 artfynd.xlsx", "A 51973-2023")</f>
        <v/>
      </c>
      <c r="T109">
        <f>HYPERLINK("https://klasma.github.io/Logging_0581/kartor/A 51973-2023 karta.png", "A 51973-2023")</f>
        <v/>
      </c>
      <c r="V109">
        <f>HYPERLINK("https://klasma.github.io/Logging_0581/klagomål/A 51973-2023 FSC-klagomål.docx", "A 51973-2023")</f>
        <v/>
      </c>
      <c r="W109">
        <f>HYPERLINK("https://klasma.github.io/Logging_0581/klagomålsmail/A 51973-2023 FSC-klagomål mail.docx", "A 51973-2023")</f>
        <v/>
      </c>
      <c r="X109">
        <f>HYPERLINK("https://klasma.github.io/Logging_0581/tillsyn/A 51973-2023 tillsynsbegäran.docx", "A 51973-2023")</f>
        <v/>
      </c>
      <c r="Y109">
        <f>HYPERLINK("https://klasma.github.io/Logging_0581/tillsynsmail/A 51973-2023 tillsynsbegäran mail.docx", "A 51973-2023")</f>
        <v/>
      </c>
    </row>
    <row r="110" ht="15" customHeight="1">
      <c r="A110" t="inlineStr">
        <is>
          <t>A 58711-2023</t>
        </is>
      </c>
      <c r="B110" s="1" t="n">
        <v>45251</v>
      </c>
      <c r="C110" s="1" t="n">
        <v>45755</v>
      </c>
      <c r="D110" t="inlineStr">
        <is>
          <t>ÖSTERGÖTLANDS LÄN</t>
        </is>
      </c>
      <c r="E110" t="inlineStr">
        <is>
          <t>NORRKÖPING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HYPERLINK("https://klasma.github.io/Logging_0581/artfynd/A 58711-2023 artfynd.xlsx", "A 58711-2023")</f>
        <v/>
      </c>
      <c r="T110">
        <f>HYPERLINK("https://klasma.github.io/Logging_0581/kartor/A 58711-2023 karta.png", "A 58711-2023")</f>
        <v/>
      </c>
      <c r="V110">
        <f>HYPERLINK("https://klasma.github.io/Logging_0581/klagomål/A 58711-2023 FSC-klagomål.docx", "A 58711-2023")</f>
        <v/>
      </c>
      <c r="W110">
        <f>HYPERLINK("https://klasma.github.io/Logging_0581/klagomålsmail/A 58711-2023 FSC-klagomål mail.docx", "A 58711-2023")</f>
        <v/>
      </c>
      <c r="X110">
        <f>HYPERLINK("https://klasma.github.io/Logging_0581/tillsyn/A 58711-2023 tillsynsbegäran.docx", "A 58711-2023")</f>
        <v/>
      </c>
      <c r="Y110">
        <f>HYPERLINK("https://klasma.github.io/Logging_0581/tillsynsmail/A 58711-2023 tillsynsbegäran mail.docx", "A 58711-2023")</f>
        <v/>
      </c>
    </row>
    <row r="111" ht="15" customHeight="1">
      <c r="A111" t="inlineStr">
        <is>
          <t>A 59527-2023</t>
        </is>
      </c>
      <c r="B111" s="1" t="n">
        <v>45254</v>
      </c>
      <c r="C111" s="1" t="n">
        <v>45755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BillerudKorsnäs AB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HYPERLINK("https://klasma.github.io/Logging_0581/artfynd/A 59527-2023 artfynd.xlsx", "A 59527-2023")</f>
        <v/>
      </c>
      <c r="T111">
        <f>HYPERLINK("https://klasma.github.io/Logging_0581/kartor/A 59527-2023 karta.png", "A 59527-2023")</f>
        <v/>
      </c>
      <c r="V111">
        <f>HYPERLINK("https://klasma.github.io/Logging_0581/klagomål/A 59527-2023 FSC-klagomål.docx", "A 59527-2023")</f>
        <v/>
      </c>
      <c r="W111">
        <f>HYPERLINK("https://klasma.github.io/Logging_0581/klagomålsmail/A 59527-2023 FSC-klagomål mail.docx", "A 59527-2023")</f>
        <v/>
      </c>
      <c r="X111">
        <f>HYPERLINK("https://klasma.github.io/Logging_0581/tillsyn/A 59527-2023 tillsynsbegäran.docx", "A 59527-2023")</f>
        <v/>
      </c>
      <c r="Y111">
        <f>HYPERLINK("https://klasma.github.io/Logging_0581/tillsynsmail/A 59527-2023 tillsynsbegäran mail.docx", "A 59527-2023")</f>
        <v/>
      </c>
    </row>
    <row r="112" ht="15" customHeight="1">
      <c r="A112" t="inlineStr">
        <is>
          <t>A 63966-2023</t>
        </is>
      </c>
      <c r="B112" s="1" t="n">
        <v>45278</v>
      </c>
      <c r="C112" s="1" t="n">
        <v>45755</v>
      </c>
      <c r="D112" t="inlineStr">
        <is>
          <t>ÖSTERGÖTLANDS LÄN</t>
        </is>
      </c>
      <c r="E112" t="inlineStr">
        <is>
          <t>NORRKÖPING</t>
        </is>
      </c>
      <c r="G112" t="n">
        <v>4.5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63966-2023 artfynd.xlsx", "A 63966-2023")</f>
        <v/>
      </c>
      <c r="T112">
        <f>HYPERLINK("https://klasma.github.io/Logging_0581/kartor/A 63966-2023 karta.png", "A 63966-2023")</f>
        <v/>
      </c>
      <c r="V112">
        <f>HYPERLINK("https://klasma.github.io/Logging_0581/klagomål/A 63966-2023 FSC-klagomål.docx", "A 63966-2023")</f>
        <v/>
      </c>
      <c r="W112">
        <f>HYPERLINK("https://klasma.github.io/Logging_0581/klagomålsmail/A 63966-2023 FSC-klagomål mail.docx", "A 63966-2023")</f>
        <v/>
      </c>
      <c r="X112">
        <f>HYPERLINK("https://klasma.github.io/Logging_0581/tillsyn/A 63966-2023 tillsynsbegäran.docx", "A 63966-2023")</f>
        <v/>
      </c>
      <c r="Y112">
        <f>HYPERLINK("https://klasma.github.io/Logging_0581/tillsynsmail/A 63966-2023 tillsynsbegäran mail.docx", "A 63966-2023")</f>
        <v/>
      </c>
    </row>
    <row r="113" ht="15" customHeight="1">
      <c r="A113" t="inlineStr">
        <is>
          <t>A 1734-2024</t>
        </is>
      </c>
      <c r="B113" s="1" t="n">
        <v>45307</v>
      </c>
      <c r="C113" s="1" t="n">
        <v>45755</v>
      </c>
      <c r="D113" t="inlineStr">
        <is>
          <t>ÖSTERGÖTLANDS LÄN</t>
        </is>
      </c>
      <c r="E113" t="inlineStr">
        <is>
          <t>NORRKÖPING</t>
        </is>
      </c>
      <c r="G113" t="n">
        <v>7.5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Gröngöling</t>
        </is>
      </c>
      <c r="S113">
        <f>HYPERLINK("https://klasma.github.io/Logging_0581/artfynd/A 1734-2024 artfynd.xlsx", "A 1734-2024")</f>
        <v/>
      </c>
      <c r="T113">
        <f>HYPERLINK("https://klasma.github.io/Logging_0581/kartor/A 1734-2024 karta.png", "A 1734-2024")</f>
        <v/>
      </c>
      <c r="V113">
        <f>HYPERLINK("https://klasma.github.io/Logging_0581/klagomål/A 1734-2024 FSC-klagomål.docx", "A 1734-2024")</f>
        <v/>
      </c>
      <c r="W113">
        <f>HYPERLINK("https://klasma.github.io/Logging_0581/klagomålsmail/A 1734-2024 FSC-klagomål mail.docx", "A 1734-2024")</f>
        <v/>
      </c>
      <c r="X113">
        <f>HYPERLINK("https://klasma.github.io/Logging_0581/tillsyn/A 1734-2024 tillsynsbegäran.docx", "A 1734-2024")</f>
        <v/>
      </c>
      <c r="Y113">
        <f>HYPERLINK("https://klasma.github.io/Logging_0581/tillsynsmail/A 1734-2024 tillsynsbegäran mail.docx", "A 1734-2024")</f>
        <v/>
      </c>
      <c r="Z113">
        <f>HYPERLINK("https://klasma.github.io/Logging_0581/fåglar/A 1734-2024 prioriterade fågelarter.docx", "A 1734-2024")</f>
        <v/>
      </c>
    </row>
    <row r="114" ht="15" customHeight="1">
      <c r="A114" t="inlineStr">
        <is>
          <t>A 6116-2024</t>
        </is>
      </c>
      <c r="B114" s="1" t="n">
        <v>45337</v>
      </c>
      <c r="C114" s="1" t="n">
        <v>45755</v>
      </c>
      <c r="D114" t="inlineStr">
        <is>
          <t>ÖSTERGÖTLANDS LÄN</t>
        </is>
      </c>
      <c r="E114" t="inlineStr">
        <is>
          <t>NORRKÖPING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HYPERLINK("https://klasma.github.io/Logging_0581/artfynd/A 6116-2024 artfynd.xlsx", "A 6116-2024")</f>
        <v/>
      </c>
      <c r="T114">
        <f>HYPERLINK("https://klasma.github.io/Logging_0581/kartor/A 6116-2024 karta.png", "A 6116-2024")</f>
        <v/>
      </c>
      <c r="V114">
        <f>HYPERLINK("https://klasma.github.io/Logging_0581/klagomål/A 6116-2024 FSC-klagomål.docx", "A 6116-2024")</f>
        <v/>
      </c>
      <c r="W114">
        <f>HYPERLINK("https://klasma.github.io/Logging_0581/klagomålsmail/A 6116-2024 FSC-klagomål mail.docx", "A 6116-2024")</f>
        <v/>
      </c>
      <c r="X114">
        <f>HYPERLINK("https://klasma.github.io/Logging_0581/tillsyn/A 6116-2024 tillsynsbegäran.docx", "A 6116-2024")</f>
        <v/>
      </c>
      <c r="Y114">
        <f>HYPERLINK("https://klasma.github.io/Logging_0581/tillsynsmail/A 6116-2024 tillsynsbegäran mail.docx", "A 6116-2024")</f>
        <v/>
      </c>
    </row>
    <row r="115" ht="15" customHeight="1">
      <c r="A115" t="inlineStr">
        <is>
          <t>A 7650-2024</t>
        </is>
      </c>
      <c r="B115" s="1" t="n">
        <v>45348</v>
      </c>
      <c r="C115" s="1" t="n">
        <v>45755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7733-2024</t>
        </is>
      </c>
      <c r="B116" s="1" t="n">
        <v>45349</v>
      </c>
      <c r="C116" s="1" t="n">
        <v>45755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7733-2024 artfynd.xlsx", "A 7733-2024")</f>
        <v/>
      </c>
      <c r="T116">
        <f>HYPERLINK("https://klasma.github.io/Logging_0581/kartor/A 7733-2024 karta.png", "A 7733-2024")</f>
        <v/>
      </c>
      <c r="V116">
        <f>HYPERLINK("https://klasma.github.io/Logging_0581/klagomål/A 7733-2024 FSC-klagomål.docx", "A 7733-2024")</f>
        <v/>
      </c>
      <c r="W116">
        <f>HYPERLINK("https://klasma.github.io/Logging_0581/klagomålsmail/A 7733-2024 FSC-klagomål mail.docx", "A 7733-2024")</f>
        <v/>
      </c>
      <c r="X116">
        <f>HYPERLINK("https://klasma.github.io/Logging_0581/tillsyn/A 7733-2024 tillsynsbegäran.docx", "A 7733-2024")</f>
        <v/>
      </c>
      <c r="Y116">
        <f>HYPERLINK("https://klasma.github.io/Logging_0581/tillsynsmail/A 7733-2024 tillsynsbegäran mail.docx", "A 7733-2024")</f>
        <v/>
      </c>
    </row>
    <row r="117" ht="15" customHeight="1">
      <c r="A117" t="inlineStr">
        <is>
          <t>A 8319-2024</t>
        </is>
      </c>
      <c r="B117" s="1" t="n">
        <v>45352</v>
      </c>
      <c r="C117" s="1" t="n">
        <v>45755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8319-2024 artfynd.xlsx", "A 8319-2024")</f>
        <v/>
      </c>
      <c r="T117">
        <f>HYPERLINK("https://klasma.github.io/Logging_0581/kartor/A 8319-2024 karta.png", "A 8319-2024")</f>
        <v/>
      </c>
      <c r="U117">
        <f>HYPERLINK("https://klasma.github.io/Logging_0581/knärot/A 8319-2024 karta knärot.png", "A 8319-2024")</f>
        <v/>
      </c>
      <c r="V117">
        <f>HYPERLINK("https://klasma.github.io/Logging_0581/klagomål/A 8319-2024 FSC-klagomål.docx", "A 8319-2024")</f>
        <v/>
      </c>
      <c r="W117">
        <f>HYPERLINK("https://klasma.github.io/Logging_0581/klagomålsmail/A 8319-2024 FSC-klagomål mail.docx", "A 8319-2024")</f>
        <v/>
      </c>
      <c r="X117">
        <f>HYPERLINK("https://klasma.github.io/Logging_0581/tillsyn/A 8319-2024 tillsynsbegäran.docx", "A 8319-2024")</f>
        <v/>
      </c>
      <c r="Y117">
        <f>HYPERLINK("https://klasma.github.io/Logging_0581/tillsynsmail/A 8319-2024 tillsynsbegäran mail.docx", "A 8319-2024")</f>
        <v/>
      </c>
    </row>
    <row r="118" ht="15" customHeight="1">
      <c r="A118" t="inlineStr">
        <is>
          <t>A 10769-2024</t>
        </is>
      </c>
      <c r="B118" s="1" t="n">
        <v>45369</v>
      </c>
      <c r="C118" s="1" t="n">
        <v>45755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HYPERLINK("https://klasma.github.io/Logging_0581/artfynd/A 10769-2024 artfynd.xlsx", "A 10769-2024")</f>
        <v/>
      </c>
      <c r="T118">
        <f>HYPERLINK("https://klasma.github.io/Logging_0581/kartor/A 10769-2024 karta.png", "A 10769-2024")</f>
        <v/>
      </c>
      <c r="V118">
        <f>HYPERLINK("https://klasma.github.io/Logging_0581/klagomål/A 10769-2024 FSC-klagomål.docx", "A 10769-2024")</f>
        <v/>
      </c>
      <c r="W118">
        <f>HYPERLINK("https://klasma.github.io/Logging_0581/klagomålsmail/A 10769-2024 FSC-klagomål mail.docx", "A 10769-2024")</f>
        <v/>
      </c>
      <c r="X118">
        <f>HYPERLINK("https://klasma.github.io/Logging_0581/tillsyn/A 10769-2024 tillsynsbegäran.docx", "A 10769-2024")</f>
        <v/>
      </c>
      <c r="Y118">
        <f>HYPERLINK("https://klasma.github.io/Logging_0581/tillsynsmail/A 10769-2024 tillsynsbegäran mail.docx", "A 10769-2024")</f>
        <v/>
      </c>
      <c r="Z118">
        <f>HYPERLINK("https://klasma.github.io/Logging_0581/fåglar/A 10769-2024 prioriterade fågelarter.docx", "A 10769-2024")</f>
        <v/>
      </c>
    </row>
    <row r="119" ht="15" customHeight="1">
      <c r="A119" t="inlineStr">
        <is>
          <t>A 12145-2024</t>
        </is>
      </c>
      <c r="B119" s="1" t="n">
        <v>45376</v>
      </c>
      <c r="C119" s="1" t="n">
        <v>45755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Gullgröppa</t>
        </is>
      </c>
      <c r="S119">
        <f>HYPERLINK("https://klasma.github.io/Logging_0581/artfynd/A 12145-2024 artfynd.xlsx", "A 12145-2024")</f>
        <v/>
      </c>
      <c r="T119">
        <f>HYPERLINK("https://klasma.github.io/Logging_0581/kartor/A 12145-2024 karta.png", "A 12145-2024")</f>
        <v/>
      </c>
      <c r="V119">
        <f>HYPERLINK("https://klasma.github.io/Logging_0581/klagomål/A 12145-2024 FSC-klagomål.docx", "A 12145-2024")</f>
        <v/>
      </c>
      <c r="W119">
        <f>HYPERLINK("https://klasma.github.io/Logging_0581/klagomålsmail/A 12145-2024 FSC-klagomål mail.docx", "A 12145-2024")</f>
        <v/>
      </c>
      <c r="X119">
        <f>HYPERLINK("https://klasma.github.io/Logging_0581/tillsyn/A 12145-2024 tillsynsbegäran.docx", "A 12145-2024")</f>
        <v/>
      </c>
      <c r="Y119">
        <f>HYPERLINK("https://klasma.github.io/Logging_0581/tillsynsmail/A 12145-2024 tillsynsbegäran mail.docx", "A 12145-2024")</f>
        <v/>
      </c>
    </row>
    <row r="120" ht="15" customHeight="1">
      <c r="A120" t="inlineStr">
        <is>
          <t>A 16610-2024</t>
        </is>
      </c>
      <c r="B120" s="1" t="n">
        <v>45408</v>
      </c>
      <c r="C120" s="1" t="n">
        <v>45755</v>
      </c>
      <c r="D120" t="inlineStr">
        <is>
          <t>ÖSTERGÖTLANDS LÄN</t>
        </is>
      </c>
      <c r="E120" t="inlineStr">
        <is>
          <t>NORRKÖPING</t>
        </is>
      </c>
      <c r="G120" t="n">
        <v>6.2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HYPERLINK("https://klasma.github.io/Logging_0581/artfynd/A 16610-2024 artfynd.xlsx", "A 16610-2024")</f>
        <v/>
      </c>
      <c r="T120">
        <f>HYPERLINK("https://klasma.github.io/Logging_0581/kartor/A 16610-2024 karta.png", "A 16610-2024")</f>
        <v/>
      </c>
      <c r="U120">
        <f>HYPERLINK("https://klasma.github.io/Logging_0581/knärot/A 16610-2024 karta knärot.png", "A 16610-2024")</f>
        <v/>
      </c>
      <c r="V120">
        <f>HYPERLINK("https://klasma.github.io/Logging_0581/klagomål/A 16610-2024 FSC-klagomål.docx", "A 16610-2024")</f>
        <v/>
      </c>
      <c r="W120">
        <f>HYPERLINK("https://klasma.github.io/Logging_0581/klagomålsmail/A 16610-2024 FSC-klagomål mail.docx", "A 16610-2024")</f>
        <v/>
      </c>
      <c r="X120">
        <f>HYPERLINK("https://klasma.github.io/Logging_0581/tillsyn/A 16610-2024 tillsynsbegäran.docx", "A 16610-2024")</f>
        <v/>
      </c>
      <c r="Y120">
        <f>HYPERLINK("https://klasma.github.io/Logging_0581/tillsynsmail/A 16610-2024 tillsynsbegäran mail.docx", "A 16610-2024")</f>
        <v/>
      </c>
    </row>
    <row r="121" ht="15" customHeight="1">
      <c r="A121" t="inlineStr">
        <is>
          <t>A 16867-2024</t>
        </is>
      </c>
      <c r="B121" s="1" t="n">
        <v>45411</v>
      </c>
      <c r="C121" s="1" t="n">
        <v>45755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Stare</t>
        </is>
      </c>
      <c r="S121">
        <f>HYPERLINK("https://klasma.github.io/Logging_0581/artfynd/A 16867-2024 artfynd.xlsx", "A 16867-2024")</f>
        <v/>
      </c>
      <c r="T121">
        <f>HYPERLINK("https://klasma.github.io/Logging_0581/kartor/A 16867-2024 karta.png", "A 16867-2024")</f>
        <v/>
      </c>
      <c r="V121">
        <f>HYPERLINK("https://klasma.github.io/Logging_0581/klagomål/A 16867-2024 FSC-klagomål.docx", "A 16867-2024")</f>
        <v/>
      </c>
      <c r="W121">
        <f>HYPERLINK("https://klasma.github.io/Logging_0581/klagomålsmail/A 16867-2024 FSC-klagomål mail.docx", "A 16867-2024")</f>
        <v/>
      </c>
      <c r="X121">
        <f>HYPERLINK("https://klasma.github.io/Logging_0581/tillsyn/A 16867-2024 tillsynsbegäran.docx", "A 16867-2024")</f>
        <v/>
      </c>
      <c r="Y121">
        <f>HYPERLINK("https://klasma.github.io/Logging_0581/tillsynsmail/A 16867-2024 tillsynsbegäran mail.docx", "A 16867-2024")</f>
        <v/>
      </c>
    </row>
    <row r="122" ht="15" customHeight="1">
      <c r="A122" t="inlineStr">
        <is>
          <t>A 18267-2024</t>
        </is>
      </c>
      <c r="B122" s="1" t="n">
        <v>45421</v>
      </c>
      <c r="C122" s="1" t="n">
        <v>45755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HYPERLINK("https://klasma.github.io/Logging_0581/artfynd/A 18267-2024 artfynd.xlsx", "A 18267-2024")</f>
        <v/>
      </c>
      <c r="T122">
        <f>HYPERLINK("https://klasma.github.io/Logging_0581/kartor/A 18267-2024 karta.png", "A 18267-2024")</f>
        <v/>
      </c>
      <c r="V122">
        <f>HYPERLINK("https://klasma.github.io/Logging_0581/klagomål/A 18267-2024 FSC-klagomål.docx", "A 18267-2024")</f>
        <v/>
      </c>
      <c r="W122">
        <f>HYPERLINK("https://klasma.github.io/Logging_0581/klagomålsmail/A 18267-2024 FSC-klagomål mail.docx", "A 18267-2024")</f>
        <v/>
      </c>
      <c r="X122">
        <f>HYPERLINK("https://klasma.github.io/Logging_0581/tillsyn/A 18267-2024 tillsynsbegäran.docx", "A 18267-2024")</f>
        <v/>
      </c>
      <c r="Y122">
        <f>HYPERLINK("https://klasma.github.io/Logging_0581/tillsynsmail/A 18267-2024 tillsynsbegäran mail.docx", "A 18267-2024")</f>
        <v/>
      </c>
    </row>
    <row r="123" ht="15" customHeight="1">
      <c r="A123" t="inlineStr">
        <is>
          <t>A 19256-2024</t>
        </is>
      </c>
      <c r="B123" s="1" t="n">
        <v>45428</v>
      </c>
      <c r="C123" s="1" t="n">
        <v>45755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Norrlandslav</t>
        </is>
      </c>
      <c r="S123">
        <f>HYPERLINK("https://klasma.github.io/Logging_0581/artfynd/A 19256-2024 artfynd.xlsx", "A 19256-2024")</f>
        <v/>
      </c>
      <c r="T123">
        <f>HYPERLINK("https://klasma.github.io/Logging_0581/kartor/A 19256-2024 karta.png", "A 19256-2024")</f>
        <v/>
      </c>
      <c r="V123">
        <f>HYPERLINK("https://klasma.github.io/Logging_0581/klagomål/A 19256-2024 FSC-klagomål.docx", "A 19256-2024")</f>
        <v/>
      </c>
      <c r="W123">
        <f>HYPERLINK("https://klasma.github.io/Logging_0581/klagomålsmail/A 19256-2024 FSC-klagomål mail.docx", "A 19256-2024")</f>
        <v/>
      </c>
      <c r="X123">
        <f>HYPERLINK("https://klasma.github.io/Logging_0581/tillsyn/A 19256-2024 tillsynsbegäran.docx", "A 19256-2024")</f>
        <v/>
      </c>
      <c r="Y123">
        <f>HYPERLINK("https://klasma.github.io/Logging_0581/tillsynsmail/A 19256-2024 tillsynsbegäran mail.docx", "A 19256-2024")</f>
        <v/>
      </c>
    </row>
    <row r="124" ht="15" customHeight="1">
      <c r="A124" t="inlineStr">
        <is>
          <t>A 20442-2024</t>
        </is>
      </c>
      <c r="B124" s="1" t="n">
        <v>45435</v>
      </c>
      <c r="C124" s="1" t="n">
        <v>45755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HYPERLINK("https://klasma.github.io/Logging_0581/artfynd/A 20442-2024 artfynd.xlsx", "A 20442-2024")</f>
        <v/>
      </c>
      <c r="T124">
        <f>HYPERLINK("https://klasma.github.io/Logging_0581/kartor/A 20442-2024 karta.png", "A 20442-2024")</f>
        <v/>
      </c>
      <c r="V124">
        <f>HYPERLINK("https://klasma.github.io/Logging_0581/klagomål/A 20442-2024 FSC-klagomål.docx", "A 20442-2024")</f>
        <v/>
      </c>
      <c r="W124">
        <f>HYPERLINK("https://klasma.github.io/Logging_0581/klagomålsmail/A 20442-2024 FSC-klagomål mail.docx", "A 20442-2024")</f>
        <v/>
      </c>
      <c r="X124">
        <f>HYPERLINK("https://klasma.github.io/Logging_0581/tillsyn/A 20442-2024 tillsynsbegäran.docx", "A 20442-2024")</f>
        <v/>
      </c>
      <c r="Y124">
        <f>HYPERLINK("https://klasma.github.io/Logging_0581/tillsynsmail/A 20442-2024 tillsynsbegäran mail.docx", "A 20442-2024")</f>
        <v/>
      </c>
    </row>
    <row r="125" ht="15" customHeight="1">
      <c r="A125" t="inlineStr">
        <is>
          <t>A 30318-2024</t>
        </is>
      </c>
      <c r="B125" s="1" t="n">
        <v>45490</v>
      </c>
      <c r="C125" s="1" t="n">
        <v>45755</v>
      </c>
      <c r="D125" t="inlineStr">
        <is>
          <t>ÖSTERGÖTLANDS LÄN</t>
        </is>
      </c>
      <c r="E125" t="inlineStr">
        <is>
          <t>NORRKÖPING</t>
        </is>
      </c>
      <c r="G125" t="n">
        <v>7.7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Nattviol</t>
        </is>
      </c>
      <c r="S125">
        <f>HYPERLINK("https://klasma.github.io/Logging_0581/artfynd/A 30318-2024 artfynd.xlsx", "A 30318-2024")</f>
        <v/>
      </c>
      <c r="T125">
        <f>HYPERLINK("https://klasma.github.io/Logging_0581/kartor/A 30318-2024 karta.png", "A 30318-2024")</f>
        <v/>
      </c>
      <c r="V125">
        <f>HYPERLINK("https://klasma.github.io/Logging_0581/klagomål/A 30318-2024 FSC-klagomål.docx", "A 30318-2024")</f>
        <v/>
      </c>
      <c r="W125">
        <f>HYPERLINK("https://klasma.github.io/Logging_0581/klagomålsmail/A 30318-2024 FSC-klagomål mail.docx", "A 30318-2024")</f>
        <v/>
      </c>
      <c r="X125">
        <f>HYPERLINK("https://klasma.github.io/Logging_0581/tillsyn/A 30318-2024 tillsynsbegäran.docx", "A 30318-2024")</f>
        <v/>
      </c>
      <c r="Y125">
        <f>HYPERLINK("https://klasma.github.io/Logging_0581/tillsynsmail/A 30318-2024 tillsynsbegäran mail.docx", "A 30318-2024")</f>
        <v/>
      </c>
    </row>
    <row r="126" ht="15" customHeight="1">
      <c r="A126" t="inlineStr">
        <is>
          <t>A 38876-2024</t>
        </is>
      </c>
      <c r="B126" s="1" t="n">
        <v>45547</v>
      </c>
      <c r="C126" s="1" t="n">
        <v>45755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Mindre märgborre</t>
        </is>
      </c>
      <c r="S126">
        <f>HYPERLINK("https://klasma.github.io/Logging_0581/artfynd/A 38876-2024 artfynd.xlsx", "A 38876-2024")</f>
        <v/>
      </c>
      <c r="T126">
        <f>HYPERLINK("https://klasma.github.io/Logging_0581/kartor/A 38876-2024 karta.png", "A 38876-2024")</f>
        <v/>
      </c>
      <c r="V126">
        <f>HYPERLINK("https://klasma.github.io/Logging_0581/klagomål/A 38876-2024 FSC-klagomål.docx", "A 38876-2024")</f>
        <v/>
      </c>
      <c r="W126">
        <f>HYPERLINK("https://klasma.github.io/Logging_0581/klagomålsmail/A 38876-2024 FSC-klagomål mail.docx", "A 38876-2024")</f>
        <v/>
      </c>
      <c r="X126">
        <f>HYPERLINK("https://klasma.github.io/Logging_0581/tillsyn/A 38876-2024 tillsynsbegäran.docx", "A 38876-2024")</f>
        <v/>
      </c>
      <c r="Y126">
        <f>HYPERLINK("https://klasma.github.io/Logging_0581/tillsynsmail/A 38876-2024 tillsynsbegäran mail.docx", "A 38876-2024")</f>
        <v/>
      </c>
    </row>
    <row r="127" ht="15" customHeight="1">
      <c r="A127" t="inlineStr">
        <is>
          <t>A 45953-2024</t>
        </is>
      </c>
      <c r="B127" s="1" t="n">
        <v>45580</v>
      </c>
      <c r="C127" s="1" t="n">
        <v>45755</v>
      </c>
      <c r="D127" t="inlineStr">
        <is>
          <t>ÖSTERGÖTLANDS LÄN</t>
        </is>
      </c>
      <c r="E127" t="inlineStr">
        <is>
          <t>NORRKÖPING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HYPERLINK("https://klasma.github.io/Logging_0581/artfynd/A 45953-2024 artfynd.xlsx", "A 45953-2024")</f>
        <v/>
      </c>
      <c r="T127">
        <f>HYPERLINK("https://klasma.github.io/Logging_0581/kartor/A 45953-2024 karta.png", "A 45953-2024")</f>
        <v/>
      </c>
      <c r="V127">
        <f>HYPERLINK("https://klasma.github.io/Logging_0581/klagomål/A 45953-2024 FSC-klagomål.docx", "A 45953-2024")</f>
        <v/>
      </c>
      <c r="W127">
        <f>HYPERLINK("https://klasma.github.io/Logging_0581/klagomålsmail/A 45953-2024 FSC-klagomål mail.docx", "A 45953-2024")</f>
        <v/>
      </c>
      <c r="X127">
        <f>HYPERLINK("https://klasma.github.io/Logging_0581/tillsyn/A 45953-2024 tillsynsbegäran.docx", "A 45953-2024")</f>
        <v/>
      </c>
      <c r="Y127">
        <f>HYPERLINK("https://klasma.github.io/Logging_0581/tillsynsmail/A 45953-2024 tillsynsbegäran mail.docx", "A 45953-2024")</f>
        <v/>
      </c>
    </row>
    <row r="128" ht="15" customHeight="1">
      <c r="A128" t="inlineStr">
        <is>
          <t>A 46696-2024</t>
        </is>
      </c>
      <c r="B128" s="1" t="n">
        <v>45583</v>
      </c>
      <c r="C128" s="1" t="n">
        <v>45755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HYPERLINK("https://klasma.github.io/Logging_0581/artfynd/A 46696-2024 artfynd.xlsx", "A 46696-2024")</f>
        <v/>
      </c>
      <c r="T128">
        <f>HYPERLINK("https://klasma.github.io/Logging_0581/kartor/A 46696-2024 karta.png", "A 46696-2024")</f>
        <v/>
      </c>
      <c r="V128">
        <f>HYPERLINK("https://klasma.github.io/Logging_0581/klagomål/A 46696-2024 FSC-klagomål.docx", "A 46696-2024")</f>
        <v/>
      </c>
      <c r="W128">
        <f>HYPERLINK("https://klasma.github.io/Logging_0581/klagomålsmail/A 46696-2024 FSC-klagomål mail.docx", "A 46696-2024")</f>
        <v/>
      </c>
      <c r="X128">
        <f>HYPERLINK("https://klasma.github.io/Logging_0581/tillsyn/A 46696-2024 tillsynsbegäran.docx", "A 46696-2024")</f>
        <v/>
      </c>
      <c r="Y128">
        <f>HYPERLINK("https://klasma.github.io/Logging_0581/tillsynsmail/A 46696-2024 tillsynsbegäran mail.docx", "A 46696-2024")</f>
        <v/>
      </c>
    </row>
    <row r="129" ht="15" customHeight="1">
      <c r="A129" t="inlineStr">
        <is>
          <t>A 46640-2024</t>
        </is>
      </c>
      <c r="B129" s="1" t="n">
        <v>45583</v>
      </c>
      <c r="C129" s="1" t="n">
        <v>45755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HYPERLINK("https://klasma.github.io/Logging_0581/artfynd/A 46640-2024 artfynd.xlsx", "A 46640-2024")</f>
        <v/>
      </c>
      <c r="T129">
        <f>HYPERLINK("https://klasma.github.io/Logging_0581/kartor/A 46640-2024 karta.png", "A 46640-2024")</f>
        <v/>
      </c>
      <c r="V129">
        <f>HYPERLINK("https://klasma.github.io/Logging_0581/klagomål/A 46640-2024 FSC-klagomål.docx", "A 46640-2024")</f>
        <v/>
      </c>
      <c r="W129">
        <f>HYPERLINK("https://klasma.github.io/Logging_0581/klagomålsmail/A 46640-2024 FSC-klagomål mail.docx", "A 46640-2024")</f>
        <v/>
      </c>
      <c r="X129">
        <f>HYPERLINK("https://klasma.github.io/Logging_0581/tillsyn/A 46640-2024 tillsynsbegäran.docx", "A 46640-2024")</f>
        <v/>
      </c>
      <c r="Y129">
        <f>HYPERLINK("https://klasma.github.io/Logging_0581/tillsynsmail/A 46640-2024 tillsynsbegäran mail.docx", "A 46640-2024")</f>
        <v/>
      </c>
    </row>
    <row r="130" ht="15" customHeight="1">
      <c r="A130" t="inlineStr">
        <is>
          <t>A 59830-2024</t>
        </is>
      </c>
      <c r="B130" s="1" t="n">
        <v>45639</v>
      </c>
      <c r="C130" s="1" t="n">
        <v>45755</v>
      </c>
      <c r="D130" t="inlineStr">
        <is>
          <t>ÖSTERGÖTLANDS LÄN</t>
        </is>
      </c>
      <c r="E130" t="inlineStr">
        <is>
          <t>NORRKÖPING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Kattfotslav</t>
        </is>
      </c>
      <c r="S130">
        <f>HYPERLINK("https://klasma.github.io/Logging_0581/artfynd/A 59830-2024 artfynd.xlsx", "A 59830-2024")</f>
        <v/>
      </c>
      <c r="T130">
        <f>HYPERLINK("https://klasma.github.io/Logging_0581/kartor/A 59830-2024 karta.png", "A 59830-2024")</f>
        <v/>
      </c>
      <c r="V130">
        <f>HYPERLINK("https://klasma.github.io/Logging_0581/klagomål/A 59830-2024 FSC-klagomål.docx", "A 59830-2024")</f>
        <v/>
      </c>
      <c r="W130">
        <f>HYPERLINK("https://klasma.github.io/Logging_0581/klagomålsmail/A 59830-2024 FSC-klagomål mail.docx", "A 59830-2024")</f>
        <v/>
      </c>
      <c r="X130">
        <f>HYPERLINK("https://klasma.github.io/Logging_0581/tillsyn/A 59830-2024 tillsynsbegäran.docx", "A 59830-2024")</f>
        <v/>
      </c>
      <c r="Y130">
        <f>HYPERLINK("https://klasma.github.io/Logging_0581/tillsynsmail/A 59830-2024 tillsynsbegäran mail.docx", "A 59830-2024")</f>
        <v/>
      </c>
    </row>
    <row r="131" ht="15" customHeight="1">
      <c r="A131" t="inlineStr">
        <is>
          <t>A 7316-2025</t>
        </is>
      </c>
      <c r="B131" s="1" t="n">
        <v>45702</v>
      </c>
      <c r="C131" s="1" t="n">
        <v>45755</v>
      </c>
      <c r="D131" t="inlineStr">
        <is>
          <t>ÖSTERGÖTLANDS LÄN</t>
        </is>
      </c>
      <c r="E131" t="inlineStr">
        <is>
          <t>NORRKÖPING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Vinterhämpling</t>
        </is>
      </c>
      <c r="S131">
        <f>HYPERLINK("https://klasma.github.io/Logging_0581/artfynd/A 7316-2025 artfynd.xlsx", "A 7316-2025")</f>
        <v/>
      </c>
      <c r="T131">
        <f>HYPERLINK("https://klasma.github.io/Logging_0581/kartor/A 7316-2025 karta.png", "A 7316-2025")</f>
        <v/>
      </c>
      <c r="V131">
        <f>HYPERLINK("https://klasma.github.io/Logging_0581/klagomål/A 7316-2025 FSC-klagomål.docx", "A 7316-2025")</f>
        <v/>
      </c>
      <c r="W131">
        <f>HYPERLINK("https://klasma.github.io/Logging_0581/klagomålsmail/A 7316-2025 FSC-klagomål mail.docx", "A 7316-2025")</f>
        <v/>
      </c>
      <c r="X131">
        <f>HYPERLINK("https://klasma.github.io/Logging_0581/tillsyn/A 7316-2025 tillsynsbegäran.docx", "A 7316-2025")</f>
        <v/>
      </c>
      <c r="Y131">
        <f>HYPERLINK("https://klasma.github.io/Logging_0581/tillsynsmail/A 7316-2025 tillsynsbegäran mail.docx", "A 7316-2025")</f>
        <v/>
      </c>
    </row>
    <row r="132" ht="15" customHeight="1">
      <c r="A132" t="inlineStr">
        <is>
          <t>A 11142-2025</t>
        </is>
      </c>
      <c r="B132" s="1" t="n">
        <v>45723</v>
      </c>
      <c r="C132" s="1" t="n">
        <v>45755</v>
      </c>
      <c r="D132" t="inlineStr">
        <is>
          <t>ÖSTERGÖTLANDS LÄN</t>
        </is>
      </c>
      <c r="E132" t="inlineStr">
        <is>
          <t>NORRKÖPING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Slåtterfibbla</t>
        </is>
      </c>
      <c r="S132">
        <f>HYPERLINK("https://klasma.github.io/Logging_050581/artfynd/A 11142-2025 artfynd.xlsx", "A 11142-2025")</f>
        <v/>
      </c>
      <c r="T132">
        <f>HYPERLINK("https://klasma.github.io/Logging_050581/kartor/A 11142-2025 karta.png", "A 11142-2025")</f>
        <v/>
      </c>
      <c r="V132">
        <f>HYPERLINK("https://klasma.github.io/Logging_050581/klagomål/A 11142-2025 FSC-klagomål.docx", "A 11142-2025")</f>
        <v/>
      </c>
      <c r="W132">
        <f>HYPERLINK("https://klasma.github.io/Logging_050581/klagomålsmail/A 11142-2025 FSC-klagomål mail.docx", "A 11142-2025")</f>
        <v/>
      </c>
      <c r="X132">
        <f>HYPERLINK("https://klasma.github.io/Logging_050581/tillsyn/A 11142-2025 tillsynsbegäran.docx", "A 11142-2025")</f>
        <v/>
      </c>
      <c r="Y132">
        <f>HYPERLINK("https://klasma.github.io/Logging_050581/tillsynsmail/A 11142-2025 tillsynsbegäran mail.docx", "A 11142-2025")</f>
        <v/>
      </c>
    </row>
    <row r="133" ht="15" customHeight="1">
      <c r="A133" t="inlineStr">
        <is>
          <t>A 11077-2025</t>
        </is>
      </c>
      <c r="B133" s="1" t="n">
        <v>45723</v>
      </c>
      <c r="C133" s="1" t="n">
        <v>45755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HYPERLINK("https://klasma.github.io/Logging_050581/artfynd/A 11077-2025 artfynd.xlsx", "A 11077-2025")</f>
        <v/>
      </c>
      <c r="T133">
        <f>HYPERLINK("https://klasma.github.io/Logging_050581/kartor/A 11077-2025 karta.png", "A 11077-2025")</f>
        <v/>
      </c>
      <c r="U133">
        <f>HYPERLINK("https://klasma.github.io/Logging_050581/knärot/A 11077-2025 karta knärot.png", "A 11077-2025")</f>
        <v/>
      </c>
      <c r="V133">
        <f>HYPERLINK("https://klasma.github.io/Logging_050581/klagomål/A 11077-2025 FSC-klagomål.docx", "A 11077-2025")</f>
        <v/>
      </c>
      <c r="W133">
        <f>HYPERLINK("https://klasma.github.io/Logging_050581/klagomålsmail/A 11077-2025 FSC-klagomål mail.docx", "A 11077-2025")</f>
        <v/>
      </c>
      <c r="X133">
        <f>HYPERLINK("https://klasma.github.io/Logging_050581/tillsyn/A 11077-2025 tillsynsbegäran.docx", "A 11077-2025")</f>
        <v/>
      </c>
      <c r="Y133">
        <f>HYPERLINK("https://klasma.github.io/Logging_050581/tillsynsmail/A 11077-2025 tillsynsbegäran mail.docx", "A 11077-2025")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45755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45755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45755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45755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45755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45755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45755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45755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45755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45755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45755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45755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45755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45755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45755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45755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45755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45755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45755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45755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45755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45755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45755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45755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45755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45755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45755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45755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45755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45755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45755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45755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45755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45755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45755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45755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45755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45755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45755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45755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45755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45755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45755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45755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45755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45755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45755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45755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45755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45755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45755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45755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45755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45755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45755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45755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45755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45755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45755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45755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45755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45755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45755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45755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45755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45755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45755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45755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45755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45755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45755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45755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45755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45755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45755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45755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45755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45755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45755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45755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45755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45755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45755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45755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45755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45755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45755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45755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45755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45755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45755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45755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45755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45755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45755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45755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45755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45755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45755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45755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45755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45755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45755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45755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45755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45755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45755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45755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45755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45755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45755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45755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45755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45755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45755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45755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45755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45755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45755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45755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45755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45755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45755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45755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45755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45755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45755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45755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45755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45755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45755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45755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45755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45755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45755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45755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45755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45755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45755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45755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45755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45755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45755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45755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45755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45755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45755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45755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45755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45755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45755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45755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45755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45755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45755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45755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45755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45755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45755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45755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45755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45755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45755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45755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45755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45755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45755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45755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45755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45755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45755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45755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45755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45755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45755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45755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45755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45755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45755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45755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45755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45755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45755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45755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45755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45755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45755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45755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45755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45755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45755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45755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45755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45755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45755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45755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45755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45755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45755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45755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45755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45755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45755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45755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45755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45755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45755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45755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45755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45755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45755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45755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45755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45755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45755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45755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45755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45755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45755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45755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45755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45755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45755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45755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45755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45755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45755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45755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45755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45755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45755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45755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45755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45755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45755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45755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45755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45755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45755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45755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45755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45755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45755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45755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45755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45755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45755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45755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45755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45755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45755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45755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45755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45755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45755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45755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45755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45755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45755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45755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45755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45755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45755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45755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45755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45755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45755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45755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45755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45755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45755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45755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45755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45755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45755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45755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45755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45755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45755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45755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45755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45755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45755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45755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45755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45755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45755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45755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45755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45755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45755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45755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45755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45755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45755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45755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45755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45755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45755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45755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45755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45755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45755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45755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45755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45755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45755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45755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45755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45755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45755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45755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45755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45755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45755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45755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45755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45755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45755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45755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45755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45755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45755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45755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45755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45755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45755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45755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45755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45755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45755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45755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45755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45755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45755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45755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45755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45755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45755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45755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45755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45755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45755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45755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45755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45755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45755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45755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45755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45755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45755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45755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45755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45755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45755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45755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45755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45755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45755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45755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45755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45755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45755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45755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45755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45755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45755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45755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45755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45755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45755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45755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45755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45755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45755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45755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45755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45755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45755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45755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45755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45755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45755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45755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45755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45755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45755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45755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45755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45755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45755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45755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45755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45755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45755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45755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45755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45755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45755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45755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45755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45755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45755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45755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45755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45755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45755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45755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45755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45755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45755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45755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45755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45755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45755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45755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45755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45755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45755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45755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45755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45755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45755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45755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45755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45755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45755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45755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45755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45755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45755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45755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45755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45755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45755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45755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45755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45755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45755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45755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45755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45755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45755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45755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45755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45755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45755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45755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45755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45755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45755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45755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45755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45755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45755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45755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45755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45755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45755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45755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45755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45755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45755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45755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45755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45755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45755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45755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45755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45755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45755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45755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45755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45755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45755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45755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45755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45755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45755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45755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45755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45755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45755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45755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45755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45755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45755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45755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45755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45755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45755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45755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45755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45755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45755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45755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45755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45755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45755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45755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45755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45755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45755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45755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45755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45755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45755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45755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45755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45755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45755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45755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45755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45755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45755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45755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45755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45755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45755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45755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45755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45755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45755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45755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45755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45755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45755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45755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45755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45755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45755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45755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45755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45755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45755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45755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45755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45755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45755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45755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45755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45755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45755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45755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45755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45755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45755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45755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45755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45755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45755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45755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45755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45755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45755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45755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45755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45755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45755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45755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45755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45755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45755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45755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45755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45755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45755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45755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45755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45755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45755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45755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45755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45755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45755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45755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45755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45755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45755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45755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45755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45755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45755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45755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45755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45755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45755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45755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45755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45755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45755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45755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45755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45755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45755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45755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45755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45755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45755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45755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45755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45755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45755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45755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45755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45755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45755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45755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45755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45755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45755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45755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45755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45755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45755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45755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45755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45755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45755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45755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45755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45755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45755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45755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45755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45755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45755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45755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45755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45755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45755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45755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45755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45755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45755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45755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45755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45755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45755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45755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45755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45755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45755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45755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45755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45755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45755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45755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45755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45755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45755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45755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45755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45755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45755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45755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45755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45755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45755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45755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45755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45755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45755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45755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45755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45755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45755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45755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45755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45755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45755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45755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45755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45755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45755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45755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45755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45755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45755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45755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45755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45755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45755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45755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45755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45755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45755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45755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45755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45755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45755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45755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45755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45755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45755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45755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45755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45755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45755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45755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45755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45755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45755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45755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45755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45755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45755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45755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45755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45755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45755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45755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45755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45755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45755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45755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45755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45755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45755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45755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45755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45755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45755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45755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45755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45755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45755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45755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45755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45755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45755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45755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45755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45755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45755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45755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45755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45755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45755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45755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45755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45755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45755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45755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45755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45755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45755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45755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45755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45755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45755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45755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45755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45755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45755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45755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45755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45755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45755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45755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45755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45755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45755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45755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45755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45755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45755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45755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45755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45755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45755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45755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45755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45755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45755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45755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45755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45755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45755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45755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45755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45755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45755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45755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45755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45755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45755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45755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45755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45755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45755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45755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45755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45755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45755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45755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45755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45755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45755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45755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45755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45755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45755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45755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45755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45755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45755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45755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45755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45755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45755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45755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45755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45755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45755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45755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45755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45755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45755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45755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45755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45755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45755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45755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45755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45755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45755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45755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45755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45755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45755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45755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45755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45755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45755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45755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45755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45755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45755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45755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45755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45755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45755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45755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45755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45755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45755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45755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45755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45755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45755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45755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45755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45755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45755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45755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45755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45755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45755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45755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45755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45755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45755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45755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45755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45755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45755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45755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45755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45755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45755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45755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45755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45755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45755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45755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45755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45755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45755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45755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45755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45755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45755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45755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45755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45755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45755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45755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45755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45755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45755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45755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45755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45755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45755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45755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45755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45755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45755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45755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45755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45755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45755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45755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45755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45755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45755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45755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45755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45755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45755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45755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45755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45755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45755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45755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45755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45755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45755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45755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45755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45755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45755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45755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45755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45755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45755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45755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45755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45755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45755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45755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45755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45755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45755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45755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45755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45755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45755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45755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45755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45755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45755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45755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45755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45755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45755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45755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45755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45755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45755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45755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45755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45755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45755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45755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45755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45755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45755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45755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45755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45755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45755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45755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45755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45755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45755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45755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45755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45755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45755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45755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45755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45755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45755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45755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45755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45755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45755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45755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45755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45755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45755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45755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45755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45755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45755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45755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45755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45755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45755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45755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45755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45755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45755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45755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45755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45755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45755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45755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45755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45755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45755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45755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45755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45755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45755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45755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45755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45755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45755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45755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45755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45755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45755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45755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45755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45755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45755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45755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45755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45755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45755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45755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45755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12068-2025</t>
        </is>
      </c>
      <c r="B1539" s="1" t="n">
        <v>45728</v>
      </c>
      <c r="C1539" s="1" t="n">
        <v>45755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45755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12074-2025</t>
        </is>
      </c>
      <c r="B1541" s="1" t="n">
        <v>45728</v>
      </c>
      <c r="C1541" s="1" t="n">
        <v>45755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12076-2025</t>
        </is>
      </c>
      <c r="B1542" s="1" t="n">
        <v>45728</v>
      </c>
      <c r="C1542" s="1" t="n">
        <v>45755</v>
      </c>
      <c r="D1542" t="inlineStr">
        <is>
          <t>ÖSTERGÖTLANDS LÄN</t>
        </is>
      </c>
      <c r="E1542" t="inlineStr">
        <is>
          <t>NORRKÖPING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45755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45755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45755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45755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45755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45755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45755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45755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13656-2025</t>
        </is>
      </c>
      <c r="B1551" s="1" t="n">
        <v>45736</v>
      </c>
      <c r="C1551" s="1" t="n">
        <v>45755</v>
      </c>
      <c r="D1551" t="inlineStr">
        <is>
          <t>ÖSTERGÖTLANDS LÄN</t>
        </is>
      </c>
      <c r="E1551" t="inlineStr">
        <is>
          <t>NORRKÖPING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13420-2025</t>
        </is>
      </c>
      <c r="B1552" s="1" t="n">
        <v>45736</v>
      </c>
      <c r="C1552" s="1" t="n">
        <v>45755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45755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45755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45755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45755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45755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45755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45755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45755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15194-2025</t>
        </is>
      </c>
      <c r="B1561" s="1" t="n">
        <v>45744</v>
      </c>
      <c r="C1561" s="1" t="n">
        <v>45755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15143-2025</t>
        </is>
      </c>
      <c r="B1562" s="1" t="n">
        <v>45744</v>
      </c>
      <c r="C1562" s="1" t="n">
        <v>45755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15124-2025</t>
        </is>
      </c>
      <c r="B1564" s="1" t="n">
        <v>45744</v>
      </c>
      <c r="C1564" s="1" t="n">
        <v>45755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45755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15505-2025</t>
        </is>
      </c>
      <c r="B1566" s="1" t="n">
        <v>45747</v>
      </c>
      <c r="C1566" s="1" t="n">
        <v>45755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15448-2025</t>
        </is>
      </c>
      <c r="B1567" s="1" t="n">
        <v>45747</v>
      </c>
      <c r="C1567" s="1" t="n">
        <v>45755</v>
      </c>
      <c r="D1567" t="inlineStr">
        <is>
          <t>ÖSTERGÖTLANDS LÄN</t>
        </is>
      </c>
      <c r="E1567" t="inlineStr">
        <is>
          <t>NORRKÖPING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15497-2025</t>
        </is>
      </c>
      <c r="B1568" s="1" t="n">
        <v>45747</v>
      </c>
      <c r="C1568" s="1" t="n">
        <v>45755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16741-2025</t>
        </is>
      </c>
      <c r="B1569" s="1" t="n">
        <v>45754</v>
      </c>
      <c r="C1569" s="1" t="n">
        <v>45755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2025-04-08T16:41:40Z</dcterms:created>
  <dcterms:modified xmlns:dcterms="http://purl.org/dc/terms/" xmlns:xsi="http://www.w3.org/2001/XMLSchema-instance" xsi:type="dcterms:W3CDTF">2025-04-08T16:41:41Z</dcterms:modified>
</cp:coreProperties>
</file>