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21683-2025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45783</v>
      </c>
      <c r="E8" s="1" t="n">
        <v>46320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1.9</v>
      </c>
      <c r="J8" t="n">
        <v>2</v>
      </c>
      <c r="K8" t="n">
        <v>1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13</v>
      </c>
      <c r="T8" t="n">
        <v>28</v>
      </c>
      <c r="U8" t="n">
        <v>20</v>
      </c>
      <c r="V8" s="2" t="inlineStr">
        <is>
          <t>Knärot
Lakritsmusseron
Blå taggsvamp
Dropptaggsvamp
Dvärgbägarlav
Gropticka
Kolflarnlav
Motaggsvamp
Orange taggsvamp
Ullticka
Vedskivlav
Blomkålssvamp
Spillkråka</t>
        </is>
      </c>
      <c r="W8">
        <f>HYPERLINK("https://klasma.github.io/Logging_0581/artfynd/A 21683-2025 artfynd.xlsx", "A 21683-2025")</f>
        <v/>
      </c>
      <c r="X8">
        <f>HYPERLINK("https://klasma.github.io/Logging_0581/kartor/A 21683-2025 karta.png", "A 21683-2025")</f>
        <v/>
      </c>
      <c r="Y8">
        <f>HYPERLINK("https://klasma.github.io/Logging_0581/kartor_geotiff/A 21683-2025 georefererad karta.tif", "A 21683-2025")</f>
        <v/>
      </c>
      <c r="Z8">
        <f>HYPERLINK("https://klasma.github.io/Logging_0581/knärot/A 21683-2025 karta knärot.png", "A 21683-2025")</f>
        <v/>
      </c>
      <c r="AA8">
        <f>HYPERLINK("https://klasma.github.io/Logging_0581/klagomål/A 21683-2025 FSC-klagomål.docx", "A 21683-2025")</f>
        <v/>
      </c>
      <c r="AB8">
        <f>HYPERLINK("https://klasma.github.io/Logging_0581/klagomålsmail/A 21683-2025 FSC-klagomål mail.docx", "A 21683-2025")</f>
        <v/>
      </c>
      <c r="AC8">
        <f>HYPERLINK("https://klasma.github.io/Logging_0581/tillsyn/A 21683-2025 tillsynsbegäran.docx", "A 21683-2025")</f>
        <v/>
      </c>
      <c r="AD8">
        <f>HYPERLINK("https://klasma.github.io/Logging_0581/tillsynsmail/A 21683-2025 tillsynsbegäran mail.docx", "A 21683-2025")</f>
        <v/>
      </c>
      <c r="AE8">
        <f>HYPERLINK("https://klasma.github.io/Logging_0581/fåglar/A 21683-2025 prioriterade fågelarter.docx", "A 21683-2025")</f>
        <v/>
      </c>
    </row>
    <row r="9" ht="15" customHeight="1">
      <c r="A9" t="inlineStr">
        <is>
          <t>A 38056-2026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46320</v>
      </c>
      <c r="F9" t="inlineStr">
        <is>
          <t>ÖSTERGÖTLANDS LÄN</t>
        </is>
      </c>
      <c r="G9" t="inlineStr">
        <is>
          <t>NORRKÖPING</t>
        </is>
      </c>
      <c r="I9" t="n">
        <v>20.8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28</v>
      </c>
      <c r="U9" t="n">
        <v>28</v>
      </c>
      <c r="V9" s="2" t="inlineStr">
        <is>
          <t>Knärot
Grönhjon
Motaggsvamp
Tallticka
Ullticka
Vedskivlav
Blåmossa
Bronshjon
Grovticka
Grönpyrola
Mindre märgborre
Spillkråka
Tofsmes</t>
        </is>
      </c>
      <c r="W9">
        <f>HYPERLINK("https://klasma.github.io/Logging_0581/artfynd/A 38056-2026 artfynd.xlsx", "A 38056-2026")</f>
        <v/>
      </c>
      <c r="X9">
        <f>HYPERLINK("https://klasma.github.io/Logging_0581/kartor/A 38056-2026 karta.png", "A 38056-2026")</f>
        <v/>
      </c>
      <c r="Y9">
        <f>HYPERLINK("https://klasma.github.io/Logging_0581/kartor_geotiff/A 38056-2026 georefererad karta.tif", "A 38056-2026")</f>
        <v/>
      </c>
      <c r="Z9">
        <f>HYPERLINK("https://klasma.github.io/Logging_0581/knärot/A 38056-2026 karta knärot.png", "A 38056-2026")</f>
        <v/>
      </c>
      <c r="AA9">
        <f>HYPERLINK("https://klasma.github.io/Logging_0581/klagomål/A 38056-2026 FSC-klagomål.docx", "A 38056-2026")</f>
        <v/>
      </c>
      <c r="AB9">
        <f>HYPERLINK("https://klasma.github.io/Logging_0581/klagomålsmail/A 38056-2026 FSC-klagomål mail.docx", "A 38056-2026")</f>
        <v/>
      </c>
      <c r="AC9">
        <f>HYPERLINK("https://klasma.github.io/Logging_0581/tillsyn/A 38056-2026 tillsynsbegäran.docx", "A 38056-2026")</f>
        <v/>
      </c>
      <c r="AD9">
        <f>HYPERLINK("https://klasma.github.io/Logging_0581/tillsynsmail/A 38056-2026 tillsynsbegäran mail.docx", "A 38056-2026")</f>
        <v/>
      </c>
      <c r="AE9">
        <f>HYPERLINK("https://klasma.github.io/Logging_0581/fåglar/A 38056-2026 prioriterade fågelarter.docx", "A 38056-2026")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46320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46320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46320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46320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46320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46320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46320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46320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46320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46320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46320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26385-2023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45086</v>
      </c>
      <c r="E21" s="1" t="n">
        <v>46320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Allmännings- och besparingsskogar</t>
        </is>
      </c>
      <c r="I21" t="n">
        <v>9</v>
      </c>
      <c r="J21" t="n">
        <v>1</v>
      </c>
      <c r="K21" t="n">
        <v>3</v>
      </c>
      <c r="L21" t="n">
        <v>4</v>
      </c>
      <c r="M21" t="n">
        <v>1</v>
      </c>
      <c r="N21" t="n">
        <v>1</v>
      </c>
      <c r="O21" t="n">
        <v>0</v>
      </c>
      <c r="P21" t="n">
        <v>0</v>
      </c>
      <c r="Q21" t="n">
        <v>6</v>
      </c>
      <c r="R21" t="n">
        <v>2</v>
      </c>
      <c r="S21" t="n">
        <v>9</v>
      </c>
      <c r="T21" t="n">
        <v>13</v>
      </c>
      <c r="U21" t="n">
        <v>0</v>
      </c>
      <c r="V21" s="2" t="inlineStr">
        <is>
          <t>Granlundlav
Hasselsnok
Lunglav
Rosa skärelav
Tallticka
Vedskivlav
Fällmossa
Grovticka
Klippfrullania</t>
        </is>
      </c>
      <c r="W21">
        <f>HYPERLINK("https://klasma.github.io/Logging_0581/artfynd/A 26385-2023 artfynd.xlsx", "A 26385-2023")</f>
        <v/>
      </c>
      <c r="X21">
        <f>HYPERLINK("https://klasma.github.io/Logging_0581/kartor/A 26385-2023 karta.png", "A 26385-2023")</f>
        <v/>
      </c>
      <c r="Y21">
        <f>HYPERLINK("https://klasma.github.io/Logging_0581/kartor_geotiff/A 26385-2023 georefererad karta.tif", "A 26385-2023")</f>
        <v/>
      </c>
      <c r="AA21">
        <f>HYPERLINK("https://klasma.github.io/Logging_0581/klagomål/A 26385-2023 FSC-klagomål.docx", "A 26385-2023")</f>
        <v/>
      </c>
      <c r="AB21">
        <f>HYPERLINK("https://klasma.github.io/Logging_0581/klagomålsmail/A 26385-2023 FSC-klagomål mail.docx", "A 26385-2023")</f>
        <v/>
      </c>
      <c r="AC21">
        <f>HYPERLINK("https://klasma.github.io/Logging_0581/tillsyn/A 26385-2023 tillsynsbegäran.docx", "A 26385-2023")</f>
        <v/>
      </c>
      <c r="AD21">
        <f>HYPERLINK("https://klasma.github.io/Logging_0581/tillsynsmail/A 26385-2023 tillsynsbegäran mail.docx", "A 26385-2023")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46320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46320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17463-2026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46120</v>
      </c>
      <c r="E24" s="1" t="n">
        <v>46320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4.1</v>
      </c>
      <c r="J24" t="n">
        <v>2</v>
      </c>
      <c r="K24" t="n">
        <v>4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8</v>
      </c>
      <c r="T24" t="n">
        <v>15</v>
      </c>
      <c r="U24" t="n">
        <v>10</v>
      </c>
      <c r="V24" s="2" t="inlineStr">
        <is>
          <t>Knärot
Skuggblåslav
Tallticka
Blåmossa
Granbarkgnagare
Grönpyrola
Klippfrullania
Spillkråka</t>
        </is>
      </c>
      <c r="W24">
        <f>HYPERLINK("https://klasma.github.io/Logging_0581/artfynd/A 17463-2026 artfynd.xlsx", "A 17463-2026")</f>
        <v/>
      </c>
      <c r="X24">
        <f>HYPERLINK("https://klasma.github.io/Logging_0581/kartor/A 17463-2026 karta.png", "A 17463-2026")</f>
        <v/>
      </c>
      <c r="Y24">
        <f>HYPERLINK("https://klasma.github.io/Logging_0581/kartor_geotiff/A 17463-2026 georefererad karta.tif", "A 17463-2026")</f>
        <v/>
      </c>
      <c r="Z24">
        <f>HYPERLINK("https://klasma.github.io/Logging_0581/knärot/A 17463-2026 karta knärot.png", "A 17463-2026")</f>
        <v/>
      </c>
      <c r="AA24">
        <f>HYPERLINK("https://klasma.github.io/Logging_0581/klagomål/A 17463-2026 FSC-klagomål.docx", "A 17463-2026")</f>
        <v/>
      </c>
      <c r="AB24">
        <f>HYPERLINK("https://klasma.github.io/Logging_0581/klagomålsmail/A 17463-2026 FSC-klagomål mail.docx", "A 17463-2026")</f>
        <v/>
      </c>
      <c r="AC24">
        <f>HYPERLINK("https://klasma.github.io/Logging_0581/tillsyn/A 17463-2026 tillsynsbegäran.docx", "A 17463-2026")</f>
        <v/>
      </c>
      <c r="AD24">
        <f>HYPERLINK("https://klasma.github.io/Logging_0581/tillsynsmail/A 17463-2026 tillsynsbegäran mail.docx", "A 17463-2026")</f>
        <v/>
      </c>
      <c r="AE24">
        <f>HYPERLINK("https://klasma.github.io/Logging_0581/fåglar/A 17463-2026 prioriterade fågelarter.docx", "A 17463-2026")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46320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46320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46320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46320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46320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46320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46320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46320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46320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46320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46320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2165-2022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46320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BillerudKorsnäs AB</t>
        </is>
      </c>
      <c r="I39" t="n">
        <v>2.1</v>
      </c>
      <c r="J39" t="n">
        <v>3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Röd skogslilja
Granbarkgnagare
Purpurknipprot
Stubbspretmossa
Blåsippa</t>
        </is>
      </c>
      <c r="W39">
        <f>HYPERLINK("https://klasma.github.io/Logging_0581/artfynd/A 2165-2022 artfynd.xlsx", "A 2165-2022")</f>
        <v/>
      </c>
      <c r="X39">
        <f>HYPERLINK("https://klasma.github.io/Logging_0581/kartor/A 2165-2022 karta.png", "A 2165-2022")</f>
        <v/>
      </c>
      <c r="Y39">
        <f>HYPERLINK("https://klasma.github.io/Logging_0581/kartor_geotiff/A 2165-2022 georefererad karta.tif", "A 2165-2022")</f>
        <v/>
      </c>
      <c r="AA39">
        <f>HYPERLINK("https://klasma.github.io/Logging_0581/klagomål/A 2165-2022 FSC-klagomål.docx", "A 2165-2022")</f>
        <v/>
      </c>
      <c r="AB39">
        <f>HYPERLINK("https://klasma.github.io/Logging_0581/klagomålsmail/A 2165-2022 FSC-klagomål mail.docx", "A 2165-2022")</f>
        <v/>
      </c>
      <c r="AC39">
        <f>HYPERLINK("https://klasma.github.io/Logging_0581/tillsyn/A 2165-2022 tillsynsbegäran.docx", "A 2165-2022")</f>
        <v/>
      </c>
      <c r="AD39">
        <f>HYPERLINK("https://klasma.github.io/Logging_0581/tillsynsmail/A 2165-2022 tillsynsbegäran mail.docx", "A 2165-2022")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46320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46320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46320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46320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46320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46320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18267-2024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45421</v>
      </c>
      <c r="E46" s="1" t="n">
        <v>46320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1.4</v>
      </c>
      <c r="J46" t="n">
        <v>2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Mörk kolflarnlav
Gullgröppa
Tjäder
Fläcknycklar</t>
        </is>
      </c>
      <c r="W46">
        <f>HYPERLINK("https://klasma.github.io/Logging_0581/artfynd/A 18267-2024 artfynd.xlsx", "A 18267-2024")</f>
        <v/>
      </c>
      <c r="X46">
        <f>HYPERLINK("https://klasma.github.io/Logging_0581/kartor/A 18267-2024 karta.png", "A 18267-2024")</f>
        <v/>
      </c>
      <c r="Y46">
        <f>HYPERLINK("https://klasma.github.io/Logging_0581/kartor_geotiff/A 18267-2024 georefererad karta.tif", "A 18267-2024")</f>
        <v/>
      </c>
      <c r="AA46">
        <f>HYPERLINK("https://klasma.github.io/Logging_0581/klagomål/A 18267-2024 FSC-klagomål.docx", "A 18267-2024")</f>
        <v/>
      </c>
      <c r="AB46">
        <f>HYPERLINK("https://klasma.github.io/Logging_0581/klagomålsmail/A 18267-2024 FSC-klagomål mail.docx", "A 18267-2024")</f>
        <v/>
      </c>
      <c r="AC46">
        <f>HYPERLINK("https://klasma.github.io/Logging_0581/tillsyn/A 18267-2024 tillsynsbegäran.docx", "A 18267-2024")</f>
        <v/>
      </c>
      <c r="AD46">
        <f>HYPERLINK("https://klasma.github.io/Logging_0581/tillsynsmail/A 18267-2024 tillsynsbegäran mail.docx", "A 18267-2024")</f>
        <v/>
      </c>
      <c r="AE46">
        <f>HYPERLINK("https://klasma.github.io/Logging_0581/fåglar/A 18267-2024 prioriterade fågelarter.docx", "A 18267-2024")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46320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46320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46320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36581-2026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46269</v>
      </c>
      <c r="E50" s="1" t="n">
        <v>46320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Mindre hackspett
Barkticka
Fällmossa
Blåsippa</t>
        </is>
      </c>
      <c r="W50">
        <f>HYPERLINK("https://klasma.github.io/Logging_0581/artfynd/A 36581-2026 artfynd.xlsx", "A 36581-2026")</f>
        <v/>
      </c>
      <c r="X50">
        <f>HYPERLINK("https://klasma.github.io/Logging_0581/kartor/A 36581-2026 karta.png", "A 36581-2026")</f>
        <v/>
      </c>
      <c r="Y50">
        <f>HYPERLINK("https://klasma.github.io/Logging_0581/kartor_geotiff/A 36581-2026 georefererad karta.tif", "A 36581-2026")</f>
        <v/>
      </c>
      <c r="AA50">
        <f>HYPERLINK("https://klasma.github.io/Logging_0581/klagomål/A 36581-2026 FSC-klagomål.docx", "A 36581-2026")</f>
        <v/>
      </c>
      <c r="AB50">
        <f>HYPERLINK("https://klasma.github.io/Logging_0581/klagomålsmail/A 36581-2026 FSC-klagomål mail.docx", "A 36581-2026")</f>
        <v/>
      </c>
      <c r="AC50">
        <f>HYPERLINK("https://klasma.github.io/Logging_0581/tillsyn/A 36581-2026 tillsynsbegäran.docx", "A 36581-2026")</f>
        <v/>
      </c>
      <c r="AD50">
        <f>HYPERLINK("https://klasma.github.io/Logging_0581/tillsynsmail/A 36581-2026 tillsynsbegäran mail.docx", "A 36581-2026")</f>
        <v/>
      </c>
      <c r="AE50">
        <f>HYPERLINK("https://klasma.github.io/Logging_0581/fåglar/A 36581-2026 prioriterade fågelarter.docx", "A 36581-2026")</f>
        <v/>
      </c>
    </row>
    <row r="51" ht="15" customHeight="1">
      <c r="A51" t="inlineStr">
        <is>
          <t>A 18491-2023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45042</v>
      </c>
      <c r="E51" s="1" t="n">
        <v>46320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7</v>
      </c>
      <c r="J51" t="n">
        <v>0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5</v>
      </c>
      <c r="U51" t="n">
        <v>4</v>
      </c>
      <c r="V51" s="2" t="inlineStr">
        <is>
          <t>Citronporing
Kandelabersvamp
Vit vedfingersvamp
Tibast</t>
        </is>
      </c>
      <c r="W51">
        <f>HYPERLINK("https://klasma.github.io/Logging_0581/artfynd/A 18491-2023 artfynd.xlsx", "A 18491-2023")</f>
        <v/>
      </c>
      <c r="X51">
        <f>HYPERLINK("https://klasma.github.io/Logging_0581/kartor/A 18491-2023 karta.png", "A 18491-2023")</f>
        <v/>
      </c>
      <c r="Y51">
        <f>HYPERLINK("https://klasma.github.io/Logging_0581/kartor_geotiff/A 18491-2023 georefererad karta.tif", "A 18491-2023")</f>
        <v/>
      </c>
      <c r="AA51">
        <f>HYPERLINK("https://klasma.github.io/Logging_0581/klagomål/A 18491-2023 FSC-klagomål.docx", "A 18491-2023")</f>
        <v/>
      </c>
      <c r="AB51">
        <f>HYPERLINK("https://klasma.github.io/Logging_0581/klagomålsmail/A 18491-2023 FSC-klagomål mail.docx", "A 18491-2023")</f>
        <v/>
      </c>
      <c r="AC51">
        <f>HYPERLINK("https://klasma.github.io/Logging_0581/tillsyn/A 18491-2023 tillsynsbegäran.docx", "A 18491-2023")</f>
        <v/>
      </c>
      <c r="AD51">
        <f>HYPERLINK("https://klasma.github.io/Logging_0581/tillsynsmail/A 18491-2023 tillsynsbegäran mail.docx", "A 18491-2023")</f>
        <v/>
      </c>
    </row>
    <row r="52" ht="15" customHeight="1">
      <c r="A52" t="inlineStr">
        <is>
          <t>A 51538-2024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46320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1.6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9</v>
      </c>
      <c r="U52" t="n">
        <v>9</v>
      </c>
      <c r="V52" s="2" t="inlineStr">
        <is>
          <t>Bårdlav
Fällmossa
Hasselticka
Blåsippa</t>
        </is>
      </c>
      <c r="W52">
        <f>HYPERLINK("https://klasma.github.io/Logging_0581/artfynd/A 51538-2024 artfynd.xlsx", "A 51538-2024")</f>
        <v/>
      </c>
      <c r="X52">
        <f>HYPERLINK("https://klasma.github.io/Logging_0581/kartor/A 51538-2024 karta.png", "A 51538-2024")</f>
        <v/>
      </c>
      <c r="Y52">
        <f>HYPERLINK("https://klasma.github.io/Logging_0581/kartor_geotiff/A 51538-2024 georefererad karta.tif", "A 51538-2024")</f>
        <v/>
      </c>
      <c r="AA52">
        <f>HYPERLINK("https://klasma.github.io/Logging_0581/klagomål/A 51538-2024 FSC-klagomål.docx", "A 51538-2024")</f>
        <v/>
      </c>
      <c r="AB52">
        <f>HYPERLINK("https://klasma.github.io/Logging_0581/klagomålsmail/A 51538-2024 FSC-klagomål mail.docx", "A 51538-2024")</f>
        <v/>
      </c>
      <c r="AC52">
        <f>HYPERLINK("https://klasma.github.io/Logging_0581/tillsyn/A 51538-2024 tillsynsbegäran.docx", "A 51538-2024")</f>
        <v/>
      </c>
      <c r="AD52">
        <f>HYPERLINK("https://klasma.github.io/Logging_0581/tillsynsmail/A 51538-2024 tillsynsbegäran mail.docx", "A 51538-2024")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46320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9512-2023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46320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2.1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Tallticka
Jättesvampmal</t>
        </is>
      </c>
      <c r="W55">
        <f>HYPERLINK("https://klasma.github.io/Logging_0581/artfynd/A 9512-2023 artfynd.xlsx", "A 9512-2023")</f>
        <v/>
      </c>
      <c r="X55">
        <f>HYPERLINK("https://klasma.github.io/Logging_0581/kartor/A 9512-2023 karta.png", "A 9512-2023")</f>
        <v/>
      </c>
      <c r="Y55">
        <f>HYPERLINK("https://klasma.github.io/Logging_0581/kartor_geotiff/A 9512-2023 georefererad karta.tif", "A 9512-2023")</f>
        <v/>
      </c>
      <c r="AA55">
        <f>HYPERLINK("https://klasma.github.io/Logging_0581/klagomål/A 9512-2023 FSC-klagomål.docx", "A 9512-2023")</f>
        <v/>
      </c>
      <c r="AB55">
        <f>HYPERLINK("https://klasma.github.io/Logging_0581/klagomålsmail/A 9512-2023 FSC-klagomål mail.docx", "A 9512-2023")</f>
        <v/>
      </c>
      <c r="AC55">
        <f>HYPERLINK("https://klasma.github.io/Logging_0581/tillsyn/A 9512-2023 tillsynsbegäran.docx", "A 9512-2023")</f>
        <v/>
      </c>
      <c r="AD55">
        <f>HYPERLINK("https://klasma.github.io/Logging_0581/tillsynsmail/A 9512-2023 tillsynsbegäran mail.docx", "A 9512-2023")</f>
        <v/>
      </c>
    </row>
    <row r="56" ht="15" customHeight="1">
      <c r="A56" t="inlineStr">
        <is>
          <t>A 28766-2026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46320</v>
      </c>
      <c r="F56" t="inlineStr">
        <is>
          <t>ÖSTERGÖTLANDS LÄN</t>
        </is>
      </c>
      <c r="G56" t="inlineStr">
        <is>
          <t>NORRKÖPING</t>
        </is>
      </c>
      <c r="I56" t="n">
        <v>4.6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Ljungsnärja
Backtimjan
Granbarkgnagare</t>
        </is>
      </c>
      <c r="W56">
        <f>HYPERLINK("https://klasma.github.io/Logging_0581/artfynd/A 28766-2026 artfynd.xlsx", "A 28766-2026")</f>
        <v/>
      </c>
      <c r="X56">
        <f>HYPERLINK("https://klasma.github.io/Logging_0581/kartor/A 28766-2026 karta.png", "A 28766-2026")</f>
        <v/>
      </c>
      <c r="Y56">
        <f>HYPERLINK("https://klasma.github.io/Logging_0581/kartor_geotiff/A 28766-2026 georefererad karta.tif", "A 28766-2026")</f>
        <v/>
      </c>
      <c r="AA56">
        <f>HYPERLINK("https://klasma.github.io/Logging_0581/klagomål/A 28766-2026 FSC-klagomål.docx", "A 28766-2026")</f>
        <v/>
      </c>
      <c r="AB56">
        <f>HYPERLINK("https://klasma.github.io/Logging_0581/klagomålsmail/A 28766-2026 FSC-klagomål mail.docx", "A 28766-2026")</f>
        <v/>
      </c>
      <c r="AC56">
        <f>HYPERLINK("https://klasma.github.io/Logging_0581/tillsyn/A 28766-2026 tillsynsbegäran.docx", "A 28766-2026")</f>
        <v/>
      </c>
      <c r="AD56">
        <f>HYPERLINK("https://klasma.github.io/Logging_0581/tillsynsmail/A 28766-2026 tillsynsbegäran mail.docx", "A 28766-2026")</f>
        <v/>
      </c>
    </row>
    <row r="57" ht="15" customHeight="1">
      <c r="A57" t="inlineStr">
        <is>
          <t>A 31373-2026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46213</v>
      </c>
      <c r="E57" s="1" t="n">
        <v>46320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6.1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Spillkråka
Revlummer</t>
        </is>
      </c>
      <c r="W57">
        <f>HYPERLINK("https://klasma.github.io/Logging_0581/artfynd/A 31373-2026 artfynd.xlsx", "A 31373-2026")</f>
        <v/>
      </c>
      <c r="X57">
        <f>HYPERLINK("https://klasma.github.io/Logging_0581/kartor/A 31373-2026 karta.png", "A 31373-2026")</f>
        <v/>
      </c>
      <c r="Y57">
        <f>HYPERLINK("https://klasma.github.io/Logging_0581/kartor_geotiff/A 31373-2026 georefererad karta.tif", "A 31373-2026")</f>
        <v/>
      </c>
      <c r="AA57">
        <f>HYPERLINK("https://klasma.github.io/Logging_0581/klagomål/A 31373-2026 FSC-klagomål.docx", "A 31373-2026")</f>
        <v/>
      </c>
      <c r="AB57">
        <f>HYPERLINK("https://klasma.github.io/Logging_0581/klagomålsmail/A 31373-2026 FSC-klagomål mail.docx", "A 31373-2026")</f>
        <v/>
      </c>
      <c r="AC57">
        <f>HYPERLINK("https://klasma.github.io/Logging_0581/tillsyn/A 31373-2026 tillsynsbegäran.docx", "A 31373-2026")</f>
        <v/>
      </c>
      <c r="AD57">
        <f>HYPERLINK("https://klasma.github.io/Logging_0581/tillsynsmail/A 31373-2026 tillsynsbegäran mail.docx", "A 31373-2026")</f>
        <v/>
      </c>
      <c r="AE57">
        <f>HYPERLINK("https://klasma.github.io/Logging_0581/fåglar/A 31373-2026 prioriterade fågelarter.docx", "A 31373-2026")</f>
        <v/>
      </c>
    </row>
    <row r="58" ht="15" customHeight="1">
      <c r="A58" t="inlineStr">
        <is>
          <t>A 60171-2023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45258</v>
      </c>
      <c r="E58" s="1" t="n">
        <v>46320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Blomkålssvamp
Kransmossa</t>
        </is>
      </c>
      <c r="W58">
        <f>HYPERLINK("https://klasma.github.io/Logging_0581/artfynd/A 60171-2023 artfynd.xlsx", "A 60171-2023")</f>
        <v/>
      </c>
      <c r="X58">
        <f>HYPERLINK("https://klasma.github.io/Logging_0581/kartor/A 60171-2023 karta.png", "A 60171-2023")</f>
        <v/>
      </c>
      <c r="Y58">
        <f>HYPERLINK("https://klasma.github.io/Logging_0581/kartor_geotiff/A 60171-2023 georefererad karta.tif", "A 60171-2023")</f>
        <v/>
      </c>
      <c r="AA58">
        <f>HYPERLINK("https://klasma.github.io/Logging_0581/klagomål/A 60171-2023 FSC-klagomål.docx", "A 60171-2023")</f>
        <v/>
      </c>
      <c r="AB58">
        <f>HYPERLINK("https://klasma.github.io/Logging_0581/klagomålsmail/A 60171-2023 FSC-klagomål mail.docx", "A 60171-2023")</f>
        <v/>
      </c>
      <c r="AC58">
        <f>HYPERLINK("https://klasma.github.io/Logging_0581/tillsyn/A 60171-2023 tillsynsbegäran.docx", "A 60171-2023")</f>
        <v/>
      </c>
      <c r="AD58">
        <f>HYPERLINK("https://klasma.github.io/Logging_0581/tillsynsmail/A 60171-2023 tillsynsbegäran mail.docx", "A 60171-2023")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46320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46320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23969-2025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46320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Crepis tectorum subsp. tectorum
Grönsångare
Tallticka</t>
        </is>
      </c>
      <c r="W61">
        <f>HYPERLINK("https://klasma.github.io/Logging_0581/artfynd/A 23969-2025 artfynd.xlsx", "A 23969-2025")</f>
        <v/>
      </c>
      <c r="X61">
        <f>HYPERLINK("https://klasma.github.io/Logging_0581/kartor/A 23969-2025 karta.png", "A 23969-2025")</f>
        <v/>
      </c>
      <c r="Y61">
        <f>HYPERLINK("https://klasma.github.io/Logging_0581/kartor_geotiff/A 23969-2025 georefererad karta.tif", "A 23969-2025")</f>
        <v/>
      </c>
      <c r="AA61">
        <f>HYPERLINK("https://klasma.github.io/Logging_0581/klagomål/A 23969-2025 FSC-klagomål.docx", "A 23969-2025")</f>
        <v/>
      </c>
      <c r="AB61">
        <f>HYPERLINK("https://klasma.github.io/Logging_0581/klagomålsmail/A 23969-2025 FSC-klagomål mail.docx", "A 23969-2025")</f>
        <v/>
      </c>
      <c r="AC61">
        <f>HYPERLINK("https://klasma.github.io/Logging_0581/tillsyn/A 23969-2025 tillsynsbegäran.docx", "A 23969-2025")</f>
        <v/>
      </c>
      <c r="AD61">
        <f>HYPERLINK("https://klasma.github.io/Logging_0581/tillsynsmail/A 23969-2025 tillsynsbegäran mail.docx", "A 23969-2025")</f>
        <v/>
      </c>
      <c r="AE61">
        <f>HYPERLINK("https://klasma.github.io/Logging_0581/fåglar/A 23969-2025 prioriterade fågelarter.docx", "A 23969-2025")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46320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46320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46320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36366-2026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46268</v>
      </c>
      <c r="E65" s="1" t="n">
        <v>46320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BillerudKorsnäs AB</t>
        </is>
      </c>
      <c r="I65" t="n">
        <v>2.5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Knärot
Tallticka
Blåmossa</t>
        </is>
      </c>
      <c r="W65">
        <f>HYPERLINK("https://klasma.github.io/Logging_0581/artfynd/A 36366-2026 artfynd.xlsx", "A 36366-2026")</f>
        <v/>
      </c>
      <c r="X65">
        <f>HYPERLINK("https://klasma.github.io/Logging_0581/kartor/A 36366-2026 karta.png", "A 36366-2026")</f>
        <v/>
      </c>
      <c r="Y65">
        <f>HYPERLINK("https://klasma.github.io/Logging_0581/kartor_geotiff/A 36366-2026 georefererad karta.tif", "A 36366-2026")</f>
        <v/>
      </c>
      <c r="Z65">
        <f>HYPERLINK("https://klasma.github.io/Logging_0581/knärot/A 36366-2026 karta knärot.png", "A 36366-2026")</f>
        <v/>
      </c>
      <c r="AA65">
        <f>HYPERLINK("https://klasma.github.io/Logging_0581/klagomål/A 36366-2026 FSC-klagomål.docx", "A 36366-2026")</f>
        <v/>
      </c>
      <c r="AB65">
        <f>HYPERLINK("https://klasma.github.io/Logging_0581/klagomålsmail/A 36366-2026 FSC-klagomål mail.docx", "A 36366-2026")</f>
        <v/>
      </c>
      <c r="AC65">
        <f>HYPERLINK("https://klasma.github.io/Logging_0581/tillsyn/A 36366-2026 tillsynsbegäran.docx", "A 36366-2026")</f>
        <v/>
      </c>
      <c r="AD65">
        <f>HYPERLINK("https://klasma.github.io/Logging_0581/tillsynsmail/A 36366-2026 tillsynsbegäran mail.docx", "A 36366-2026")</f>
        <v/>
      </c>
    </row>
    <row r="66" ht="15" customHeight="1">
      <c r="A66" t="inlineStr">
        <is>
          <t>A 861-2023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44931</v>
      </c>
      <c r="E66" s="1" t="n">
        <v>46320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Kommuner</t>
        </is>
      </c>
      <c r="I66" t="n">
        <v>4.4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Nordfladdermus
Dvärgpipistrell
Vattenfladdermus</t>
        </is>
      </c>
      <c r="W66">
        <f>HYPERLINK("https://klasma.github.io/Logging_0581/artfynd/A 861-2023 artfynd.xlsx", "A 861-2023")</f>
        <v/>
      </c>
      <c r="X66">
        <f>HYPERLINK("https://klasma.github.io/Logging_0581/kartor/A 861-2023 karta.png", "A 861-2023")</f>
        <v/>
      </c>
      <c r="Y66">
        <f>HYPERLINK("https://klasma.github.io/Logging_0581/kartor_geotiff/A 861-2023 georefererad karta.tif", "A 861-2023")</f>
        <v/>
      </c>
      <c r="AA66">
        <f>HYPERLINK("https://klasma.github.io/Logging_0581/klagomål/A 861-2023 FSC-klagomål.docx", "A 861-2023")</f>
        <v/>
      </c>
      <c r="AB66">
        <f>HYPERLINK("https://klasma.github.io/Logging_0581/klagomålsmail/A 861-2023 FSC-klagomål mail.docx", "A 861-2023")</f>
        <v/>
      </c>
      <c r="AC66">
        <f>HYPERLINK("https://klasma.github.io/Logging_0581/tillsyn/A 861-2023 tillsynsbegäran.docx", "A 861-2023")</f>
        <v/>
      </c>
      <c r="AD66">
        <f>HYPERLINK("https://klasma.github.io/Logging_0581/tillsynsmail/A 861-2023 tillsynsbegäran mail.docx", "A 861-2023")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46320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12692-2025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46320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2</v>
      </c>
      <c r="V68" s="2" t="inlineStr">
        <is>
          <t>Dvärgbägarlav
Vedskivlav
Mattlummer</t>
        </is>
      </c>
      <c r="W68">
        <f>HYPERLINK("https://klasma.github.io/Logging_0581/artfynd/A 12692-2025 artfynd.xlsx", "A 12692-2025")</f>
        <v/>
      </c>
      <c r="X68">
        <f>HYPERLINK("https://klasma.github.io/Logging_0581/kartor/A 12692-2025 karta.png", "A 12692-2025")</f>
        <v/>
      </c>
      <c r="Y68">
        <f>HYPERLINK("https://klasma.github.io/Logging_0581/kartor_geotiff/A 12692-2025 georefererad karta.tif", "A 12692-2025")</f>
        <v/>
      </c>
      <c r="AA68">
        <f>HYPERLINK("https://klasma.github.io/Logging_0581/klagomål/A 12692-2025 FSC-klagomål.docx", "A 12692-2025")</f>
        <v/>
      </c>
      <c r="AB68">
        <f>HYPERLINK("https://klasma.github.io/Logging_0581/klagomålsmail/A 12692-2025 FSC-klagomål mail.docx", "A 12692-2025")</f>
        <v/>
      </c>
      <c r="AC68">
        <f>HYPERLINK("https://klasma.github.io/Logging_0581/tillsyn/A 12692-2025 tillsynsbegäran.docx", "A 12692-2025")</f>
        <v/>
      </c>
      <c r="AD68">
        <f>HYPERLINK("https://klasma.github.io/Logging_0581/tillsynsmail/A 12692-2025 tillsynsbegäran mail.docx", "A 12692-2025")</f>
        <v/>
      </c>
    </row>
    <row r="69" ht="15" customHeight="1">
      <c r="A69" t="inlineStr">
        <is>
          <t>A 7316-2025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46320</v>
      </c>
      <c r="F69" t="inlineStr">
        <is>
          <t>ÖSTERGÖTLANDS LÄN</t>
        </is>
      </c>
      <c r="G69" t="inlineStr">
        <is>
          <t>NORRKÖPING</t>
        </is>
      </c>
      <c r="I69" t="n">
        <v>1.6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Silltrut
Vinterhämpling
Sångsvan</t>
        </is>
      </c>
      <c r="W69">
        <f>HYPERLINK("https://klasma.github.io/Logging_0581/artfynd/A 7316-2025 artfynd.xlsx", "A 7316-2025")</f>
        <v/>
      </c>
      <c r="X69">
        <f>HYPERLINK("https://klasma.github.io/Logging_0581/kartor/A 7316-2025 karta.png", "A 7316-2025")</f>
        <v/>
      </c>
      <c r="Y69">
        <f>HYPERLINK("https://klasma.github.io/Logging_0581/kartor_geotiff/A 7316-2025 georefererad karta.tif", "A 7316-2025")</f>
        <v/>
      </c>
      <c r="AA69">
        <f>HYPERLINK("https://klasma.github.io/Logging_0581/klagomål/A 7316-2025 FSC-klagomål.docx", "A 7316-2025")</f>
        <v/>
      </c>
      <c r="AB69">
        <f>HYPERLINK("https://klasma.github.io/Logging_0581/klagomålsmail/A 7316-2025 FSC-klagomål mail.docx", "A 7316-2025")</f>
        <v/>
      </c>
      <c r="AC69">
        <f>HYPERLINK("https://klasma.github.io/Logging_0581/tillsyn/A 7316-2025 tillsynsbegäran.docx", "A 7316-2025")</f>
        <v/>
      </c>
      <c r="AD69">
        <f>HYPERLINK("https://klasma.github.io/Logging_0581/tillsynsmail/A 7316-2025 tillsynsbegäran mail.docx", "A 7316-2025")</f>
        <v/>
      </c>
      <c r="AE69">
        <f>HYPERLINK("https://klasma.github.io/Logging_0581/fåglar/A 7316-2025 prioriterade fågelarter.docx", "A 7316-2025")</f>
        <v/>
      </c>
    </row>
    <row r="70" ht="15" customHeight="1">
      <c r="A70" t="inlineStr">
        <is>
          <t>A 28062-2022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46320</v>
      </c>
      <c r="F70" t="inlineStr">
        <is>
          <t>ÖSTERGÖTLANDS LÄN</t>
        </is>
      </c>
      <c r="G70" t="inlineStr">
        <is>
          <t>NORRKÖPING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4</v>
      </c>
      <c r="U70" t="n">
        <v>0</v>
      </c>
      <c r="V70" s="2" t="inlineStr">
        <is>
          <t>Slåtterfibbla
Svinrot
Mattlummer</t>
        </is>
      </c>
      <c r="W70">
        <f>HYPERLINK("https://klasma.github.io/Logging_0581/artfynd/A 28062-2022 artfynd.xlsx", "A 28062-2022")</f>
        <v/>
      </c>
      <c r="X70">
        <f>HYPERLINK("https://klasma.github.io/Logging_0581/kartor/A 28062-2022 karta.png", "A 28062-2022")</f>
        <v/>
      </c>
      <c r="Y70">
        <f>HYPERLINK("https://klasma.github.io/Logging_0581/kartor_geotiff/A 28062-2022 georefererad karta.tif", "A 28062-2022")</f>
        <v/>
      </c>
      <c r="AA70">
        <f>HYPERLINK("https://klasma.github.io/Logging_0581/klagomål/A 28062-2022 FSC-klagomål.docx", "A 28062-2022")</f>
        <v/>
      </c>
      <c r="AB70">
        <f>HYPERLINK("https://klasma.github.io/Logging_0581/klagomålsmail/A 28062-2022 FSC-klagomål mail.docx", "A 28062-2022")</f>
        <v/>
      </c>
      <c r="AC70">
        <f>HYPERLINK("https://klasma.github.io/Logging_0581/tillsyn/A 28062-2022 tillsynsbegäran.docx", "A 28062-2022")</f>
        <v/>
      </c>
      <c r="AD70">
        <f>HYPERLINK("https://klasma.github.io/Logging_0581/tillsynsmail/A 28062-2022 tillsynsbegäran mail.docx", "A 28062-2022")</f>
        <v/>
      </c>
    </row>
    <row r="71" ht="15" customHeight="1">
      <c r="A71" t="inlineStr">
        <is>
          <t>A 14646-2023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45013</v>
      </c>
      <c r="E71" s="1" t="n">
        <v>46320</v>
      </c>
      <c r="F71" t="inlineStr">
        <is>
          <t>ÖSTERGÖTLANDS LÄN</t>
        </is>
      </c>
      <c r="G71" t="inlineStr">
        <is>
          <t>NORRKÖPING</t>
        </is>
      </c>
      <c r="I71" t="n">
        <v>5.4</v>
      </c>
      <c r="J71" t="n">
        <v>1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Skogsalm
Vanlig backsmörblomma
Fläcknycklar</t>
        </is>
      </c>
      <c r="W71">
        <f>HYPERLINK("https://klasma.github.io/Logging_0581/artfynd/A 14646-2023 artfynd.xlsx", "A 14646-2023")</f>
        <v/>
      </c>
      <c r="X71">
        <f>HYPERLINK("https://klasma.github.io/Logging_0581/kartor/A 14646-2023 karta.png", "A 14646-2023")</f>
        <v/>
      </c>
      <c r="Y71">
        <f>HYPERLINK("https://klasma.github.io/Logging_0581/kartor_geotiff/A 14646-2023 georefererad karta.tif", "A 14646-2023")</f>
        <v/>
      </c>
      <c r="AA71">
        <f>HYPERLINK("https://klasma.github.io/Logging_0581/klagomål/A 14646-2023 FSC-klagomål.docx", "A 14646-2023")</f>
        <v/>
      </c>
      <c r="AB71">
        <f>HYPERLINK("https://klasma.github.io/Logging_0581/klagomålsmail/A 14646-2023 FSC-klagomål mail.docx", "A 14646-2023")</f>
        <v/>
      </c>
      <c r="AC71">
        <f>HYPERLINK("https://klasma.github.io/Logging_0581/tillsyn/A 14646-2023 tillsynsbegäran.docx", "A 14646-2023")</f>
        <v/>
      </c>
      <c r="AD71">
        <f>HYPERLINK("https://klasma.github.io/Logging_0581/tillsynsmail/A 14646-2023 tillsynsbegäran mail.docx", "A 14646-2023")</f>
        <v/>
      </c>
    </row>
    <row r="72" ht="15" customHeight="1">
      <c r="A72" t="inlineStr">
        <is>
          <t>A 8468-2023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46320</v>
      </c>
      <c r="F72" t="inlineStr">
        <is>
          <t>ÖSTERGÖTLANDS LÄN</t>
        </is>
      </c>
      <c r="G72" t="inlineStr">
        <is>
          <t>NORRKÖPING</t>
        </is>
      </c>
      <c r="I72" t="n">
        <v>6.7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Tallticka
Bronshjon
Blåsippa</t>
        </is>
      </c>
      <c r="W72">
        <f>HYPERLINK("https://klasma.github.io/Logging_0581/artfynd/A 8468-2023 artfynd.xlsx", "A 8468-2023")</f>
        <v/>
      </c>
      <c r="X72">
        <f>HYPERLINK("https://klasma.github.io/Logging_0581/kartor/A 8468-2023 karta.png", "A 8468-2023")</f>
        <v/>
      </c>
      <c r="Y72">
        <f>HYPERLINK("https://klasma.github.io/Logging_0581/kartor_geotiff/A 8468-2023 georefererad karta.tif", "A 8468-2023")</f>
        <v/>
      </c>
      <c r="AA72">
        <f>HYPERLINK("https://klasma.github.io/Logging_0581/klagomål/A 8468-2023 FSC-klagomål.docx", "A 8468-2023")</f>
        <v/>
      </c>
      <c r="AB72">
        <f>HYPERLINK("https://klasma.github.io/Logging_0581/klagomålsmail/A 8468-2023 FSC-klagomål mail.docx", "A 8468-2023")</f>
        <v/>
      </c>
      <c r="AC72">
        <f>HYPERLINK("https://klasma.github.io/Logging_0581/tillsyn/A 8468-2023 tillsynsbegäran.docx", "A 8468-2023")</f>
        <v/>
      </c>
      <c r="AD72">
        <f>HYPERLINK("https://klasma.github.io/Logging_0581/tillsynsmail/A 8468-2023 tillsynsbegäran mail.docx", "A 8468-2023")</f>
        <v/>
      </c>
    </row>
    <row r="73" ht="15" customHeight="1">
      <c r="A73" t="inlineStr">
        <is>
          <t>A 15183-2023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46320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2.4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Vedskivlav
Blomkålssvamp</t>
        </is>
      </c>
      <c r="W73">
        <f>HYPERLINK("https://klasma.github.io/Logging_0581/artfynd/A 15183-2023 artfynd.xlsx", "A 15183-2023")</f>
        <v/>
      </c>
      <c r="X73">
        <f>HYPERLINK("https://klasma.github.io/Logging_0581/kartor/A 15183-2023 karta.png", "A 15183-2023")</f>
        <v/>
      </c>
      <c r="Y73">
        <f>HYPERLINK("https://klasma.github.io/Logging_0581/kartor_geotiff/A 15183-2023 georefererad karta.tif", "A 15183-2023")</f>
        <v/>
      </c>
      <c r="AA73">
        <f>HYPERLINK("https://klasma.github.io/Logging_0581/klagomål/A 15183-2023 FSC-klagomål.docx", "A 15183-2023")</f>
        <v/>
      </c>
      <c r="AB73">
        <f>HYPERLINK("https://klasma.github.io/Logging_0581/klagomålsmail/A 15183-2023 FSC-klagomål mail.docx", "A 15183-2023")</f>
        <v/>
      </c>
      <c r="AC73">
        <f>HYPERLINK("https://klasma.github.io/Logging_0581/tillsyn/A 15183-2023 tillsynsbegäran.docx", "A 15183-2023")</f>
        <v/>
      </c>
      <c r="AD73">
        <f>HYPERLINK("https://klasma.github.io/Logging_0581/tillsynsmail/A 15183-2023 tillsynsbegäran mail.docx", "A 15183-2023")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46320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46320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20377-2023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46320</v>
      </c>
      <c r="F76" t="inlineStr">
        <is>
          <t>ÖSTERGÖTLANDS LÄN</t>
        </is>
      </c>
      <c r="G76" t="inlineStr">
        <is>
          <t>NORRKÖPING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Tallticka
Kungsfågel</t>
        </is>
      </c>
      <c r="W76">
        <f>HYPERLINK("https://klasma.github.io/Logging_0581/artfynd/A 20377-2023 artfynd.xlsx", "A 20377-2023")</f>
        <v/>
      </c>
      <c r="X76">
        <f>HYPERLINK("https://klasma.github.io/Logging_0581/kartor/A 20377-2023 karta.png", "A 20377-2023")</f>
        <v/>
      </c>
      <c r="Y76">
        <f>HYPERLINK("https://klasma.github.io/Logging_0581/kartor_geotiff/A 20377-2023 georefererad karta.tif", "A 20377-2023")</f>
        <v/>
      </c>
      <c r="AA76">
        <f>HYPERLINK("https://klasma.github.io/Logging_0581/klagomål/A 20377-2023 FSC-klagomål.docx", "A 20377-2023")</f>
        <v/>
      </c>
      <c r="AB76">
        <f>HYPERLINK("https://klasma.github.io/Logging_0581/klagomålsmail/A 20377-2023 FSC-klagomål mail.docx", "A 20377-2023")</f>
        <v/>
      </c>
      <c r="AC76">
        <f>HYPERLINK("https://klasma.github.io/Logging_0581/tillsyn/A 20377-2023 tillsynsbegäran.docx", "A 20377-2023")</f>
        <v/>
      </c>
      <c r="AD76">
        <f>HYPERLINK("https://klasma.github.io/Logging_0581/tillsynsmail/A 20377-2023 tillsynsbegäran mail.docx", "A 20377-2023")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46320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33659-2022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46320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3.4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Ask
Sotlav</t>
        </is>
      </c>
      <c r="W78">
        <f>HYPERLINK("https://klasma.github.io/Logging_0581/artfynd/A 33659-2022 artfynd.xlsx", "A 33659-2022")</f>
        <v/>
      </c>
      <c r="X78">
        <f>HYPERLINK("https://klasma.github.io/Logging_0581/kartor/A 33659-2022 karta.png", "A 33659-2022")</f>
        <v/>
      </c>
      <c r="Y78">
        <f>HYPERLINK("https://klasma.github.io/Logging_0581/kartor_geotiff/A 33659-2022 georefererad karta.tif", "A 33659-2022")</f>
        <v/>
      </c>
      <c r="AA78">
        <f>HYPERLINK("https://klasma.github.io/Logging_0581/klagomål/A 33659-2022 FSC-klagomål.docx", "A 33659-2022")</f>
        <v/>
      </c>
      <c r="AB78">
        <f>HYPERLINK("https://klasma.github.io/Logging_0581/klagomålsmail/A 33659-2022 FSC-klagomål mail.docx", "A 33659-2022")</f>
        <v/>
      </c>
      <c r="AC78">
        <f>HYPERLINK("https://klasma.github.io/Logging_0581/tillsyn/A 33659-2022 tillsynsbegäran.docx", "A 33659-2022")</f>
        <v/>
      </c>
      <c r="AD78">
        <f>HYPERLINK("https://klasma.github.io/Logging_0581/tillsynsmail/A 33659-2022 tillsynsbegäran mail.docx", "A 33659-2022")</f>
        <v/>
      </c>
    </row>
    <row r="79" ht="15" customHeight="1">
      <c r="A79" t="inlineStr">
        <is>
          <t>A 25291-2023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46320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Slåtterfibbla
Svartvit flugsnappare</t>
        </is>
      </c>
      <c r="W79">
        <f>HYPERLINK("https://klasma.github.io/Logging_0581/artfynd/A 25291-2023 artfynd.xlsx", "A 25291-2023")</f>
        <v/>
      </c>
      <c r="X79">
        <f>HYPERLINK("https://klasma.github.io/Logging_0581/kartor/A 25291-2023 karta.png", "A 25291-2023")</f>
        <v/>
      </c>
      <c r="Y79">
        <f>HYPERLINK("https://klasma.github.io/Logging_0581/kartor_geotiff/A 25291-2023 georefererad karta.tif", "A 25291-2023")</f>
        <v/>
      </c>
      <c r="AA79">
        <f>HYPERLINK("https://klasma.github.io/Logging_0581/klagomål/A 25291-2023 FSC-klagomål.docx", "A 25291-2023")</f>
        <v/>
      </c>
      <c r="AB79">
        <f>HYPERLINK("https://klasma.github.io/Logging_0581/klagomålsmail/A 25291-2023 FSC-klagomål mail.docx", "A 25291-2023")</f>
        <v/>
      </c>
      <c r="AC79">
        <f>HYPERLINK("https://klasma.github.io/Logging_0581/tillsyn/A 25291-2023 tillsynsbegäran.docx", "A 25291-2023")</f>
        <v/>
      </c>
      <c r="AD79">
        <f>HYPERLINK("https://klasma.github.io/Logging_0581/tillsynsmail/A 25291-2023 tillsynsbegäran mail.docx", "A 25291-2023")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46320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17248-2024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46320</v>
      </c>
      <c r="F81" t="inlineStr">
        <is>
          <t>ÖSTERGÖTLANDS LÄN</t>
        </is>
      </c>
      <c r="G81" t="inlineStr">
        <is>
          <t>NORRKÖPING</t>
        </is>
      </c>
      <c r="I81" t="n">
        <v>2.6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Tallticka
Vedticka</t>
        </is>
      </c>
      <c r="W81">
        <f>HYPERLINK("https://klasma.github.io/Logging_0581/artfynd/A 17248-2024 artfynd.xlsx", "A 17248-2024")</f>
        <v/>
      </c>
      <c r="X81">
        <f>HYPERLINK("https://klasma.github.io/Logging_0581/kartor/A 17248-2024 karta.png", "A 17248-2024")</f>
        <v/>
      </c>
      <c r="Y81">
        <f>HYPERLINK("https://klasma.github.io/Logging_0581/kartor_geotiff/A 17248-2024 georefererad karta.tif", "A 17248-2024")</f>
        <v/>
      </c>
      <c r="AA81">
        <f>HYPERLINK("https://klasma.github.io/Logging_0581/klagomål/A 17248-2024 FSC-klagomål.docx", "A 17248-2024")</f>
        <v/>
      </c>
      <c r="AB81">
        <f>HYPERLINK("https://klasma.github.io/Logging_0581/klagomålsmail/A 17248-2024 FSC-klagomål mail.docx", "A 17248-2024")</f>
        <v/>
      </c>
      <c r="AC81">
        <f>HYPERLINK("https://klasma.github.io/Logging_0581/tillsyn/A 17248-2024 tillsynsbegäran.docx", "A 17248-2024")</f>
        <v/>
      </c>
      <c r="AD81">
        <f>HYPERLINK("https://klasma.github.io/Logging_0581/tillsynsmail/A 17248-2024 tillsynsbegäran mail.docx", "A 17248-2024")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46320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46320</v>
      </c>
      <c r="F83" t="inlineStr">
        <is>
          <t>ÖSTERGÖTLANDS LÄN</t>
        </is>
      </c>
      <c r="G83" t="inlineStr">
        <is>
          <t>NORRKÖPING</t>
        </is>
      </c>
      <c r="I83" t="n">
        <v>2.2</v>
      </c>
      <c r="J83" t="n">
        <v>2</v>
      </c>
      <c r="K83" t="n">
        <v>0</v>
      </c>
      <c r="L83" t="n">
        <v>1</v>
      </c>
      <c r="M83" t="n">
        <v>0</v>
      </c>
      <c r="N83" t="n">
        <v>1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Ejder
Rosenfink</t>
        </is>
      </c>
      <c r="W83">
        <f>HYPERLINK("https://klasma.github.io/Logging_0581/artfynd/A 10553-2025 artfynd.xlsx", "A 10553-2025")</f>
        <v/>
      </c>
      <c r="X83">
        <f>HYPERLINK("https://klasma.github.io/Logging_0581/kartor/A 10553-2025 karta.png", "A 10553-2025")</f>
        <v/>
      </c>
      <c r="Y83">
        <f>HYPERLINK("https://klasma.github.io/Logging_0581/kartor_geotiff/A 10553-2025 georefererad karta.tif", "A 10553-2025")</f>
        <v/>
      </c>
      <c r="AA83">
        <f>HYPERLINK("https://klasma.github.io/Logging_0581/klagomål/A 10553-2025 FSC-klagomål.docx", "A 10553-2025")</f>
        <v/>
      </c>
      <c r="AB83">
        <f>HYPERLINK("https://klasma.github.io/Logging_0581/klagomålsmail/A 10553-2025 FSC-klagomål mail.docx", "A 10553-2025")</f>
        <v/>
      </c>
      <c r="AC83">
        <f>HYPERLINK("https://klasma.github.io/Logging_0581/tillsyn/A 10553-2025 tillsynsbegäran.docx", "A 10553-2025")</f>
        <v/>
      </c>
      <c r="AD83">
        <f>HYPERLINK("https://klasma.github.io/Logging_0581/tillsynsmail/A 10553-2025 tillsynsbegäran mail.docx", "A 10553-2025")</f>
        <v/>
      </c>
      <c r="AE83">
        <f>HYPERLINK("https://klasma.github.io/Logging_0581/fåglar/A 10553-2025 prioriterade fågelarter.docx", "A 10553-2025")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46320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28796-2026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Motaggsvamp
Kungsfågel</t>
        </is>
      </c>
      <c r="W86">
        <f>HYPERLINK("https://klasma.github.io/Logging_0581/artfynd/A 28796-2026 artfynd.xlsx", "A 28796-2026")</f>
        <v/>
      </c>
      <c r="X86">
        <f>HYPERLINK("https://klasma.github.io/Logging_0581/kartor/A 28796-2026 karta.png", "A 28796-2026")</f>
        <v/>
      </c>
      <c r="Y86">
        <f>HYPERLINK("https://klasma.github.io/Logging_0581/kartor_geotiff/A 28796-2026 georefererad karta.tif", "A 28796-2026")</f>
        <v/>
      </c>
      <c r="AA86">
        <f>HYPERLINK("https://klasma.github.io/Logging_0581/klagomål/A 28796-2026 FSC-klagomål.docx", "A 28796-2026")</f>
        <v/>
      </c>
      <c r="AB86">
        <f>HYPERLINK("https://klasma.github.io/Logging_0581/klagomålsmail/A 28796-2026 FSC-klagomål mail.docx", "A 28796-2026")</f>
        <v/>
      </c>
      <c r="AC86">
        <f>HYPERLINK("https://klasma.github.io/Logging_0581/tillsyn/A 28796-2026 tillsynsbegäran.docx", "A 28796-2026")</f>
        <v/>
      </c>
      <c r="AD86">
        <f>HYPERLINK("https://klasma.github.io/Logging_0581/tillsynsmail/A 28796-2026 tillsynsbegäran mail.docx", "A 28796-2026")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46320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28895-2026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46320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Motaggsvamp
Kungsfågel</t>
        </is>
      </c>
      <c r="W88">
        <f>HYPERLINK("https://klasma.github.io/Logging_0581/artfynd/A 28895-2026 artfynd.xlsx", "A 28895-2026")</f>
        <v/>
      </c>
      <c r="X88">
        <f>HYPERLINK("https://klasma.github.io/Logging_0581/kartor/A 28895-2026 karta.png", "A 28895-2026")</f>
        <v/>
      </c>
      <c r="Y88">
        <f>HYPERLINK("https://klasma.github.io/Logging_0581/kartor_geotiff/A 28895-2026 georefererad karta.tif", "A 28895-2026")</f>
        <v/>
      </c>
      <c r="AA88">
        <f>HYPERLINK("https://klasma.github.io/Logging_0581/klagomål/A 28895-2026 FSC-klagomål.docx", "A 28895-2026")</f>
        <v/>
      </c>
      <c r="AB88">
        <f>HYPERLINK("https://klasma.github.io/Logging_0581/klagomålsmail/A 28895-2026 FSC-klagomål mail.docx", "A 28895-2026")</f>
        <v/>
      </c>
      <c r="AC88">
        <f>HYPERLINK("https://klasma.github.io/Logging_0581/tillsyn/A 28895-2026 tillsynsbegäran.docx", "A 28895-2026")</f>
        <v/>
      </c>
      <c r="AD88">
        <f>HYPERLINK("https://klasma.github.io/Logging_0581/tillsynsmail/A 28895-2026 tillsynsbegäran mail.docx", "A 28895-2026")</f>
        <v/>
      </c>
    </row>
    <row r="89" ht="15" customHeight="1">
      <c r="A89" t="inlineStr">
        <is>
          <t>A 28893-2026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46320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Kungsfågel</t>
        </is>
      </c>
      <c r="W89">
        <f>HYPERLINK("https://klasma.github.io/Logging_0581/artfynd/A 28893-2026 artfynd.xlsx", "A 28893-2026")</f>
        <v/>
      </c>
      <c r="X89">
        <f>HYPERLINK("https://klasma.github.io/Logging_0581/kartor/A 28893-2026 karta.png", "A 28893-2026")</f>
        <v/>
      </c>
      <c r="Y89">
        <f>HYPERLINK("https://klasma.github.io/Logging_0581/kartor_geotiff/A 28893-2026 georefererad karta.tif", "A 28893-2026")</f>
        <v/>
      </c>
      <c r="AA89">
        <f>HYPERLINK("https://klasma.github.io/Logging_0581/klagomål/A 28893-2026 FSC-klagomål.docx", "A 28893-2026")</f>
        <v/>
      </c>
      <c r="AB89">
        <f>HYPERLINK("https://klasma.github.io/Logging_0581/klagomålsmail/A 28893-2026 FSC-klagomål mail.docx", "A 28893-2026")</f>
        <v/>
      </c>
      <c r="AC89">
        <f>HYPERLINK("https://klasma.github.io/Logging_0581/tillsyn/A 28893-2026 tillsynsbegäran.docx", "A 28893-2026")</f>
        <v/>
      </c>
      <c r="AD89">
        <f>HYPERLINK("https://klasma.github.io/Logging_0581/tillsynsmail/A 28893-2026 tillsynsbegäran mail.docx", "A 28893-2026")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46320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24233-2025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46320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Tallticka
Granbarkgnagare</t>
        </is>
      </c>
      <c r="W91">
        <f>HYPERLINK("https://klasma.github.io/Logging_0581/artfynd/A 24233-2025 artfynd.xlsx", "A 24233-2025")</f>
        <v/>
      </c>
      <c r="X91">
        <f>HYPERLINK("https://klasma.github.io/Logging_0581/kartor/A 24233-2025 karta.png", "A 24233-2025")</f>
        <v/>
      </c>
      <c r="Y91">
        <f>HYPERLINK("https://klasma.github.io/Logging_0581/kartor_geotiff/A 24233-2025 georefererad karta.tif", "A 24233-2025")</f>
        <v/>
      </c>
      <c r="AA91">
        <f>HYPERLINK("https://klasma.github.io/Logging_0581/klagomål/A 24233-2025 FSC-klagomål.docx", "A 24233-2025")</f>
        <v/>
      </c>
      <c r="AB91">
        <f>HYPERLINK("https://klasma.github.io/Logging_0581/klagomålsmail/A 24233-2025 FSC-klagomål mail.docx", "A 24233-2025")</f>
        <v/>
      </c>
      <c r="AC91">
        <f>HYPERLINK("https://klasma.github.io/Logging_0581/tillsyn/A 24233-2025 tillsynsbegäran.docx", "A 24233-2025")</f>
        <v/>
      </c>
      <c r="AD91">
        <f>HYPERLINK("https://klasma.github.io/Logging_0581/tillsynsmail/A 24233-2025 tillsynsbegäran mail.docx", "A 24233-2025")</f>
        <v/>
      </c>
    </row>
    <row r="92" ht="15" customHeight="1">
      <c r="A92" t="inlineStr">
        <is>
          <t>A 31298-2026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46218</v>
      </c>
      <c r="E92" s="1" t="n">
        <v>46320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Blåmossa
Orre</t>
        </is>
      </c>
      <c r="W92">
        <f>HYPERLINK("https://klasma.github.io/Logging_0581/artfynd/A 31298-2026 artfynd.xlsx", "A 31298-2026")</f>
        <v/>
      </c>
      <c r="X92">
        <f>HYPERLINK("https://klasma.github.io/Logging_0581/kartor/A 31298-2026 karta.png", "A 31298-2026")</f>
        <v/>
      </c>
      <c r="Y92">
        <f>HYPERLINK("https://klasma.github.io/Logging_0581/kartor_geotiff/A 31298-2026 georefererad karta.tif", "A 31298-2026")</f>
        <v/>
      </c>
      <c r="AA92">
        <f>HYPERLINK("https://klasma.github.io/Logging_0581/klagomål/A 31298-2026 FSC-klagomål.docx", "A 31298-2026")</f>
        <v/>
      </c>
      <c r="AB92">
        <f>HYPERLINK("https://klasma.github.io/Logging_0581/klagomålsmail/A 31298-2026 FSC-klagomål mail.docx", "A 31298-2026")</f>
        <v/>
      </c>
      <c r="AC92">
        <f>HYPERLINK("https://klasma.github.io/Logging_0581/tillsyn/A 31298-2026 tillsynsbegäran.docx", "A 31298-2026")</f>
        <v/>
      </c>
      <c r="AD92">
        <f>HYPERLINK("https://klasma.github.io/Logging_0581/tillsynsmail/A 31298-2026 tillsynsbegäran mail.docx", "A 31298-2026")</f>
        <v/>
      </c>
      <c r="AE92">
        <f>HYPERLINK("https://klasma.github.io/Logging_0581/fåglar/A 31298-2026 prioriterade fågelarter.docx", "A 31298-2026")</f>
        <v/>
      </c>
    </row>
    <row r="93" ht="15" customHeight="1">
      <c r="A93" t="inlineStr">
        <is>
          <t>A 31264-2026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46218</v>
      </c>
      <c r="E93" s="1" t="n">
        <v>46320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Vedskivlav
Fläcknycklar</t>
        </is>
      </c>
      <c r="W93">
        <f>HYPERLINK("https://klasma.github.io/Logging_0581/artfynd/A 31264-2026 artfynd.xlsx", "A 31264-2026")</f>
        <v/>
      </c>
      <c r="X93">
        <f>HYPERLINK("https://klasma.github.io/Logging_0581/kartor/A 31264-2026 karta.png", "A 31264-2026")</f>
        <v/>
      </c>
      <c r="Y93">
        <f>HYPERLINK("https://klasma.github.io/Logging_0581/kartor_geotiff/A 31264-2026 georefererad karta.tif", "A 31264-2026")</f>
        <v/>
      </c>
      <c r="AA93">
        <f>HYPERLINK("https://klasma.github.io/Logging_0581/klagomål/A 31264-2026 FSC-klagomål.docx", "A 31264-2026")</f>
        <v/>
      </c>
      <c r="AB93">
        <f>HYPERLINK("https://klasma.github.io/Logging_0581/klagomålsmail/A 31264-2026 FSC-klagomål mail.docx", "A 31264-2026")</f>
        <v/>
      </c>
      <c r="AC93">
        <f>HYPERLINK("https://klasma.github.io/Logging_0581/tillsyn/A 31264-2026 tillsynsbegäran.docx", "A 31264-2026")</f>
        <v/>
      </c>
      <c r="AD93">
        <f>HYPERLINK("https://klasma.github.io/Logging_0581/tillsynsmail/A 31264-2026 tillsynsbegäran mail.docx", "A 31264-2026")</f>
        <v/>
      </c>
    </row>
    <row r="94" ht="15" customHeight="1">
      <c r="A94" t="inlineStr">
        <is>
          <t>A 31335-2026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46320</v>
      </c>
      <c r="F94" t="inlineStr">
        <is>
          <t>ÖSTERGÖTLANDS LÄN</t>
        </is>
      </c>
      <c r="G94" t="inlineStr">
        <is>
          <t>NORRKÖPING</t>
        </is>
      </c>
      <c r="I94" t="n">
        <v>1.1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Bredbrämad bastardsvärmare
Älg</t>
        </is>
      </c>
      <c r="W94">
        <f>HYPERLINK("https://klasma.github.io/Logging_0581/artfynd/A 31335-2026 artfynd.xlsx", "A 31335-2026")</f>
        <v/>
      </c>
      <c r="X94">
        <f>HYPERLINK("https://klasma.github.io/Logging_0581/kartor/A 31335-2026 karta.png", "A 31335-2026")</f>
        <v/>
      </c>
      <c r="Y94">
        <f>HYPERLINK("https://klasma.github.io/Logging_0581/kartor_geotiff/A 31335-2026 georefererad karta.tif", "A 31335-2026")</f>
        <v/>
      </c>
      <c r="AA94">
        <f>HYPERLINK("https://klasma.github.io/Logging_0581/klagomål/A 31335-2026 FSC-klagomål.docx", "A 31335-2026")</f>
        <v/>
      </c>
      <c r="AB94">
        <f>HYPERLINK("https://klasma.github.io/Logging_0581/klagomålsmail/A 31335-2026 FSC-klagomål mail.docx", "A 31335-2026")</f>
        <v/>
      </c>
      <c r="AC94">
        <f>HYPERLINK("https://klasma.github.io/Logging_0581/tillsyn/A 31335-2026 tillsynsbegäran.docx", "A 31335-2026")</f>
        <v/>
      </c>
      <c r="AD94">
        <f>HYPERLINK("https://klasma.github.io/Logging_0581/tillsynsmail/A 31335-2026 tillsynsbegäran mail.docx", "A 31335-2026")</f>
        <v/>
      </c>
    </row>
    <row r="95" ht="15" customHeight="1">
      <c r="A95" t="inlineStr">
        <is>
          <t>A 18682-2025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46320</v>
      </c>
      <c r="F95" t="inlineStr">
        <is>
          <t>ÖSTERGÖTLANDS LÄN</t>
        </is>
      </c>
      <c r="G95" t="inlineStr">
        <is>
          <t>NORRKÖPING</t>
        </is>
      </c>
      <c r="I95" t="n">
        <v>8.1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Jungfrulin
Blåmossa</t>
        </is>
      </c>
      <c r="W95">
        <f>HYPERLINK("https://klasma.github.io/Logging_0581/artfynd/A 18682-2025 artfynd.xlsx", "A 18682-2025")</f>
        <v/>
      </c>
      <c r="X95">
        <f>HYPERLINK("https://klasma.github.io/Logging_0581/kartor/A 18682-2025 karta.png", "A 18682-2025")</f>
        <v/>
      </c>
      <c r="Y95">
        <f>HYPERLINK("https://klasma.github.io/Logging_0581/kartor_geotiff/A 18682-2025 georefererad karta.tif", "A 18682-2025")</f>
        <v/>
      </c>
      <c r="AA95">
        <f>HYPERLINK("https://klasma.github.io/Logging_0581/klagomål/A 18682-2025 FSC-klagomål.docx", "A 18682-2025")</f>
        <v/>
      </c>
      <c r="AB95">
        <f>HYPERLINK("https://klasma.github.io/Logging_0581/klagomålsmail/A 18682-2025 FSC-klagomål mail.docx", "A 18682-2025")</f>
        <v/>
      </c>
      <c r="AC95">
        <f>HYPERLINK("https://klasma.github.io/Logging_0581/tillsyn/A 18682-2025 tillsynsbegäran.docx", "A 18682-2025")</f>
        <v/>
      </c>
      <c r="AD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46320</v>
      </c>
      <c r="F96" t="inlineStr">
        <is>
          <t>ÖSTERGÖTLANDS LÄN</t>
        </is>
      </c>
      <c r="G96" t="inlineStr">
        <is>
          <t>NORRKÖPING</t>
        </is>
      </c>
      <c r="I96" t="n">
        <v>3.5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Revlummer</t>
        </is>
      </c>
      <c r="W96">
        <f>HYPERLINK("https://klasma.github.io/Logging_0581/artfynd/A 21799-2025 artfynd.xlsx", "A 21799-2025")</f>
        <v/>
      </c>
      <c r="X96">
        <f>HYPERLINK("https://klasma.github.io/Logging_0581/kartor/A 21799-2025 karta.png", "A 21799-2025")</f>
        <v/>
      </c>
      <c r="Y96">
        <f>HYPERLINK("https://klasma.github.io/Logging_0581/kartor_geotiff/A 21799-2025 georefererad karta.tif", "A 21799-2025")</f>
        <v/>
      </c>
      <c r="AA96">
        <f>HYPERLINK("https://klasma.github.io/Logging_0581/klagomål/A 21799-2025 FSC-klagomål.docx", "A 21799-2025")</f>
        <v/>
      </c>
      <c r="AB96">
        <f>HYPERLINK("https://klasma.github.io/Logging_0581/klagomålsmail/A 21799-2025 FSC-klagomål mail.docx", "A 21799-2025")</f>
        <v/>
      </c>
      <c r="AC96">
        <f>HYPERLINK("https://klasma.github.io/Logging_0581/tillsyn/A 21799-2025 tillsynsbegäran.docx", "A 21799-2025")</f>
        <v/>
      </c>
      <c r="AD96">
        <f>HYPERLINK("https://klasma.github.io/Logging_0581/tillsynsmail/A 21799-2025 tillsynsbegäran mail.docx", "A 21799-2025")</f>
        <v/>
      </c>
    </row>
    <row r="97" ht="15" customHeight="1">
      <c r="A97" t="inlineStr">
        <is>
          <t>A 32078-2026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46233</v>
      </c>
      <c r="E97" s="1" t="n">
        <v>46320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1.8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Grönpyrola
Mindre märgborre</t>
        </is>
      </c>
      <c r="W97">
        <f>HYPERLINK("https://klasma.github.io/Logging_0581/artfynd/A 32078-2026 artfynd.xlsx", "A 32078-2026")</f>
        <v/>
      </c>
      <c r="X97">
        <f>HYPERLINK("https://klasma.github.io/Logging_0581/kartor/A 32078-2026 karta.png", "A 32078-2026")</f>
        <v/>
      </c>
      <c r="Y97">
        <f>HYPERLINK("https://klasma.github.io/Logging_0581/kartor_geotiff/A 32078-2026 georefererad karta.tif", "A 32078-2026")</f>
        <v/>
      </c>
      <c r="AA97">
        <f>HYPERLINK("https://klasma.github.io/Logging_0581/klagomål/A 32078-2026 FSC-klagomål.docx", "A 32078-2026")</f>
        <v/>
      </c>
      <c r="AB97">
        <f>HYPERLINK("https://klasma.github.io/Logging_0581/klagomålsmail/A 32078-2026 FSC-klagomål mail.docx", "A 32078-2026")</f>
        <v/>
      </c>
      <c r="AC97">
        <f>HYPERLINK("https://klasma.github.io/Logging_0581/tillsyn/A 32078-2026 tillsynsbegäran.docx", "A 32078-2026")</f>
        <v/>
      </c>
      <c r="AD97">
        <f>HYPERLINK("https://klasma.github.io/Logging_0581/tillsynsmail/A 32078-2026 tillsynsbegäran mail.docx", "A 32078-2026")</f>
        <v/>
      </c>
    </row>
    <row r="98" ht="15" customHeight="1">
      <c r="A98" t="inlineStr">
        <is>
          <t>A 32077-2026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46233</v>
      </c>
      <c r="E98" s="1" t="n">
        <v>46320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3.5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Grönpyrola
Mindre märgborre</t>
        </is>
      </c>
      <c r="W98">
        <f>HYPERLINK("https://klasma.github.io/Logging_0581/artfynd/A 32077-2026 artfynd.xlsx", "A 32077-2026")</f>
        <v/>
      </c>
      <c r="X98">
        <f>HYPERLINK("https://klasma.github.io/Logging_0581/kartor/A 32077-2026 karta.png", "A 32077-2026")</f>
        <v/>
      </c>
      <c r="Y98">
        <f>HYPERLINK("https://klasma.github.io/Logging_0581/kartor_geotiff/A 32077-2026 georefererad karta.tif", "A 32077-2026")</f>
        <v/>
      </c>
      <c r="AA98">
        <f>HYPERLINK("https://klasma.github.io/Logging_0581/klagomål/A 32077-2026 FSC-klagomål.docx", "A 32077-2026")</f>
        <v/>
      </c>
      <c r="AB98">
        <f>HYPERLINK("https://klasma.github.io/Logging_0581/klagomålsmail/A 32077-2026 FSC-klagomål mail.docx", "A 32077-2026")</f>
        <v/>
      </c>
      <c r="AC98">
        <f>HYPERLINK("https://klasma.github.io/Logging_0581/tillsyn/A 32077-2026 tillsynsbegäran.docx", "A 32077-2026")</f>
        <v/>
      </c>
      <c r="AD98">
        <f>HYPERLINK("https://klasma.github.io/Logging_0581/tillsynsmail/A 32077-2026 tillsynsbegäran mail.docx", "A 32077-2026")</f>
        <v/>
      </c>
    </row>
    <row r="99" ht="15" customHeight="1">
      <c r="A99" t="inlineStr">
        <is>
          <t>A 38475-2026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46282</v>
      </c>
      <c r="E99" s="1" t="n">
        <v>46320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8</v>
      </c>
      <c r="J99" t="n">
        <v>1</v>
      </c>
      <c r="K99" t="n">
        <v>0</v>
      </c>
      <c r="L99" t="n">
        <v>1</v>
      </c>
      <c r="M99" t="n">
        <v>0</v>
      </c>
      <c r="N99" t="n">
        <v>1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Ljungögontröst
Talltita</t>
        </is>
      </c>
      <c r="W99">
        <f>HYPERLINK("https://klasma.github.io/Logging_0581/artfynd/A 38475-2026 artfynd.xlsx", "A 38475-2026")</f>
        <v/>
      </c>
      <c r="X99">
        <f>HYPERLINK("https://klasma.github.io/Logging_0581/kartor/A 38475-2026 karta.png", "A 38475-2026")</f>
        <v/>
      </c>
      <c r="Y99">
        <f>HYPERLINK("https://klasma.github.io/Logging_0581/kartor_geotiff/A 38475-2026 georefererad karta.tif", "A 38475-2026")</f>
        <v/>
      </c>
      <c r="AA99">
        <f>HYPERLINK("https://klasma.github.io/Logging_0581/klagomål/A 38475-2026 FSC-klagomål.docx", "A 38475-2026")</f>
        <v/>
      </c>
      <c r="AB99">
        <f>HYPERLINK("https://klasma.github.io/Logging_0581/klagomålsmail/A 38475-2026 FSC-klagomål mail.docx", "A 38475-2026")</f>
        <v/>
      </c>
      <c r="AC99">
        <f>HYPERLINK("https://klasma.github.io/Logging_0581/tillsyn/A 38475-2026 tillsynsbegäran.docx", "A 38475-2026")</f>
        <v/>
      </c>
      <c r="AD99">
        <f>HYPERLINK("https://klasma.github.io/Logging_0581/tillsynsmail/A 38475-2026 tillsynsbegäran mail.docx", "A 38475-2026")</f>
        <v/>
      </c>
      <c r="AE99">
        <f>HYPERLINK("https://klasma.github.io/Logging_0581/fåglar/A 38475-2026 prioriterade fågelarter.docx", "A 38475-2026")</f>
        <v/>
      </c>
    </row>
    <row r="100" ht="15" customHeight="1">
      <c r="A100" t="inlineStr">
        <is>
          <t>A 55022-2022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46320</v>
      </c>
      <c r="F100" t="inlineStr">
        <is>
          <t>ÖSTERGÖTLANDS LÄN</t>
        </is>
      </c>
      <c r="G100" t="inlineStr">
        <is>
          <t>NORRKÖPING</t>
        </is>
      </c>
      <c r="I100" t="n">
        <v>1.4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Tallfingersvamp
Purpurknipprot</t>
        </is>
      </c>
      <c r="W100">
        <f>HYPERLINK("https://klasma.github.io/Logging_0581/artfynd/A 55022-2022 artfynd.xlsx", "A 55022-2022")</f>
        <v/>
      </c>
      <c r="X100">
        <f>HYPERLINK("https://klasma.github.io/Logging_0581/kartor/A 55022-2022 karta.png", "A 55022-2022")</f>
        <v/>
      </c>
      <c r="Y100">
        <f>HYPERLINK("https://klasma.github.io/Logging_0581/kartor_geotiff/A 55022-2022 georefererad karta.tif", "A 55022-2022")</f>
        <v/>
      </c>
      <c r="AA100">
        <f>HYPERLINK("https://klasma.github.io/Logging_0581/klagomål/A 55022-2022 FSC-klagomål.docx", "A 55022-2022")</f>
        <v/>
      </c>
      <c r="AB100">
        <f>HYPERLINK("https://klasma.github.io/Logging_0581/klagomålsmail/A 55022-2022 FSC-klagomål mail.docx", "A 55022-2022")</f>
        <v/>
      </c>
      <c r="AC100">
        <f>HYPERLINK("https://klasma.github.io/Logging_0581/tillsyn/A 55022-2022 tillsynsbegäran.docx", "A 55022-2022")</f>
        <v/>
      </c>
      <c r="AD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12188-2026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46320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7.8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Blomkålssvamp
Korallrot</t>
        </is>
      </c>
      <c r="W101">
        <f>HYPERLINK("https://klasma.github.io/Logging_0581/artfynd/A 12188-2026 artfynd.xlsx", "A 12188-2026")</f>
        <v/>
      </c>
      <c r="X101">
        <f>HYPERLINK("https://klasma.github.io/Logging_0581/kartor/A 12188-2026 karta.png", "A 12188-2026")</f>
        <v/>
      </c>
      <c r="Y101">
        <f>HYPERLINK("https://klasma.github.io/Logging_0581/kartor_geotiff/A 12188-2026 georefererad karta.tif", "A 12188-2026")</f>
        <v/>
      </c>
      <c r="AA101">
        <f>HYPERLINK("https://klasma.github.io/Logging_0581/klagomål/A 12188-2026 FSC-klagomål.docx", "A 12188-2026")</f>
        <v/>
      </c>
      <c r="AB101">
        <f>HYPERLINK("https://klasma.github.io/Logging_0581/klagomålsmail/A 12188-2026 FSC-klagomål mail.docx", "A 12188-2026")</f>
        <v/>
      </c>
      <c r="AC101">
        <f>HYPERLINK("https://klasma.github.io/Logging_0581/tillsyn/A 12188-2026 tillsynsbegäran.docx", "A 12188-2026")</f>
        <v/>
      </c>
      <c r="AD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10769-2024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46320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2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Talltita
Tjäder</t>
        </is>
      </c>
      <c r="W102">
        <f>HYPERLINK("https://klasma.github.io/Logging_0581/artfynd/A 10769-2024 artfynd.xlsx", "A 10769-2024")</f>
        <v/>
      </c>
      <c r="X102">
        <f>HYPERLINK("https://klasma.github.io/Logging_0581/kartor/A 10769-2024 karta.png", "A 10769-2024")</f>
        <v/>
      </c>
      <c r="Y102">
        <f>HYPERLINK("https://klasma.github.io/Logging_0581/kartor_geotiff/A 10769-2024 georefererad karta.tif", "A 10769-2024")</f>
        <v/>
      </c>
      <c r="AA102">
        <f>HYPERLINK("https://klasma.github.io/Logging_0581/klagomål/A 10769-2024 FSC-klagomål.docx", "A 10769-2024")</f>
        <v/>
      </c>
      <c r="AB102">
        <f>HYPERLINK("https://klasma.github.io/Logging_0581/klagomålsmail/A 10769-2024 FSC-klagomål mail.docx", "A 10769-2024")</f>
        <v/>
      </c>
      <c r="AC102">
        <f>HYPERLINK("https://klasma.github.io/Logging_0581/tillsyn/A 10769-2024 tillsynsbegäran.docx", "A 10769-2024")</f>
        <v/>
      </c>
      <c r="AD102">
        <f>HYPERLINK("https://klasma.github.io/Logging_0581/tillsynsmail/A 10769-2024 tillsynsbegäran mail.docx", "A 10769-2024")</f>
        <v/>
      </c>
      <c r="AE102">
        <f>HYPERLINK("https://klasma.github.io/Logging_0581/fåglar/A 10769-2024 prioriterade fågelarter.docx", "A 10769-2024")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46320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43645-2026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46316</v>
      </c>
      <c r="E104" s="1" t="n">
        <v>46320</v>
      </c>
      <c r="F104" t="inlineStr">
        <is>
          <t>ÖSTERGÖTLANDS LÄN</t>
        </is>
      </c>
      <c r="G104" t="inlineStr">
        <is>
          <t>NORRKÖPING</t>
        </is>
      </c>
      <c r="I104" t="n">
        <v>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Läderbagge
Jungfrulin</t>
        </is>
      </c>
      <c r="W104">
        <f>HYPERLINK("https://klasma.github.io/Logging_0581/artfynd/A 43645-2026 artfynd.xlsx", "A 43645-2026")</f>
        <v/>
      </c>
      <c r="X104">
        <f>HYPERLINK("https://klasma.github.io/Logging_0581/kartor/A 43645-2026 karta.png", "A 43645-2026")</f>
        <v/>
      </c>
      <c r="Y104">
        <f>HYPERLINK("https://klasma.github.io/Logging_0581/kartor_geotiff/A 43645-2026 georefererad karta.tif", "A 43645-2026")</f>
        <v/>
      </c>
      <c r="AA104">
        <f>HYPERLINK("https://klasma.github.io/Logging_0581/klagomål/A 43645-2026 FSC-klagomål.docx", "A 43645-2026")</f>
        <v/>
      </c>
      <c r="AB104">
        <f>HYPERLINK("https://klasma.github.io/Logging_0581/klagomålsmail/A 43645-2026 FSC-klagomål mail.docx", "A 43645-2026")</f>
        <v/>
      </c>
      <c r="AC104">
        <f>HYPERLINK("https://klasma.github.io/Logging_0581/tillsyn/A 43645-2026 tillsynsbegäran.docx", "A 43645-2026")</f>
        <v/>
      </c>
      <c r="AD104">
        <f>HYPERLINK("https://klasma.github.io/Logging_0581/tillsynsmail/A 43645-2026 tillsynsbegäran mail.docx", "A 43645-2026")</f>
        <v/>
      </c>
    </row>
    <row r="105" ht="15" customHeight="1">
      <c r="A105" t="inlineStr">
        <is>
          <t>A 14459-2024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45394</v>
      </c>
      <c r="E105" s="1" t="n">
        <v>46320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Talltita</t>
        </is>
      </c>
      <c r="W105">
        <f>HYPERLINK("https://klasma.github.io/Logging_0581/artfynd/A 14459-2024 artfynd.xlsx", "A 14459-2024")</f>
        <v/>
      </c>
      <c r="X105">
        <f>HYPERLINK("https://klasma.github.io/Logging_0581/kartor/A 14459-2024 karta.png", "A 14459-2024")</f>
        <v/>
      </c>
      <c r="Y105">
        <f>HYPERLINK("https://klasma.github.io/Logging_0581/kartor_geotiff/A 14459-2024 georefererad karta.tif", "A 14459-2024")</f>
        <v/>
      </c>
      <c r="AA105">
        <f>HYPERLINK("https://klasma.github.io/Logging_0581/klagomål/A 14459-2024 FSC-klagomål.docx", "A 14459-2024")</f>
        <v/>
      </c>
      <c r="AB105">
        <f>HYPERLINK("https://klasma.github.io/Logging_0581/klagomålsmail/A 14459-2024 FSC-klagomål mail.docx", "A 14459-2024")</f>
        <v/>
      </c>
      <c r="AC105">
        <f>HYPERLINK("https://klasma.github.io/Logging_0581/tillsyn/A 14459-2024 tillsynsbegäran.docx", "A 14459-2024")</f>
        <v/>
      </c>
      <c r="AD105">
        <f>HYPERLINK("https://klasma.github.io/Logging_0581/tillsynsmail/A 14459-2024 tillsynsbegäran mail.docx", "A 14459-2024")</f>
        <v/>
      </c>
      <c r="AE105">
        <f>HYPERLINK("https://klasma.github.io/Logging_0581/fåglar/A 14459-2024 prioriterade fågelarter.docx", "A 14459-2024")</f>
        <v/>
      </c>
    </row>
    <row r="106" ht="15" customHeight="1">
      <c r="A106" t="inlineStr">
        <is>
          <t>A 11490-2023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46320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Mattlummer
Trädlärka</t>
        </is>
      </c>
      <c r="W106">
        <f>HYPERLINK("https://klasma.github.io/Logging_0581/artfynd/A 11490-2023 artfynd.xlsx", "A 11490-2023")</f>
        <v/>
      </c>
      <c r="X106">
        <f>HYPERLINK("https://klasma.github.io/Logging_0581/kartor/A 11490-2023 karta.png", "A 11490-2023")</f>
        <v/>
      </c>
      <c r="Y106">
        <f>HYPERLINK("https://klasma.github.io/Logging_0581/kartor_geotiff/A 11490-2023 georefererad karta.tif", "A 11490-2023")</f>
        <v/>
      </c>
      <c r="AA106">
        <f>HYPERLINK("https://klasma.github.io/Logging_0581/klagomål/A 11490-2023 FSC-klagomål.docx", "A 11490-2023")</f>
        <v/>
      </c>
      <c r="AB106">
        <f>HYPERLINK("https://klasma.github.io/Logging_0581/klagomålsmail/A 11490-2023 FSC-klagomål mail.docx", "A 11490-2023")</f>
        <v/>
      </c>
      <c r="AC106">
        <f>HYPERLINK("https://klasma.github.io/Logging_0581/tillsyn/A 11490-2023 tillsynsbegäran.docx", "A 11490-2023")</f>
        <v/>
      </c>
      <c r="AD106">
        <f>HYPERLINK("https://klasma.github.io/Logging_0581/tillsynsmail/A 11490-2023 tillsynsbegäran mail.docx", "A 11490-2023")</f>
        <v/>
      </c>
      <c r="AE106">
        <f>HYPERLINK("https://klasma.github.io/Logging_0581/fåglar/A 11490-2023 prioriterade fågelarter.docx", "A 11490-2023")</f>
        <v/>
      </c>
    </row>
    <row r="107" ht="15" customHeight="1">
      <c r="A107" t="inlineStr">
        <is>
          <t>A 27503-2022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46320</v>
      </c>
      <c r="F107" t="inlineStr">
        <is>
          <t>ÖSTERGÖTLANDS LÄN</t>
        </is>
      </c>
      <c r="G107" t="inlineStr">
        <is>
          <t>NORRKÖPING</t>
        </is>
      </c>
      <c r="I107" t="n">
        <v>2.9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Svinrot
Ängsskära</t>
        </is>
      </c>
      <c r="W107">
        <f>HYPERLINK("https://klasma.github.io/Logging_0581/artfynd/A 27503-2022 artfynd.xlsx", "A 27503-2022")</f>
        <v/>
      </c>
      <c r="X107">
        <f>HYPERLINK("https://klasma.github.io/Logging_0581/kartor/A 27503-2022 karta.png", "A 27503-2022")</f>
        <v/>
      </c>
      <c r="Y107">
        <f>HYPERLINK("https://klasma.github.io/Logging_0581/kartor_geotiff/A 27503-2022 georefererad karta.tif", "A 27503-2022")</f>
        <v/>
      </c>
      <c r="AA107">
        <f>HYPERLINK("https://klasma.github.io/Logging_0581/klagomål/A 27503-2022 FSC-klagomål.docx", "A 27503-2022")</f>
        <v/>
      </c>
      <c r="AB107">
        <f>HYPERLINK("https://klasma.github.io/Logging_0581/klagomålsmail/A 27503-2022 FSC-klagomål mail.docx", "A 27503-2022")</f>
        <v/>
      </c>
      <c r="AC107">
        <f>HYPERLINK("https://klasma.github.io/Logging_0581/tillsyn/A 27503-2022 tillsynsbegäran.docx", "A 27503-2022")</f>
        <v/>
      </c>
      <c r="AD107">
        <f>HYPERLINK("https://klasma.github.io/Logging_0581/tillsynsmail/A 27503-2022 tillsynsbegäran mail.docx", "A 27503-2022")</f>
        <v/>
      </c>
    </row>
    <row r="108" ht="15" customHeight="1">
      <c r="A108" t="inlineStr">
        <is>
          <t>A 5809-2025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45694</v>
      </c>
      <c r="E108" s="1" t="n">
        <v>46320</v>
      </c>
      <c r="F108" t="inlineStr">
        <is>
          <t>ÖSTERGÖTLANDS LÄN</t>
        </is>
      </c>
      <c r="G108" t="inlineStr">
        <is>
          <t>NORRKÖPING</t>
        </is>
      </c>
      <c r="I108" t="n">
        <v>3.7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Blåsippa
Vanlig padda</t>
        </is>
      </c>
      <c r="W108">
        <f>HYPERLINK("https://klasma.github.io/Logging_0581/artfynd/A 5809-2025 artfynd.xlsx", "A 5809-2025")</f>
        <v/>
      </c>
      <c r="X108">
        <f>HYPERLINK("https://klasma.github.io/Logging_0581/kartor/A 5809-2025 karta.png", "A 5809-2025")</f>
        <v/>
      </c>
      <c r="Y108">
        <f>HYPERLINK("https://klasma.github.io/Logging_0581/kartor_geotiff/A 5809-2025 georefererad karta.tif", "A 5809-2025")</f>
        <v/>
      </c>
      <c r="AA108">
        <f>HYPERLINK("https://klasma.github.io/Logging_0581/klagomål/A 5809-2025 FSC-klagomål.docx", "A 5809-2025")</f>
        <v/>
      </c>
      <c r="AB108">
        <f>HYPERLINK("https://klasma.github.io/Logging_0581/klagomålsmail/A 5809-2025 FSC-klagomål mail.docx", "A 5809-2025")</f>
        <v/>
      </c>
      <c r="AC108">
        <f>HYPERLINK("https://klasma.github.io/Logging_0581/tillsyn/A 5809-2025 tillsynsbegäran.docx", "A 5809-2025")</f>
        <v/>
      </c>
      <c r="AD108">
        <f>HYPERLINK("https://klasma.github.io/Logging_0581/tillsynsmail/A 5809-2025 tillsynsbegäran mail.docx", "A 5809-2025")</f>
        <v/>
      </c>
    </row>
    <row r="109" ht="15" customHeight="1">
      <c r="A109" t="inlineStr">
        <is>
          <t>A 53852-2022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44880</v>
      </c>
      <c r="E109" s="1" t="n">
        <v>46320</v>
      </c>
      <c r="F109" t="inlineStr">
        <is>
          <t>ÖSTERGÖTLANDS LÄN</t>
        </is>
      </c>
      <c r="G109" t="inlineStr">
        <is>
          <t>NORRKÖPING</t>
        </is>
      </c>
      <c r="I109" t="n">
        <v>1.8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Tibast
Blåsippa</t>
        </is>
      </c>
      <c r="W109">
        <f>HYPERLINK("https://klasma.github.io/Logging_0581/artfynd/A 53852-2022 artfynd.xlsx", "A 53852-2022")</f>
        <v/>
      </c>
      <c r="X109">
        <f>HYPERLINK("https://klasma.github.io/Logging_0581/kartor/A 53852-2022 karta.png", "A 53852-2022")</f>
        <v/>
      </c>
      <c r="Y109">
        <f>HYPERLINK("https://klasma.github.io/Logging_0581/kartor_geotiff/A 53852-2022 georefererad karta.tif", "A 53852-2022")</f>
        <v/>
      </c>
      <c r="AA109">
        <f>HYPERLINK("https://klasma.github.io/Logging_0581/klagomål/A 53852-2022 FSC-klagomål.docx", "A 53852-2022")</f>
        <v/>
      </c>
      <c r="AB109">
        <f>HYPERLINK("https://klasma.github.io/Logging_0581/klagomålsmail/A 53852-2022 FSC-klagomål mail.docx", "A 53852-2022")</f>
        <v/>
      </c>
      <c r="AC109">
        <f>HYPERLINK("https://klasma.github.io/Logging_0581/tillsyn/A 53852-2022 tillsynsbegäran.docx", "A 53852-2022")</f>
        <v/>
      </c>
      <c r="AD109">
        <f>HYPERLINK("https://klasma.github.io/Logging_0581/tillsynsmail/A 53852-2022 tillsynsbegäran mail.docx", "A 53852-2022")</f>
        <v/>
      </c>
    </row>
    <row r="110" ht="15" customHeight="1">
      <c r="A110" t="inlineStr">
        <is>
          <t>A 14636-2025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46320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17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Tjäder</t>
        </is>
      </c>
      <c r="W110">
        <f>HYPERLINK("https://klasma.github.io/Logging_0581/artfynd/A 14636-2025 artfynd.xlsx", "A 14636-2025")</f>
        <v/>
      </c>
      <c r="X110">
        <f>HYPERLINK("https://klasma.github.io/Logging_0581/kartor/A 14636-2025 karta.png", "A 14636-2025")</f>
        <v/>
      </c>
      <c r="Y110">
        <f>HYPERLINK("https://klasma.github.io/Logging_0581/kartor_geotiff/A 14636-2025 georefererad karta.tif", "A 14636-2025")</f>
        <v/>
      </c>
      <c r="AA110">
        <f>HYPERLINK("https://klasma.github.io/Logging_0581/klagomål/A 14636-2025 FSC-klagomål.docx", "A 14636-2025")</f>
        <v/>
      </c>
      <c r="AB110">
        <f>HYPERLINK("https://klasma.github.io/Logging_0581/klagomålsmail/A 14636-2025 FSC-klagomål mail.docx", "A 14636-2025")</f>
        <v/>
      </c>
      <c r="AC110">
        <f>HYPERLINK("https://klasma.github.io/Logging_0581/tillsyn/A 14636-2025 tillsynsbegäran.docx", "A 14636-2025")</f>
        <v/>
      </c>
      <c r="AD110">
        <f>HYPERLINK("https://klasma.github.io/Logging_0581/tillsynsmail/A 14636-2025 tillsynsbegäran mail.docx", "A 14636-2025")</f>
        <v/>
      </c>
      <c r="AE110">
        <f>HYPERLINK("https://klasma.github.io/Logging_0581/fåglar/A 14636-2025 prioriterade fågelarter.docx", "A 14636-2025")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46320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46692-2024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46320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Dvärgbägarlav
Flagellkvastmossa</t>
        </is>
      </c>
      <c r="W112">
        <f>HYPERLINK("https://klasma.github.io/Logging_0581/artfynd/A 46692-2024 artfynd.xlsx", "A 46692-2024")</f>
        <v/>
      </c>
      <c r="X112">
        <f>HYPERLINK("https://klasma.github.io/Logging_0581/kartor/A 46692-2024 karta.png", "A 46692-2024")</f>
        <v/>
      </c>
      <c r="Y112">
        <f>HYPERLINK("https://klasma.github.io/Logging_0581/kartor_geotiff/A 46692-2024 georefererad karta.tif", "A 46692-2024")</f>
        <v/>
      </c>
      <c r="AA112">
        <f>HYPERLINK("https://klasma.github.io/Logging_0581/klagomål/A 46692-2024 FSC-klagomål.docx", "A 46692-2024")</f>
        <v/>
      </c>
      <c r="AB112">
        <f>HYPERLINK("https://klasma.github.io/Logging_0581/klagomålsmail/A 46692-2024 FSC-klagomål mail.docx", "A 46692-2024")</f>
        <v/>
      </c>
      <c r="AC112">
        <f>HYPERLINK("https://klasma.github.io/Logging_0581/tillsyn/A 46692-2024 tillsynsbegäran.docx", "A 46692-2024")</f>
        <v/>
      </c>
      <c r="AD112">
        <f>HYPERLINK("https://klasma.github.io/Logging_0581/tillsynsmail/A 46692-2024 tillsynsbegäran mail.docx", "A 46692-2024")</f>
        <v/>
      </c>
    </row>
    <row r="113" ht="15" customHeight="1">
      <c r="A113" t="inlineStr">
        <is>
          <t>A 9722-2025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46320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Ask
Blåsippa</t>
        </is>
      </c>
      <c r="W113">
        <f>HYPERLINK("https://klasma.github.io/Logging_0581/artfynd/A 9722-2025 artfynd.xlsx", "A 9722-2025")</f>
        <v/>
      </c>
      <c r="X113">
        <f>HYPERLINK("https://klasma.github.io/Logging_0581/kartor/A 9722-2025 karta.png", "A 9722-2025")</f>
        <v/>
      </c>
      <c r="Y113">
        <f>HYPERLINK("https://klasma.github.io/Logging_0581/kartor_geotiff/A 9722-2025 georefererad karta.tif", "A 9722-2025")</f>
        <v/>
      </c>
      <c r="AA113">
        <f>HYPERLINK("https://klasma.github.io/Logging_0581/klagomål/A 9722-2025 FSC-klagomål.docx", "A 9722-2025")</f>
        <v/>
      </c>
      <c r="AB113">
        <f>HYPERLINK("https://klasma.github.io/Logging_0581/klagomålsmail/A 9722-2025 FSC-klagomål mail.docx", "A 9722-2025")</f>
        <v/>
      </c>
      <c r="AC113">
        <f>HYPERLINK("https://klasma.github.io/Logging_0581/tillsyn/A 9722-2025 tillsynsbegäran.docx", "A 9722-2025")</f>
        <v/>
      </c>
      <c r="AD113">
        <f>HYPERLINK("https://klasma.github.io/Logging_0581/tillsynsmail/A 9722-2025 tillsynsbegäran mail.docx", "A 9722-2025")</f>
        <v/>
      </c>
    </row>
    <row r="114" ht="15" customHeight="1">
      <c r="A114" t="inlineStr">
        <is>
          <t>A 9746-2025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46320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Ask
Blåsippa</t>
        </is>
      </c>
      <c r="W114">
        <f>HYPERLINK("https://klasma.github.io/Logging_0581/artfynd/A 9746-2025 artfynd.xlsx", "A 9746-2025")</f>
        <v/>
      </c>
      <c r="X114">
        <f>HYPERLINK("https://klasma.github.io/Logging_0581/kartor/A 9746-2025 karta.png", "A 9746-2025")</f>
        <v/>
      </c>
      <c r="Y114">
        <f>HYPERLINK("https://klasma.github.io/Logging_0581/kartor_geotiff/A 9746-2025 georefererad karta.tif", "A 9746-2025")</f>
        <v/>
      </c>
      <c r="AA114">
        <f>HYPERLINK("https://klasma.github.io/Logging_0581/klagomål/A 9746-2025 FSC-klagomål.docx", "A 9746-2025")</f>
        <v/>
      </c>
      <c r="AB114">
        <f>HYPERLINK("https://klasma.github.io/Logging_0581/klagomålsmail/A 9746-2025 FSC-klagomål mail.docx", "A 9746-2025")</f>
        <v/>
      </c>
      <c r="AC114">
        <f>HYPERLINK("https://klasma.github.io/Logging_0581/tillsyn/A 9746-2025 tillsynsbegäran.docx", "A 9746-2025")</f>
        <v/>
      </c>
      <c r="AD114">
        <f>HYPERLINK("https://klasma.github.io/Logging_0581/tillsynsmail/A 9746-2025 tillsynsbegäran mail.docx", "A 9746-2025")</f>
        <v/>
      </c>
    </row>
    <row r="115" ht="15" customHeight="1">
      <c r="A115" t="inlineStr">
        <is>
          <t>A 19182-2025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46320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1.9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Knärot
Ullticka</t>
        </is>
      </c>
      <c r="W115">
        <f>HYPERLINK("https://klasma.github.io/Logging_0581/artfynd/A 19182-2025 artfynd.xlsx", "A 19182-2025")</f>
        <v/>
      </c>
      <c r="X115">
        <f>HYPERLINK("https://klasma.github.io/Logging_0581/kartor/A 19182-2025 karta.png", "A 19182-2025")</f>
        <v/>
      </c>
      <c r="Y115">
        <f>HYPERLINK("https://klasma.github.io/Logging_0581/kartor_geotiff/A 19182-2025 georefererad karta.tif", "A 19182-2025")</f>
        <v/>
      </c>
      <c r="Z115">
        <f>HYPERLINK("https://klasma.github.io/Logging_0581/knärot/A 19182-2025 karta knärot.png", "A 19182-2025")</f>
        <v/>
      </c>
      <c r="AA115">
        <f>HYPERLINK("https://klasma.github.io/Logging_0581/klagomål/A 19182-2025 FSC-klagomål.docx", "A 19182-2025")</f>
        <v/>
      </c>
      <c r="AB115">
        <f>HYPERLINK("https://klasma.github.io/Logging_0581/klagomålsmail/A 19182-2025 FSC-klagomål mail.docx", "A 19182-2025")</f>
        <v/>
      </c>
      <c r="AC115">
        <f>HYPERLINK("https://klasma.github.io/Logging_0581/tillsyn/A 19182-2025 tillsynsbegäran.docx", "A 19182-2025")</f>
        <v/>
      </c>
      <c r="AD115">
        <f>HYPERLINK("https://klasma.github.io/Logging_0581/tillsynsmail/A 19182-2025 tillsynsbegäran mail.docx", "A 19182-2025")</f>
        <v/>
      </c>
    </row>
    <row r="116" ht="15" customHeight="1">
      <c r="A116" t="inlineStr">
        <is>
          <t>A 4826-2023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46320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5.1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Bårdlav
Havsörn</t>
        </is>
      </c>
      <c r="W116">
        <f>HYPERLINK("https://klasma.github.io/Logging_0581/artfynd/A 4826-2023 artfynd.xlsx", "A 4826-2023")</f>
        <v/>
      </c>
      <c r="X116">
        <f>HYPERLINK("https://klasma.github.io/Logging_0581/kartor/A 4826-2023 karta.png", "A 4826-2023")</f>
        <v/>
      </c>
      <c r="Y116">
        <f>HYPERLINK("https://klasma.github.io/Logging_0581/kartor_geotiff/A 4826-2023 georefererad karta.tif", "A 4826-2023")</f>
        <v/>
      </c>
      <c r="AA116">
        <f>HYPERLINK("https://klasma.github.io/Logging_0581/klagomål/A 4826-2023 FSC-klagomål.docx", "A 4826-2023")</f>
        <v/>
      </c>
      <c r="AB116">
        <f>HYPERLINK("https://klasma.github.io/Logging_0581/klagomålsmail/A 4826-2023 FSC-klagomål mail.docx", "A 4826-2023")</f>
        <v/>
      </c>
      <c r="AC116">
        <f>HYPERLINK("https://klasma.github.io/Logging_0581/tillsyn/A 4826-2023 tillsynsbegäran.docx", "A 4826-2023")</f>
        <v/>
      </c>
      <c r="AD116">
        <f>HYPERLINK("https://klasma.github.io/Logging_0581/tillsynsmail/A 4826-2023 tillsynsbegäran mail.docx", "A 4826-2023")</f>
        <v/>
      </c>
      <c r="AE116">
        <f>HYPERLINK("https://klasma.github.io/Logging_0581/fåglar/A 4826-2023 prioriterade fågelarter.docx", "A 4826-2023")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46320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46320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46320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46320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40053-2025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45894</v>
      </c>
      <c r="E122" s="1" t="n">
        <v>46320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HYPERLINK("https://klasma.github.io/Logging_0581/artfynd/A 40053-2025 artfynd.xlsx", "A 40053-2025")</f>
        <v/>
      </c>
      <c r="X122">
        <f>HYPERLINK("https://klasma.github.io/Logging_0581/kartor/A 40053-2025 karta.png", "A 40053-2025")</f>
        <v/>
      </c>
      <c r="Y122">
        <f>HYPERLINK("https://klasma.github.io/Logging_0581/kartor_geotiff/A 40053-2025 georefererad karta.tif", "A 40053-2025")</f>
        <v/>
      </c>
      <c r="AA122">
        <f>HYPERLINK("https://klasma.github.io/Logging_0581/klagomål/A 40053-2025 FSC-klagomål.docx", "A 40053-2025")</f>
        <v/>
      </c>
      <c r="AB122">
        <f>HYPERLINK("https://klasma.github.io/Logging_0581/klagomålsmail/A 40053-2025 FSC-klagomål mail.docx", "A 40053-2025")</f>
        <v/>
      </c>
      <c r="AC122">
        <f>HYPERLINK("https://klasma.github.io/Logging_0581/tillsyn/A 40053-2025 tillsynsbegäran.docx", "A 40053-2025")</f>
        <v/>
      </c>
      <c r="AD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40095-2025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46320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40095-2025 artfynd.xlsx", "A 40095-2025")</f>
        <v/>
      </c>
      <c r="X123">
        <f>HYPERLINK("https://klasma.github.io/Logging_0581/kartor/A 40095-2025 karta.png", "A 40095-2025")</f>
        <v/>
      </c>
      <c r="Y123">
        <f>HYPERLINK("https://klasma.github.io/Logging_0581/kartor_geotiff/A 40095-2025 georefererad karta.tif", "A 40095-2025")</f>
        <v/>
      </c>
      <c r="AA123">
        <f>HYPERLINK("https://klasma.github.io/Logging_0581/klagomål/A 40095-2025 FSC-klagomål.docx", "A 40095-2025")</f>
        <v/>
      </c>
      <c r="AB123">
        <f>HYPERLINK("https://klasma.github.io/Logging_0581/klagomålsmail/A 40095-2025 FSC-klagomål mail.docx", "A 40095-2025")</f>
        <v/>
      </c>
      <c r="AC123">
        <f>HYPERLINK("https://klasma.github.io/Logging_0581/tillsyn/A 40095-2025 tillsynsbegäran.docx", "A 40095-2025")</f>
        <v/>
      </c>
      <c r="AD123">
        <f>HYPERLINK("https://klasma.github.io/Logging_0581/tillsynsmail/A 40095-2025 tillsynsbegäran mail.docx", "A 40095-2025")</f>
        <v/>
      </c>
      <c r="AE123">
        <f>HYPERLINK("https://klasma.github.io/Logging_0581/fåglar/A 40095-2025 prioriterade fågelarter.docx", "A 40095-2025")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46320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HYPERLINK("https://klasma.github.io/Logging_0581/artfynd/A 42233-2025 artfynd.xlsx", "A 42233-2025")</f>
        <v/>
      </c>
      <c r="X125">
        <f>HYPERLINK("https://klasma.github.io/Logging_0581/kartor/A 42233-2025 karta.png", "A 42233-2025")</f>
        <v/>
      </c>
      <c r="Y125">
        <f>HYPERLINK("https://klasma.github.io/Logging_0581/kartor_geotiff/A 42233-2025 georefererad karta.tif", "A 42233-2025")</f>
        <v/>
      </c>
      <c r="AA125">
        <f>HYPERLINK("https://klasma.github.io/Logging_0581/klagomål/A 42233-2025 FSC-klagomål.docx", "A 42233-2025")</f>
        <v/>
      </c>
      <c r="AB125">
        <f>HYPERLINK("https://klasma.github.io/Logging_0581/klagomålsmail/A 42233-2025 FSC-klagomål mail.docx", "A 42233-2025")</f>
        <v/>
      </c>
      <c r="AC125">
        <f>HYPERLINK("https://klasma.github.io/Logging_0581/tillsyn/A 42233-2025 tillsynsbegäran.docx", "A 42233-2025")</f>
        <v/>
      </c>
      <c r="AD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42548-2025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Kattfotslav</t>
        </is>
      </c>
      <c r="W126">
        <f>HYPERLINK("https://klasma.github.io/Logging_0581/artfynd/A 42548-2025 artfynd.xlsx", "A 42548-2025")</f>
        <v/>
      </c>
      <c r="X126">
        <f>HYPERLINK("https://klasma.github.io/Logging_0581/kartor/A 42548-2025 karta.png", "A 42548-2025")</f>
        <v/>
      </c>
      <c r="Y126">
        <f>HYPERLINK("https://klasma.github.io/Logging_0581/kartor_geotiff/A 42548-2025 georefererad karta.tif", "A 42548-2025")</f>
        <v/>
      </c>
      <c r="AA126">
        <f>HYPERLINK("https://klasma.github.io/Logging_0581/klagomål/A 42548-2025 FSC-klagomål.docx", "A 42548-2025")</f>
        <v/>
      </c>
      <c r="AB126">
        <f>HYPERLINK("https://klasma.github.io/Logging_0581/klagomålsmail/A 42548-2025 FSC-klagomål mail.docx", "A 42548-2025")</f>
        <v/>
      </c>
      <c r="AC126">
        <f>HYPERLINK("https://klasma.github.io/Logging_0581/tillsyn/A 42548-2025 tillsynsbegäran.docx", "A 42548-2025")</f>
        <v/>
      </c>
      <c r="AD126">
        <f>HYPERLINK("https://klasma.github.io/Logging_0581/tillsynsmail/A 42548-2025 tillsynsbegäran mail.docx", "A 42548-2025")</f>
        <v/>
      </c>
    </row>
    <row r="127" ht="15" customHeight="1">
      <c r="A127" t="inlineStr">
        <is>
          <t>A 23627-2026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46163</v>
      </c>
      <c r="E127" s="1" t="n">
        <v>46320</v>
      </c>
      <c r="F127" t="inlineStr">
        <is>
          <t>ÖSTERGÖTLANDS LÄN</t>
        </is>
      </c>
      <c r="G127" t="inlineStr">
        <is>
          <t>NORRKÖPING</t>
        </is>
      </c>
      <c r="I127" t="n">
        <v>4.1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Ekoxe</t>
        </is>
      </c>
      <c r="W127">
        <f>HYPERLINK("https://klasma.github.io/Logging_0581/artfynd/A 23627-2026 artfynd.xlsx", "A 23627-2026")</f>
        <v/>
      </c>
      <c r="X127">
        <f>HYPERLINK("https://klasma.github.io/Logging_0581/kartor/A 23627-2026 karta.png", "A 23627-2026")</f>
        <v/>
      </c>
      <c r="Y127">
        <f>HYPERLINK("https://klasma.github.io/Logging_0581/kartor_geotiff/A 23627-2026 georefererad karta.tif", "A 23627-2026")</f>
        <v/>
      </c>
      <c r="AA127">
        <f>HYPERLINK("https://klasma.github.io/Logging_0581/klagomål/A 23627-2026 FSC-klagomål.docx", "A 23627-2026")</f>
        <v/>
      </c>
      <c r="AB127">
        <f>HYPERLINK("https://klasma.github.io/Logging_0581/klagomålsmail/A 23627-2026 FSC-klagomål mail.docx", "A 23627-2026")</f>
        <v/>
      </c>
      <c r="AC127">
        <f>HYPERLINK("https://klasma.github.io/Logging_0581/tillsyn/A 23627-2026 tillsynsbegäran.docx", "A 23627-2026")</f>
        <v/>
      </c>
      <c r="AD127">
        <f>HYPERLINK("https://klasma.github.io/Logging_0581/tillsynsmail/A 23627-2026 tillsynsbegäran mail.docx", "A 23627-2026")</f>
        <v/>
      </c>
    </row>
    <row r="128" ht="15" customHeight="1">
      <c r="A128" t="inlineStr">
        <is>
          <t>A 19995-2025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46320</v>
      </c>
      <c r="F128" t="inlineStr">
        <is>
          <t>ÖSTERGÖTLANDS LÄN</t>
        </is>
      </c>
      <c r="G128" t="inlineStr">
        <is>
          <t>NORRKÖPING</t>
        </is>
      </c>
      <c r="I128" t="n">
        <v>1.1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Blomkålssvamp</t>
        </is>
      </c>
      <c r="W128">
        <f>HYPERLINK("https://klasma.github.io/Logging_0581/artfynd/A 19995-2025 artfynd.xlsx", "A 19995-2025")</f>
        <v/>
      </c>
      <c r="X128">
        <f>HYPERLINK("https://klasma.github.io/Logging_0581/kartor/A 19995-2025 karta.png", "A 19995-2025")</f>
        <v/>
      </c>
      <c r="Y128">
        <f>HYPERLINK("https://klasma.github.io/Logging_0581/kartor_geotiff/A 19995-2025 georefererad karta.tif", "A 19995-2025")</f>
        <v/>
      </c>
      <c r="AA128">
        <f>HYPERLINK("https://klasma.github.io/Logging_0581/klagomål/A 19995-2025 FSC-klagomål.docx", "A 19995-2025")</f>
        <v/>
      </c>
      <c r="AB128">
        <f>HYPERLINK("https://klasma.github.io/Logging_0581/klagomålsmail/A 19995-2025 FSC-klagomål mail.docx", "A 19995-2025")</f>
        <v/>
      </c>
      <c r="AC128">
        <f>HYPERLINK("https://klasma.github.io/Logging_0581/tillsyn/A 19995-2025 tillsynsbegäran.docx", "A 19995-2025")</f>
        <v/>
      </c>
      <c r="AD128">
        <f>HYPERLINK("https://klasma.github.io/Logging_0581/tillsynsmail/A 19995-2025 tillsynsbegäran mail.docx", "A 19995-2025")</f>
        <v/>
      </c>
    </row>
    <row r="129" ht="15" customHeight="1">
      <c r="A129" t="inlineStr">
        <is>
          <t>A 14329-2022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46320</v>
      </c>
      <c r="F129" t="inlineStr">
        <is>
          <t>ÖSTERGÖTLANDS LÄN</t>
        </is>
      </c>
      <c r="G129" t="inlineStr">
        <is>
          <t>NORRKÖPING</t>
        </is>
      </c>
      <c r="I129" t="n">
        <v>2.7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Röd skogslilja</t>
        </is>
      </c>
      <c r="W129">
        <f>HYPERLINK("https://klasma.github.io/Logging_0581/artfynd/A 14329-2022 artfynd.xlsx", "A 14329-2022")</f>
        <v/>
      </c>
      <c r="X129">
        <f>HYPERLINK("https://klasma.github.io/Logging_0581/kartor/A 14329-2022 karta.png", "A 14329-2022")</f>
        <v/>
      </c>
      <c r="Y129">
        <f>HYPERLINK("https://klasma.github.io/Logging_0581/kartor_geotiff/A 14329-2022 georefererad karta.tif", "A 14329-2022")</f>
        <v/>
      </c>
      <c r="AA129">
        <f>HYPERLINK("https://klasma.github.io/Logging_0581/klagomål/A 14329-2022 FSC-klagomål.docx", "A 14329-2022")</f>
        <v/>
      </c>
      <c r="AB129">
        <f>HYPERLINK("https://klasma.github.io/Logging_0581/klagomålsmail/A 14329-2022 FSC-klagomål mail.docx", "A 14329-2022")</f>
        <v/>
      </c>
      <c r="AC129">
        <f>HYPERLINK("https://klasma.github.io/Logging_0581/tillsyn/A 14329-2022 tillsynsbegäran.docx", "A 14329-2022")</f>
        <v/>
      </c>
      <c r="AD129">
        <f>HYPERLINK("https://klasma.github.io/Logging_0581/tillsynsmail/A 14329-2022 tillsynsbegäran mail.docx", "A 14329-2022")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46320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Vedskivlav</t>
        </is>
      </c>
      <c r="W130">
        <f>HYPERLINK("https://klasma.github.io/Logging_0581/artfynd/A 15124-2025 artfynd.xlsx", "A 15124-2025")</f>
        <v/>
      </c>
      <c r="X130">
        <f>HYPERLINK("https://klasma.github.io/Logging_0581/kartor/A 15124-2025 karta.png", "A 15124-2025")</f>
        <v/>
      </c>
      <c r="Y130">
        <f>HYPERLINK("https://klasma.github.io/Logging_0581/kartor_geotiff/A 15124-2025 georefererad karta.tif", "A 15124-2025")</f>
        <v/>
      </c>
      <c r="AA130">
        <f>HYPERLINK("https://klasma.github.io/Logging_0581/klagomål/A 15124-2025 FSC-klagomål.docx", "A 15124-2025")</f>
        <v/>
      </c>
      <c r="AB130">
        <f>HYPERLINK("https://klasma.github.io/Logging_0581/klagomålsmail/A 15124-2025 FSC-klagomål mail.docx", "A 15124-2025")</f>
        <v/>
      </c>
      <c r="AC130">
        <f>HYPERLINK("https://klasma.github.io/Logging_0581/tillsyn/A 15124-2025 tillsynsbegäran.docx", "A 15124-2025")</f>
        <v/>
      </c>
      <c r="AD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15143-2025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46320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Vedskivlav</t>
        </is>
      </c>
      <c r="W131">
        <f>HYPERLINK("https://klasma.github.io/Logging_0581/artfynd/A 15143-2025 artfynd.xlsx", "A 15143-2025")</f>
        <v/>
      </c>
      <c r="X131">
        <f>HYPERLINK("https://klasma.github.io/Logging_0581/kartor/A 15143-2025 karta.png", "A 15143-2025")</f>
        <v/>
      </c>
      <c r="Y131">
        <f>HYPERLINK("https://klasma.github.io/Logging_0581/kartor_geotiff/A 15143-2025 georefererad karta.tif", "A 15143-2025")</f>
        <v/>
      </c>
      <c r="AA131">
        <f>HYPERLINK("https://klasma.github.io/Logging_0581/klagomål/A 15143-2025 FSC-klagomål.docx", "A 15143-2025")</f>
        <v/>
      </c>
      <c r="AB131">
        <f>HYPERLINK("https://klasma.github.io/Logging_0581/klagomålsmail/A 15143-2025 FSC-klagomål mail.docx", "A 15143-2025")</f>
        <v/>
      </c>
      <c r="AC131">
        <f>HYPERLINK("https://klasma.github.io/Logging_0581/tillsyn/A 15143-2025 tillsynsbegäran.docx", "A 15143-2025")</f>
        <v/>
      </c>
      <c r="AD131">
        <f>HYPERLINK("https://klasma.github.io/Logging_0581/tillsynsmail/A 15143-2025 tillsynsbegäran mail.docx", "A 15143-2025")</f>
        <v/>
      </c>
    </row>
    <row r="132" ht="15" customHeight="1">
      <c r="A132" t="inlineStr">
        <is>
          <t>A 25707-2026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46320</v>
      </c>
      <c r="F132" t="inlineStr">
        <is>
          <t>ÖSTERGÖTLANDS LÄN</t>
        </is>
      </c>
      <c r="G132" t="inlineStr">
        <is>
          <t>NORRKÖPING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Tallticka</t>
        </is>
      </c>
      <c r="W132">
        <f>HYPERLINK("https://klasma.github.io/Logging_0581/artfynd/A 25707-2026 artfynd.xlsx", "A 25707-2026")</f>
        <v/>
      </c>
      <c r="X132">
        <f>HYPERLINK("https://klasma.github.io/Logging_0581/kartor/A 25707-2026 karta.png", "A 25707-2026")</f>
        <v/>
      </c>
      <c r="Y132">
        <f>HYPERLINK("https://klasma.github.io/Logging_0581/kartor_geotiff/A 25707-2026 georefererad karta.tif", "A 25707-2026")</f>
        <v/>
      </c>
      <c r="AA132">
        <f>HYPERLINK("https://klasma.github.io/Logging_0581/klagomål/A 25707-2026 FSC-klagomål.docx", "A 25707-2026")</f>
        <v/>
      </c>
      <c r="AB132">
        <f>HYPERLINK("https://klasma.github.io/Logging_0581/klagomålsmail/A 25707-2026 FSC-klagomål mail.docx", "A 25707-2026")</f>
        <v/>
      </c>
      <c r="AC132">
        <f>HYPERLINK("https://klasma.github.io/Logging_0581/tillsyn/A 25707-2026 tillsynsbegäran.docx", "A 25707-2026")</f>
        <v/>
      </c>
      <c r="AD132">
        <f>HYPERLINK("https://klasma.github.io/Logging_0581/tillsynsmail/A 25707-2026 tillsynsbegäran mail.docx", "A 25707-2026")</f>
        <v/>
      </c>
    </row>
    <row r="133" ht="15" customHeight="1">
      <c r="A133" t="inlineStr">
        <is>
          <t>A 1077-2023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46320</v>
      </c>
      <c r="F133" t="inlineStr">
        <is>
          <t>ÖSTERGÖTLANDS LÄN</t>
        </is>
      </c>
      <c r="G133" t="inlineStr">
        <is>
          <t>NORRKÖPING</t>
        </is>
      </c>
      <c r="I133" t="n">
        <v>3.4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Äkta lopplummer</t>
        </is>
      </c>
      <c r="W133">
        <f>HYPERLINK("https://klasma.github.io/Logging_0581/artfynd/A 1077-2023 artfynd.xlsx", "A 1077-2023")</f>
        <v/>
      </c>
      <c r="X133">
        <f>HYPERLINK("https://klasma.github.io/Logging_0581/kartor/A 1077-2023 karta.png", "A 1077-2023")</f>
        <v/>
      </c>
      <c r="Y133">
        <f>HYPERLINK("https://klasma.github.io/Logging_0581/kartor_geotiff/A 1077-2023 georefererad karta.tif", "A 1077-2023")</f>
        <v/>
      </c>
      <c r="AA133">
        <f>HYPERLINK("https://klasma.github.io/Logging_0581/klagomål/A 1077-2023 FSC-klagomål.docx", "A 1077-2023")</f>
        <v/>
      </c>
      <c r="AB133">
        <f>HYPERLINK("https://klasma.github.io/Logging_0581/klagomålsmail/A 1077-2023 FSC-klagomål mail.docx", "A 1077-2023")</f>
        <v/>
      </c>
      <c r="AC133">
        <f>HYPERLINK("https://klasma.github.io/Logging_0581/tillsyn/A 1077-2023 tillsynsbegäran.docx", "A 1077-2023")</f>
        <v/>
      </c>
      <c r="AD133">
        <f>HYPERLINK("https://klasma.github.io/Logging_0581/tillsynsmail/A 1077-2023 tillsynsbegäran mail.docx", "A 1077-2023")</f>
        <v/>
      </c>
    </row>
    <row r="134" ht="15" customHeight="1">
      <c r="A134" t="inlineStr">
        <is>
          <t>A 29202-2026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46320</v>
      </c>
      <c r="F134" t="inlineStr">
        <is>
          <t>ÖSTERGÖTLANDS LÄN</t>
        </is>
      </c>
      <c r="G134" t="inlineStr">
        <is>
          <t>NORRKÖPING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HYPERLINK("https://klasma.github.io/Logging_0581/artfynd/A 29202-2026 artfynd.xlsx", "A 29202-2026")</f>
        <v/>
      </c>
      <c r="X134">
        <f>HYPERLINK("https://klasma.github.io/Logging_0581/kartor/A 29202-2026 karta.png", "A 29202-2026")</f>
        <v/>
      </c>
      <c r="Y134">
        <f>HYPERLINK("https://klasma.github.io/Logging_0581/kartor_geotiff/A 29202-2026 georefererad karta.tif", "A 29202-2026")</f>
        <v/>
      </c>
      <c r="AA134">
        <f>HYPERLINK("https://klasma.github.io/Logging_0581/klagomål/A 29202-2026 FSC-klagomål.docx", "A 29202-2026")</f>
        <v/>
      </c>
      <c r="AB134">
        <f>HYPERLINK("https://klasma.github.io/Logging_0581/klagomålsmail/A 29202-2026 FSC-klagomål mail.docx", "A 29202-2026")</f>
        <v/>
      </c>
      <c r="AC134">
        <f>HYPERLINK("https://klasma.github.io/Logging_0581/tillsyn/A 29202-2026 tillsynsbegäran.docx", "A 29202-2026")</f>
        <v/>
      </c>
      <c r="AD134">
        <f>HYPERLINK("https://klasma.github.io/Logging_0581/tillsynsmail/A 29202-2026 tillsynsbegäran mail.docx", "A 29202-2026")</f>
        <v/>
      </c>
    </row>
    <row r="135" ht="15" customHeight="1">
      <c r="A135" t="inlineStr">
        <is>
          <t>A 31582-2023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46320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31582-2023 artfynd.xlsx", "A 31582-2023")</f>
        <v/>
      </c>
      <c r="X135">
        <f>HYPERLINK("https://klasma.github.io/Logging_0581/kartor/A 31582-2023 karta.png", "A 31582-2023")</f>
        <v/>
      </c>
      <c r="Y135">
        <f>HYPERLINK("https://klasma.github.io/Logging_0581/kartor_geotiff/A 31582-2023 georefererad karta.tif", "A 31582-2023")</f>
        <v/>
      </c>
      <c r="AA135">
        <f>HYPERLINK("https://klasma.github.io/Logging_0581/klagomål/A 31582-2023 FSC-klagomål.docx", "A 31582-2023")</f>
        <v/>
      </c>
      <c r="AB135">
        <f>HYPERLINK("https://klasma.github.io/Logging_0581/klagomålsmail/A 31582-2023 FSC-klagomål mail.docx", "A 31582-2023")</f>
        <v/>
      </c>
      <c r="AC135">
        <f>HYPERLINK("https://klasma.github.io/Logging_0581/tillsyn/A 31582-2023 tillsynsbegäran.docx", "A 31582-2023")</f>
        <v/>
      </c>
      <c r="AD135">
        <f>HYPERLINK("https://klasma.github.io/Logging_0581/tillsynsmail/A 31582-2023 tillsynsbegäran mail.docx", "A 31582-2023")</f>
        <v/>
      </c>
      <c r="AE135">
        <f>HYPERLINK("https://klasma.github.io/Logging_0581/fåglar/A 31582-2023 prioriterade fågelarter.docx", "A 31582-2023")</f>
        <v/>
      </c>
    </row>
    <row r="136" ht="15" customHeight="1">
      <c r="A136" t="inlineStr">
        <is>
          <t>A 58318-2023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46320</v>
      </c>
      <c r="F136" t="inlineStr">
        <is>
          <t>ÖSTERGÖTLANDS LÄN</t>
        </is>
      </c>
      <c r="G136" t="inlineStr">
        <is>
          <t>NORRKÖPING</t>
        </is>
      </c>
      <c r="I136" t="n">
        <v>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Havsörn</t>
        </is>
      </c>
      <c r="W136">
        <f>HYPERLINK("https://klasma.github.io/Logging_0581/artfynd/A 58318-2023 artfynd.xlsx", "A 58318-2023")</f>
        <v/>
      </c>
      <c r="X136">
        <f>HYPERLINK("https://klasma.github.io/Logging_0581/kartor/A 58318-2023 karta.png", "A 58318-2023")</f>
        <v/>
      </c>
      <c r="Y136">
        <f>HYPERLINK("https://klasma.github.io/Logging_0581/kartor_geotiff/A 58318-2023 georefererad karta.tif", "A 58318-2023")</f>
        <v/>
      </c>
      <c r="AA136">
        <f>HYPERLINK("https://klasma.github.io/Logging_0581/klagomål/A 58318-2023 FSC-klagomål.docx", "A 58318-2023")</f>
        <v/>
      </c>
      <c r="AB136">
        <f>HYPERLINK("https://klasma.github.io/Logging_0581/klagomålsmail/A 58318-2023 FSC-klagomål mail.docx", "A 58318-2023")</f>
        <v/>
      </c>
      <c r="AC136">
        <f>HYPERLINK("https://klasma.github.io/Logging_0581/tillsyn/A 58318-2023 tillsynsbegäran.docx", "A 58318-2023")</f>
        <v/>
      </c>
      <c r="AD136">
        <f>HYPERLINK("https://klasma.github.io/Logging_0581/tillsynsmail/A 58318-2023 tillsynsbegäran mail.docx", "A 58318-2023")</f>
        <v/>
      </c>
      <c r="AE136">
        <f>HYPERLINK("https://klasma.github.io/Logging_0581/fåglar/A 58318-2023 prioriterade fågelarter.docx", "A 58318-2023")</f>
        <v/>
      </c>
    </row>
    <row r="137" ht="15" customHeight="1">
      <c r="A137" t="inlineStr">
        <is>
          <t>A 15870-2024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46320</v>
      </c>
      <c r="F137" t="inlineStr">
        <is>
          <t>ÖSTERGÖTLANDS LÄN</t>
        </is>
      </c>
      <c r="G137" t="inlineStr">
        <is>
          <t>NORRKÖPING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Mörk dunört</t>
        </is>
      </c>
      <c r="W137">
        <f>HYPERLINK("https://klasma.github.io/Logging_0581/artfynd/A 15870-2024 artfynd.xlsx", "A 15870-2024")</f>
        <v/>
      </c>
      <c r="X137">
        <f>HYPERLINK("https://klasma.github.io/Logging_0581/kartor/A 15870-2024 karta.png", "A 15870-2024")</f>
        <v/>
      </c>
      <c r="Y137">
        <f>HYPERLINK("https://klasma.github.io/Logging_0581/kartor_geotiff/A 15870-2024 georefererad karta.tif", "A 15870-2024")</f>
        <v/>
      </c>
      <c r="AA137">
        <f>HYPERLINK("https://klasma.github.io/Logging_0581/klagomål/A 15870-2024 FSC-klagomål.docx", "A 15870-2024")</f>
        <v/>
      </c>
      <c r="AB137">
        <f>HYPERLINK("https://klasma.github.io/Logging_0581/klagomålsmail/A 15870-2024 FSC-klagomål mail.docx", "A 15870-2024")</f>
        <v/>
      </c>
      <c r="AC137">
        <f>HYPERLINK("https://klasma.github.io/Logging_0581/tillsyn/A 15870-2024 tillsynsbegäran.docx", "A 15870-2024")</f>
        <v/>
      </c>
      <c r="AD137">
        <f>HYPERLINK("https://klasma.github.io/Logging_0581/tillsynsmail/A 15870-2024 tillsynsbegäran mail.docx", "A 15870-2024")</f>
        <v/>
      </c>
    </row>
    <row r="138" ht="15" customHeight="1">
      <c r="A138" t="inlineStr">
        <is>
          <t>A 31231-2026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46217</v>
      </c>
      <c r="E138" s="1" t="n">
        <v>46320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4.2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Blåmossa</t>
        </is>
      </c>
      <c r="W138">
        <f>HYPERLINK("https://klasma.github.io/Logging_0581/artfynd/A 31231-2026 artfynd.xlsx", "A 31231-2026")</f>
        <v/>
      </c>
      <c r="X138">
        <f>HYPERLINK("https://klasma.github.io/Logging_0581/kartor/A 31231-2026 karta.png", "A 31231-2026")</f>
        <v/>
      </c>
      <c r="Y138">
        <f>HYPERLINK("https://klasma.github.io/Logging_0581/kartor_geotiff/A 31231-2026 georefererad karta.tif", "A 31231-2026")</f>
        <v/>
      </c>
      <c r="AA138">
        <f>HYPERLINK("https://klasma.github.io/Logging_0581/klagomål/A 31231-2026 FSC-klagomål.docx", "A 31231-2026")</f>
        <v/>
      </c>
      <c r="AB138">
        <f>HYPERLINK("https://klasma.github.io/Logging_0581/klagomålsmail/A 31231-2026 FSC-klagomål mail.docx", "A 31231-2026")</f>
        <v/>
      </c>
      <c r="AC138">
        <f>HYPERLINK("https://klasma.github.io/Logging_0581/tillsyn/A 31231-2026 tillsynsbegäran.docx", "A 31231-2026")</f>
        <v/>
      </c>
      <c r="AD138">
        <f>HYPERLINK("https://klasma.github.io/Logging_0581/tillsynsmail/A 31231-2026 tillsynsbegäran mail.docx", "A 31231-2026")</f>
        <v/>
      </c>
    </row>
    <row r="139" ht="15" customHeight="1">
      <c r="A139" t="inlineStr">
        <is>
          <t>A 31254-2026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46218</v>
      </c>
      <c r="E139" s="1" t="n">
        <v>46320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Raggbock</t>
        </is>
      </c>
      <c r="W139">
        <f>HYPERLINK("https://klasma.github.io/Logging_0581/artfynd/A 31254-2026 artfynd.xlsx", "A 31254-2026")</f>
        <v/>
      </c>
      <c r="X139">
        <f>HYPERLINK("https://klasma.github.io/Logging_0581/kartor/A 31254-2026 karta.png", "A 31254-2026")</f>
        <v/>
      </c>
      <c r="Y139">
        <f>HYPERLINK("https://klasma.github.io/Logging_0581/kartor_geotiff/A 31254-2026 georefererad karta.tif", "A 31254-2026")</f>
        <v/>
      </c>
      <c r="AA139">
        <f>HYPERLINK("https://klasma.github.io/Logging_0581/klagomål/A 31254-2026 FSC-klagomål.docx", "A 31254-2026")</f>
        <v/>
      </c>
      <c r="AB139">
        <f>HYPERLINK("https://klasma.github.io/Logging_0581/klagomålsmail/A 31254-2026 FSC-klagomål mail.docx", "A 31254-2026")</f>
        <v/>
      </c>
      <c r="AC139">
        <f>HYPERLINK("https://klasma.github.io/Logging_0581/tillsyn/A 31254-2026 tillsynsbegäran.docx", "A 31254-2026")</f>
        <v/>
      </c>
      <c r="AD139">
        <f>HYPERLINK("https://klasma.github.io/Logging_0581/tillsynsmail/A 31254-2026 tillsynsbegäran mail.docx", "A 31254-2026")</f>
        <v/>
      </c>
    </row>
    <row r="140" ht="15" customHeight="1">
      <c r="A140" t="inlineStr">
        <is>
          <t>A 31325-2026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46219</v>
      </c>
      <c r="E140" s="1" t="n">
        <v>46320</v>
      </c>
      <c r="F140" t="inlineStr">
        <is>
          <t>ÖSTERGÖTLANDS LÄN</t>
        </is>
      </c>
      <c r="G140" t="inlineStr">
        <is>
          <t>NORRKÖPING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Bergsslok</t>
        </is>
      </c>
      <c r="W140">
        <f>HYPERLINK("https://klasma.github.io/Logging_0581/artfynd/A 31325-2026 artfynd.xlsx", "A 31325-2026")</f>
        <v/>
      </c>
      <c r="X140">
        <f>HYPERLINK("https://klasma.github.io/Logging_0581/kartor/A 31325-2026 karta.png", "A 31325-2026")</f>
        <v/>
      </c>
      <c r="Y140">
        <f>HYPERLINK("https://klasma.github.io/Logging_0581/kartor_geotiff/A 31325-2026 georefererad karta.tif", "A 31325-2026")</f>
        <v/>
      </c>
      <c r="AA140">
        <f>HYPERLINK("https://klasma.github.io/Logging_0581/klagomål/A 31325-2026 FSC-klagomål.docx", "A 31325-2026")</f>
        <v/>
      </c>
      <c r="AB140">
        <f>HYPERLINK("https://klasma.github.io/Logging_0581/klagomålsmail/A 31325-2026 FSC-klagomål mail.docx", "A 31325-2026")</f>
        <v/>
      </c>
      <c r="AC140">
        <f>HYPERLINK("https://klasma.github.io/Logging_0581/tillsyn/A 31325-2026 tillsynsbegäran.docx", "A 31325-2026")</f>
        <v/>
      </c>
      <c r="AD140">
        <f>HYPERLINK("https://klasma.github.io/Logging_0581/tillsynsmail/A 31325-2026 tillsynsbegäran mail.docx", "A 31325-2026")</f>
        <v/>
      </c>
    </row>
    <row r="141" ht="15" customHeight="1">
      <c r="A141" t="inlineStr">
        <is>
          <t>A 11520-2025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46320</v>
      </c>
      <c r="F141" t="inlineStr">
        <is>
          <t>ÖSTERGÖTLANDS LÄN</t>
        </is>
      </c>
      <c r="G141" t="inlineStr">
        <is>
          <t>NORRKÖPING</t>
        </is>
      </c>
      <c r="I141" t="n">
        <v>1.7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Myskbock</t>
        </is>
      </c>
      <c r="W141">
        <f>HYPERLINK("https://klasma.github.io/Logging_0581/artfynd/A 11520-2025 artfynd.xlsx", "A 11520-2025")</f>
        <v/>
      </c>
      <c r="X141">
        <f>HYPERLINK("https://klasma.github.io/Logging_0581/kartor/A 11520-2025 karta.png", "A 11520-2025")</f>
        <v/>
      </c>
      <c r="Y141">
        <f>HYPERLINK("https://klasma.github.io/Logging_0581/kartor_geotiff/A 11520-2025 georefererad karta.tif", "A 11520-2025")</f>
        <v/>
      </c>
      <c r="AA141">
        <f>HYPERLINK("https://klasma.github.io/Logging_0581/klagomål/A 11520-2025 FSC-klagomål.docx", "A 11520-2025")</f>
        <v/>
      </c>
      <c r="AB141">
        <f>HYPERLINK("https://klasma.github.io/Logging_0581/klagomålsmail/A 11520-2025 FSC-klagomål mail.docx", "A 11520-2025")</f>
        <v/>
      </c>
      <c r="AC141">
        <f>HYPERLINK("https://klasma.github.io/Logging_0581/tillsyn/A 11520-2025 tillsynsbegäran.docx", "A 11520-2025")</f>
        <v/>
      </c>
      <c r="AD141">
        <f>HYPERLINK("https://klasma.github.io/Logging_0581/tillsynsmail/A 11520-2025 tillsynsbegäran mail.docx", "A 11520-2025")</f>
        <v/>
      </c>
    </row>
    <row r="142" ht="15" customHeight="1">
      <c r="A142" t="inlineStr">
        <is>
          <t>A 31660-2026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46225</v>
      </c>
      <c r="E142" s="1" t="n">
        <v>46320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8.199999999999999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Ängsskära</t>
        </is>
      </c>
      <c r="W142">
        <f>HYPERLINK("https://klasma.github.io/Logging_0581/artfynd/A 31660-2026 artfynd.xlsx", "A 31660-2026")</f>
        <v/>
      </c>
      <c r="X142">
        <f>HYPERLINK("https://klasma.github.io/Logging_0581/kartor/A 31660-2026 karta.png", "A 31660-2026")</f>
        <v/>
      </c>
      <c r="Y142">
        <f>HYPERLINK("https://klasma.github.io/Logging_0581/kartor_geotiff/A 31660-2026 georefererad karta.tif", "A 31660-2026")</f>
        <v/>
      </c>
      <c r="AA142">
        <f>HYPERLINK("https://klasma.github.io/Logging_0581/klagomål/A 31660-2026 FSC-klagomål.docx", "A 31660-2026")</f>
        <v/>
      </c>
      <c r="AB142">
        <f>HYPERLINK("https://klasma.github.io/Logging_0581/klagomålsmail/A 31660-2026 FSC-klagomål mail.docx", "A 31660-2026")</f>
        <v/>
      </c>
      <c r="AC142">
        <f>HYPERLINK("https://klasma.github.io/Logging_0581/tillsyn/A 31660-2026 tillsynsbegäran.docx", "A 31660-2026")</f>
        <v/>
      </c>
      <c r="AD142">
        <f>HYPERLINK("https://klasma.github.io/Logging_0581/tillsynsmail/A 31660-2026 tillsynsbegäran mail.docx", "A 31660-2026")</f>
        <v/>
      </c>
    </row>
    <row r="143" ht="15" customHeight="1">
      <c r="A143" t="inlineStr">
        <is>
          <t>A 31892-2026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46231</v>
      </c>
      <c r="E143" s="1" t="n">
        <v>46320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HYPERLINK("https://klasma.github.io/Logging_0581/artfynd/A 31892-2026 artfynd.xlsx", "A 31892-2026")</f>
        <v/>
      </c>
      <c r="X143">
        <f>HYPERLINK("https://klasma.github.io/Logging_0581/kartor/A 31892-2026 karta.png", "A 31892-2026")</f>
        <v/>
      </c>
      <c r="Y143">
        <f>HYPERLINK("https://klasma.github.io/Logging_0581/kartor_geotiff/A 31892-2026 georefererad karta.tif", "A 31892-2026")</f>
        <v/>
      </c>
      <c r="AA143">
        <f>HYPERLINK("https://klasma.github.io/Logging_0581/klagomål/A 31892-2026 FSC-klagomål.docx", "A 31892-2026")</f>
        <v/>
      </c>
      <c r="AB143">
        <f>HYPERLINK("https://klasma.github.io/Logging_0581/klagomålsmail/A 31892-2026 FSC-klagomål mail.docx", "A 31892-2026")</f>
        <v/>
      </c>
      <c r="AC143">
        <f>HYPERLINK("https://klasma.github.io/Logging_0581/tillsyn/A 31892-2026 tillsynsbegäran.docx", "A 31892-2026")</f>
        <v/>
      </c>
      <c r="AD143">
        <f>HYPERLINK("https://klasma.github.io/Logging_0581/tillsynsmail/A 31892-2026 tillsynsbegäran mail.docx", "A 31892-2026")</f>
        <v/>
      </c>
    </row>
    <row r="144" ht="15" customHeight="1">
      <c r="A144" t="inlineStr">
        <is>
          <t>A 32070-2026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46233</v>
      </c>
      <c r="E144" s="1" t="n">
        <v>46320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Grönpyrola</t>
        </is>
      </c>
      <c r="W144">
        <f>HYPERLINK("https://klasma.github.io/Logging_0581/artfynd/A 32070-2026 artfynd.xlsx", "A 32070-2026")</f>
        <v/>
      </c>
      <c r="X144">
        <f>HYPERLINK("https://klasma.github.io/Logging_0581/kartor/A 32070-2026 karta.png", "A 32070-2026")</f>
        <v/>
      </c>
      <c r="Y144">
        <f>HYPERLINK("https://klasma.github.io/Logging_0581/kartor_geotiff/A 32070-2026 georefererad karta.tif", "A 32070-2026")</f>
        <v/>
      </c>
      <c r="AA144">
        <f>HYPERLINK("https://klasma.github.io/Logging_0581/klagomål/A 32070-2026 FSC-klagomål.docx", "A 32070-2026")</f>
        <v/>
      </c>
      <c r="AB144">
        <f>HYPERLINK("https://klasma.github.io/Logging_0581/klagomålsmail/A 32070-2026 FSC-klagomål mail.docx", "A 32070-2026")</f>
        <v/>
      </c>
      <c r="AC144">
        <f>HYPERLINK("https://klasma.github.io/Logging_0581/tillsyn/A 32070-2026 tillsynsbegäran.docx", "A 32070-2026")</f>
        <v/>
      </c>
      <c r="AD144">
        <f>HYPERLINK("https://klasma.github.io/Logging_0581/tillsynsmail/A 32070-2026 tillsynsbegäran mail.docx", "A 32070-2026")</f>
        <v/>
      </c>
    </row>
    <row r="145" ht="15" customHeight="1">
      <c r="A145" t="inlineStr">
        <is>
          <t>A 32075-2026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46233</v>
      </c>
      <c r="E145" s="1" t="n">
        <v>46320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Grönpyrola</t>
        </is>
      </c>
      <c r="W145">
        <f>HYPERLINK("https://klasma.github.io/Logging_0581/artfynd/A 32075-2026 artfynd.xlsx", "A 32075-2026")</f>
        <v/>
      </c>
      <c r="X145">
        <f>HYPERLINK("https://klasma.github.io/Logging_0581/kartor/A 32075-2026 karta.png", "A 32075-2026")</f>
        <v/>
      </c>
      <c r="Y145">
        <f>HYPERLINK("https://klasma.github.io/Logging_0581/kartor_geotiff/A 32075-2026 georefererad karta.tif", "A 32075-2026")</f>
        <v/>
      </c>
      <c r="AA145">
        <f>HYPERLINK("https://klasma.github.io/Logging_0581/klagomål/A 32075-2026 FSC-klagomål.docx", "A 32075-2026")</f>
        <v/>
      </c>
      <c r="AB145">
        <f>HYPERLINK("https://klasma.github.io/Logging_0581/klagomålsmail/A 32075-2026 FSC-klagomål mail.docx", "A 32075-2026")</f>
        <v/>
      </c>
      <c r="AC145">
        <f>HYPERLINK("https://klasma.github.io/Logging_0581/tillsyn/A 32075-2026 tillsynsbegäran.docx", "A 32075-2026")</f>
        <v/>
      </c>
      <c r="AD145">
        <f>HYPERLINK("https://klasma.github.io/Logging_0581/tillsynsmail/A 32075-2026 tillsynsbegäran mail.docx", "A 32075-2026")</f>
        <v/>
      </c>
    </row>
    <row r="146" ht="15" customHeight="1">
      <c r="A146" t="inlineStr">
        <is>
          <t>A 32815-2026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46320</v>
      </c>
      <c r="F146" t="inlineStr">
        <is>
          <t>ÖSTERGÖTLANDS LÄN</t>
        </is>
      </c>
      <c r="G146" t="inlineStr">
        <is>
          <t>NORRKÖPING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Ärtsångare</t>
        </is>
      </c>
      <c r="W146">
        <f>HYPERLINK("https://klasma.github.io/Logging_0581/artfynd/A 32815-2026 artfynd.xlsx", "A 32815-2026")</f>
        <v/>
      </c>
      <c r="X146">
        <f>HYPERLINK("https://klasma.github.io/Logging_0581/kartor/A 32815-2026 karta.png", "A 32815-2026")</f>
        <v/>
      </c>
      <c r="Y146">
        <f>HYPERLINK("https://klasma.github.io/Logging_0581/kartor_geotiff/A 32815-2026 georefererad karta.tif", "A 32815-2026")</f>
        <v/>
      </c>
      <c r="AA146">
        <f>HYPERLINK("https://klasma.github.io/Logging_0581/klagomål/A 32815-2026 FSC-klagomål.docx", "A 32815-2026")</f>
        <v/>
      </c>
      <c r="AB146">
        <f>HYPERLINK("https://klasma.github.io/Logging_0581/klagomålsmail/A 32815-2026 FSC-klagomål mail.docx", "A 32815-2026")</f>
        <v/>
      </c>
      <c r="AC146">
        <f>HYPERLINK("https://klasma.github.io/Logging_0581/tillsyn/A 32815-2026 tillsynsbegäran.docx", "A 32815-2026")</f>
        <v/>
      </c>
      <c r="AD146">
        <f>HYPERLINK("https://klasma.github.io/Logging_0581/tillsynsmail/A 32815-2026 tillsynsbegäran mail.docx", "A 32815-2026")</f>
        <v/>
      </c>
    </row>
    <row r="147" ht="15" customHeight="1">
      <c r="A147" t="inlineStr">
        <is>
          <t>A 2832-2026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46320</v>
      </c>
      <c r="F147" t="inlineStr">
        <is>
          <t>ÖSTERGÖTLANDS LÄN</t>
        </is>
      </c>
      <c r="G147" t="inlineStr">
        <is>
          <t>NORRKÖPING</t>
        </is>
      </c>
      <c r="I147" t="n">
        <v>5.5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2832-2026 artfynd.xlsx", "A 2832-2026")</f>
        <v/>
      </c>
      <c r="X147">
        <f>HYPERLINK("https://klasma.github.io/Logging_0581/kartor/A 2832-2026 karta.png", "A 2832-2026")</f>
        <v/>
      </c>
      <c r="Y147">
        <f>HYPERLINK("https://klasma.github.io/Logging_0581/kartor_geotiff/A 2832-2026 georefererad karta.tif", "A 2832-2026")</f>
        <v/>
      </c>
      <c r="AA147">
        <f>HYPERLINK("https://klasma.github.io/Logging_0581/klagomål/A 2832-2026 FSC-klagomål.docx", "A 2832-2026")</f>
        <v/>
      </c>
      <c r="AB147">
        <f>HYPERLINK("https://klasma.github.io/Logging_0581/klagomålsmail/A 2832-2026 FSC-klagomål mail.docx", "A 2832-2026")</f>
        <v/>
      </c>
      <c r="AC147">
        <f>HYPERLINK("https://klasma.github.io/Logging_0581/tillsyn/A 2832-2026 tillsynsbegäran.docx", "A 2832-2026")</f>
        <v/>
      </c>
      <c r="AD147">
        <f>HYPERLINK("https://klasma.github.io/Logging_0581/tillsynsmail/A 2832-2026 tillsynsbegäran mail.docx", "A 2832-2026")</f>
        <v/>
      </c>
    </row>
    <row r="148" ht="15" customHeight="1">
      <c r="A148" t="inlineStr">
        <is>
          <t>A 39427-2026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46320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9.800000000000001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Sångsvan</t>
        </is>
      </c>
      <c r="W148">
        <f>HYPERLINK("https://klasma.github.io/Logging_0581/artfynd/A 39427-2026 artfynd.xlsx", "A 39427-2026")</f>
        <v/>
      </c>
      <c r="X148">
        <f>HYPERLINK("https://klasma.github.io/Logging_0581/kartor/A 39427-2026 karta.png", "A 39427-2026")</f>
        <v/>
      </c>
      <c r="Y148">
        <f>HYPERLINK("https://klasma.github.io/Logging_0581/kartor_geotiff/A 39427-2026 georefererad karta.tif", "A 39427-2026")</f>
        <v/>
      </c>
      <c r="AA148">
        <f>HYPERLINK("https://klasma.github.io/Logging_0581/klagomål/A 39427-2026 FSC-klagomål.docx", "A 39427-2026")</f>
        <v/>
      </c>
      <c r="AB148">
        <f>HYPERLINK("https://klasma.github.io/Logging_0581/klagomålsmail/A 39427-2026 FSC-klagomål mail.docx", "A 39427-2026")</f>
        <v/>
      </c>
      <c r="AC148">
        <f>HYPERLINK("https://klasma.github.io/Logging_0581/tillsyn/A 39427-2026 tillsynsbegäran.docx", "A 39427-2026")</f>
        <v/>
      </c>
      <c r="AD148">
        <f>HYPERLINK("https://klasma.github.io/Logging_0581/tillsynsmail/A 39427-2026 tillsynsbegäran mail.docx", "A 39427-2026")</f>
        <v/>
      </c>
      <c r="AE148">
        <f>HYPERLINK("https://klasma.github.io/Logging_0581/fåglar/A 39427-2026 prioriterade fågelarter.docx", "A 39427-2026")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46320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46201-2025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46320</v>
      </c>
      <c r="F150" t="inlineStr">
        <is>
          <t>ÖSTERGÖTLANDS LÄN</t>
        </is>
      </c>
      <c r="G150" t="inlineStr">
        <is>
          <t>NORRKÖPING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Hasselticka</t>
        </is>
      </c>
      <c r="W150">
        <f>HYPERLINK("https://klasma.github.io/Logging_0581/artfynd/A 46201-2025 artfynd.xlsx", "A 46201-2025")</f>
        <v/>
      </c>
      <c r="X150">
        <f>HYPERLINK("https://klasma.github.io/Logging_0581/kartor/A 46201-2025 karta.png", "A 46201-2025")</f>
        <v/>
      </c>
      <c r="Y150">
        <f>HYPERLINK("https://klasma.github.io/Logging_0581/kartor_geotiff/A 46201-2025 georefererad karta.tif", "A 46201-2025")</f>
        <v/>
      </c>
      <c r="AA150">
        <f>HYPERLINK("https://klasma.github.io/Logging_0581/klagomål/A 46201-2025 FSC-klagomål.docx", "A 46201-2025")</f>
        <v/>
      </c>
      <c r="AB150">
        <f>HYPERLINK("https://klasma.github.io/Logging_0581/klagomålsmail/A 46201-2025 FSC-klagomål mail.docx", "A 46201-2025")</f>
        <v/>
      </c>
      <c r="AC150">
        <f>HYPERLINK("https://klasma.github.io/Logging_0581/tillsyn/A 46201-2025 tillsynsbegäran.docx", "A 46201-2025")</f>
        <v/>
      </c>
      <c r="AD150">
        <f>HYPERLINK("https://klasma.github.io/Logging_0581/tillsynsmail/A 46201-2025 tillsynsbegäran mail.docx", "A 46201-2025")</f>
        <v/>
      </c>
    </row>
    <row r="151" ht="15" customHeight="1">
      <c r="A151" t="inlineStr">
        <is>
          <t>A 46671-2024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46320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Kattfotslav</t>
        </is>
      </c>
      <c r="W151">
        <f>HYPERLINK("https://klasma.github.io/Logging_0581/artfynd/A 46671-2024 artfynd.xlsx", "A 46671-2024")</f>
        <v/>
      </c>
      <c r="X151">
        <f>HYPERLINK("https://klasma.github.io/Logging_0581/kartor/A 46671-2024 karta.png", "A 46671-2024")</f>
        <v/>
      </c>
      <c r="Y151">
        <f>HYPERLINK("https://klasma.github.io/Logging_0581/kartor_geotiff/A 46671-2024 georefererad karta.tif", "A 46671-2024")</f>
        <v/>
      </c>
      <c r="AA151">
        <f>HYPERLINK("https://klasma.github.io/Logging_0581/klagomål/A 46671-2024 FSC-klagomål.docx", "A 46671-2024")</f>
        <v/>
      </c>
      <c r="AB151">
        <f>HYPERLINK("https://klasma.github.io/Logging_0581/klagomålsmail/A 46671-2024 FSC-klagomål mail.docx", "A 46671-2024")</f>
        <v/>
      </c>
      <c r="AC151">
        <f>HYPERLINK("https://klasma.github.io/Logging_0581/tillsyn/A 46671-2024 tillsynsbegäran.docx", "A 46671-2024")</f>
        <v/>
      </c>
      <c r="AD151">
        <f>HYPERLINK("https://klasma.github.io/Logging_0581/tillsynsmail/A 46671-2024 tillsynsbegäran mail.docx", "A 46671-2024")</f>
        <v/>
      </c>
    </row>
    <row r="152" ht="15" customHeight="1">
      <c r="A152" t="inlineStr">
        <is>
          <t>A 11126-2026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46079</v>
      </c>
      <c r="E152" s="1" t="n">
        <v>46320</v>
      </c>
      <c r="F152" t="inlineStr">
        <is>
          <t>ÖSTERGÖTLANDS LÄN</t>
        </is>
      </c>
      <c r="G152" t="inlineStr">
        <is>
          <t>NORRKÖPING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Svinrot</t>
        </is>
      </c>
      <c r="W152">
        <f>HYPERLINK("https://klasma.github.io/Logging_0581/artfynd/A 11126-2026 artfynd.xlsx", "A 11126-2026")</f>
        <v/>
      </c>
      <c r="X152">
        <f>HYPERLINK("https://klasma.github.io/Logging_0581/kartor/A 11126-2026 karta.png", "A 11126-2026")</f>
        <v/>
      </c>
      <c r="Y152">
        <f>HYPERLINK("https://klasma.github.io/Logging_0581/kartor_geotiff/A 11126-2026 georefererad karta.tif", "A 11126-2026")</f>
        <v/>
      </c>
      <c r="AA152">
        <f>HYPERLINK("https://klasma.github.io/Logging_0581/klagomål/A 11126-2026 FSC-klagomål.docx", "A 11126-2026")</f>
        <v/>
      </c>
      <c r="AB152">
        <f>HYPERLINK("https://klasma.github.io/Logging_0581/klagomålsmail/A 11126-2026 FSC-klagomål mail.docx", "A 11126-2026")</f>
        <v/>
      </c>
      <c r="AC152">
        <f>HYPERLINK("https://klasma.github.io/Logging_0581/tillsyn/A 11126-2026 tillsynsbegäran.docx", "A 11126-2026")</f>
        <v/>
      </c>
      <c r="AD152">
        <f>HYPERLINK("https://klasma.github.io/Logging_0581/tillsynsmail/A 11126-2026 tillsynsbegäran mail.docx", "A 11126-2026")</f>
        <v/>
      </c>
    </row>
    <row r="153" ht="15" customHeight="1">
      <c r="A153" t="inlineStr">
        <is>
          <t>A 11714-2026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46320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Gulsparv</t>
        </is>
      </c>
      <c r="W153">
        <f>HYPERLINK("https://klasma.github.io/Logging_0581/artfynd/A 11714-2026 artfynd.xlsx", "A 11714-2026")</f>
        <v/>
      </c>
      <c r="X153">
        <f>HYPERLINK("https://klasma.github.io/Logging_0581/kartor/A 11714-2026 karta.png", "A 11714-2026")</f>
        <v/>
      </c>
      <c r="Y153">
        <f>HYPERLINK("https://klasma.github.io/Logging_0581/kartor_geotiff/A 11714-2026 georefererad karta.tif", "A 11714-2026")</f>
        <v/>
      </c>
      <c r="AA153">
        <f>HYPERLINK("https://klasma.github.io/Logging_0581/klagomål/A 11714-2026 FSC-klagomål.docx", "A 11714-2026")</f>
        <v/>
      </c>
      <c r="AB153">
        <f>HYPERLINK("https://klasma.github.io/Logging_0581/klagomålsmail/A 11714-2026 FSC-klagomål mail.docx", "A 11714-2026")</f>
        <v/>
      </c>
      <c r="AC153">
        <f>HYPERLINK("https://klasma.github.io/Logging_0581/tillsyn/A 11714-2026 tillsynsbegäran.docx", "A 11714-2026")</f>
        <v/>
      </c>
      <c r="AD153">
        <f>HYPERLINK("https://klasma.github.io/Logging_0581/tillsynsmail/A 11714-2026 tillsynsbegäran mail.docx", "A 11714-2026")</f>
        <v/>
      </c>
      <c r="AE153">
        <f>HYPERLINK("https://klasma.github.io/Logging_0581/fåglar/A 11714-2026 prioriterade fågelarter.docx", "A 11714-2026")</f>
        <v/>
      </c>
    </row>
    <row r="154" ht="15" customHeight="1">
      <c r="A154" t="inlineStr">
        <is>
          <t>A 31320-2025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46320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Blåmossa</t>
        </is>
      </c>
      <c r="W154">
        <f>HYPERLINK("https://klasma.github.io/Logging_0581/artfynd/A 31320-2025 artfynd.xlsx", "A 31320-2025")</f>
        <v/>
      </c>
      <c r="X154">
        <f>HYPERLINK("https://klasma.github.io/Logging_0581/kartor/A 31320-2025 karta.png", "A 31320-2025")</f>
        <v/>
      </c>
      <c r="Y154">
        <f>HYPERLINK("https://klasma.github.io/Logging_0581/kartor_geotiff/A 31320-2025 georefererad karta.tif", "A 31320-2025")</f>
        <v/>
      </c>
      <c r="AA154">
        <f>HYPERLINK("https://klasma.github.io/Logging_0581/klagomål/A 31320-2025 FSC-klagomål.docx", "A 31320-2025")</f>
        <v/>
      </c>
      <c r="AB154">
        <f>HYPERLINK("https://klasma.github.io/Logging_0581/klagomålsmail/A 31320-2025 FSC-klagomål mail.docx", "A 31320-2025")</f>
        <v/>
      </c>
      <c r="AC154">
        <f>HYPERLINK("https://klasma.github.io/Logging_0581/tillsyn/A 31320-2025 tillsynsbegäran.docx", "A 31320-2025")</f>
        <v/>
      </c>
      <c r="AD154">
        <f>HYPERLINK("https://klasma.github.io/Logging_0581/tillsynsmail/A 31320-2025 tillsynsbegäran mail.docx", "A 31320-2025")</f>
        <v/>
      </c>
    </row>
    <row r="155" ht="15" customHeight="1">
      <c r="A155" t="inlineStr">
        <is>
          <t>A 62973-2021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44504</v>
      </c>
      <c r="E155" s="1" t="n">
        <v>46320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Krusfrö</t>
        </is>
      </c>
      <c r="W155">
        <f>HYPERLINK("https://klasma.github.io/Logging_0581/artfynd/A 62973-2021 artfynd.xlsx", "A 62973-2021")</f>
        <v/>
      </c>
      <c r="X155">
        <f>HYPERLINK("https://klasma.github.io/Logging_0581/kartor/A 62973-2021 karta.png", "A 62973-2021")</f>
        <v/>
      </c>
      <c r="Y155">
        <f>HYPERLINK("https://klasma.github.io/Logging_0581/kartor_geotiff/A 62973-2021 georefererad karta.tif", "A 62973-2021")</f>
        <v/>
      </c>
      <c r="AA155">
        <f>HYPERLINK("https://klasma.github.io/Logging_0581/klagomål/A 62973-2021 FSC-klagomål.docx", "A 62973-2021")</f>
        <v/>
      </c>
      <c r="AB155">
        <f>HYPERLINK("https://klasma.github.io/Logging_0581/klagomålsmail/A 62973-2021 FSC-klagomål mail.docx", "A 62973-2021")</f>
        <v/>
      </c>
      <c r="AC155">
        <f>HYPERLINK("https://klasma.github.io/Logging_0581/tillsyn/A 62973-2021 tillsynsbegäran.docx", "A 62973-2021")</f>
        <v/>
      </c>
      <c r="AD155">
        <f>HYPERLINK("https://klasma.github.io/Logging_0581/tillsynsmail/A 62973-2021 tillsynsbegäran mail.docx", "A 62973-2021")</f>
        <v/>
      </c>
    </row>
    <row r="156" ht="15" customHeight="1">
      <c r="A156" t="inlineStr">
        <is>
          <t>A 34078-2025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46320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HYPERLINK("https://klasma.github.io/Logging_0581/artfynd/A 34078-2025 artfynd.xlsx", "A 34078-2025")</f>
        <v/>
      </c>
      <c r="X156">
        <f>HYPERLINK("https://klasma.github.io/Logging_0581/kartor/A 34078-2025 karta.png", "A 34078-2025")</f>
        <v/>
      </c>
      <c r="Y156">
        <f>HYPERLINK("https://klasma.github.io/Logging_0581/kartor_geotiff/A 34078-2025 georefererad karta.tif", "A 34078-2025")</f>
        <v/>
      </c>
      <c r="AA156">
        <f>HYPERLINK("https://klasma.github.io/Logging_0581/klagomål/A 34078-2025 FSC-klagomål.docx", "A 34078-2025")</f>
        <v/>
      </c>
      <c r="AB156">
        <f>HYPERLINK("https://klasma.github.io/Logging_0581/klagomålsmail/A 34078-2025 FSC-klagomål mail.docx", "A 34078-2025")</f>
        <v/>
      </c>
      <c r="AC156">
        <f>HYPERLINK("https://klasma.github.io/Logging_0581/tillsyn/A 34078-2025 tillsynsbegäran.docx", "A 34078-2025")</f>
        <v/>
      </c>
      <c r="AD156">
        <f>HYPERLINK("https://klasma.github.io/Logging_0581/tillsynsmail/A 34078-2025 tillsynsbegäran mail.docx", "A 34078-2025")</f>
        <v/>
      </c>
      <c r="AE156">
        <f>HYPERLINK("https://klasma.github.io/Logging_0581/fåglar/A 34078-2025 prioriterade fågelarter.docx", "A 34078-2025")</f>
        <v/>
      </c>
    </row>
    <row r="157" ht="15" customHeight="1">
      <c r="A157" t="inlineStr">
        <is>
          <t>A 24629-2025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46320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Kråka</t>
        </is>
      </c>
      <c r="W157">
        <f>HYPERLINK("https://klasma.github.io/Logging_0581/artfynd/A 24629-2025 artfynd.xlsx", "A 24629-2025")</f>
        <v/>
      </c>
      <c r="X157">
        <f>HYPERLINK("https://klasma.github.io/Logging_0581/kartor/A 24629-2025 karta.png", "A 24629-2025")</f>
        <v/>
      </c>
      <c r="Y157">
        <f>HYPERLINK("https://klasma.github.io/Logging_0581/kartor_geotiff/A 24629-2025 georefererad karta.tif", "A 24629-2025")</f>
        <v/>
      </c>
      <c r="AA157">
        <f>HYPERLINK("https://klasma.github.io/Logging_0581/klagomål/A 24629-2025 FSC-klagomål.docx", "A 24629-2025")</f>
        <v/>
      </c>
      <c r="AB157">
        <f>HYPERLINK("https://klasma.github.io/Logging_0581/klagomålsmail/A 24629-2025 FSC-klagomål mail.docx", "A 24629-2025")</f>
        <v/>
      </c>
      <c r="AC157">
        <f>HYPERLINK("https://klasma.github.io/Logging_0581/tillsyn/A 24629-2025 tillsynsbegäran.docx", "A 24629-2025")</f>
        <v/>
      </c>
      <c r="AD157">
        <f>HYPERLINK("https://klasma.github.io/Logging_0581/tillsynsmail/A 24629-2025 tillsynsbegäran mail.docx", "A 24629-2025")</f>
        <v/>
      </c>
    </row>
    <row r="158" ht="15" customHeight="1">
      <c r="A158" t="inlineStr">
        <is>
          <t>A 20170-2026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46320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Igelkott</t>
        </is>
      </c>
      <c r="W158">
        <f>HYPERLINK("https://klasma.github.io/Logging_0581/artfynd/A 20170-2026 artfynd.xlsx", "A 20170-2026")</f>
        <v/>
      </c>
      <c r="X158">
        <f>HYPERLINK("https://klasma.github.io/Logging_0581/kartor/A 20170-2026 karta.png", "A 20170-2026")</f>
        <v/>
      </c>
      <c r="Y158">
        <f>HYPERLINK("https://klasma.github.io/Logging_0581/kartor_geotiff/A 20170-2026 georefererad karta.tif", "A 20170-2026")</f>
        <v/>
      </c>
      <c r="AA158">
        <f>HYPERLINK("https://klasma.github.io/Logging_0581/klagomål/A 20170-2026 FSC-klagomål.docx", "A 20170-2026")</f>
        <v/>
      </c>
      <c r="AB158">
        <f>HYPERLINK("https://klasma.github.io/Logging_0581/klagomålsmail/A 20170-2026 FSC-klagomål mail.docx", "A 20170-2026")</f>
        <v/>
      </c>
      <c r="AC158">
        <f>HYPERLINK("https://klasma.github.io/Logging_0581/tillsyn/A 20170-2026 tillsynsbegäran.docx", "A 20170-2026")</f>
        <v/>
      </c>
      <c r="AD158">
        <f>HYPERLINK("https://klasma.github.io/Logging_0581/tillsynsmail/A 20170-2026 tillsynsbegäran mail.docx", "A 20170-2026")</f>
        <v/>
      </c>
    </row>
    <row r="159" ht="15" customHeight="1">
      <c r="A159" t="inlineStr">
        <is>
          <t>A 2545-2023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46320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Hasselticka</t>
        </is>
      </c>
      <c r="W159">
        <f>HYPERLINK("https://klasma.github.io/Logging_0581/artfynd/A 2545-2023 artfynd.xlsx", "A 2545-2023")</f>
        <v/>
      </c>
      <c r="X159">
        <f>HYPERLINK("https://klasma.github.io/Logging_0581/kartor/A 2545-2023 karta.png", "A 2545-2023")</f>
        <v/>
      </c>
      <c r="Y159">
        <f>HYPERLINK("https://klasma.github.io/Logging_0581/kartor_geotiff/A 2545-2023 georefererad karta.tif", "A 2545-2023")</f>
        <v/>
      </c>
      <c r="AA159">
        <f>HYPERLINK("https://klasma.github.io/Logging_0581/klagomål/A 2545-2023 FSC-klagomål.docx", "A 2545-2023")</f>
        <v/>
      </c>
      <c r="AB159">
        <f>HYPERLINK("https://klasma.github.io/Logging_0581/klagomålsmail/A 2545-2023 FSC-klagomål mail.docx", "A 2545-2023")</f>
        <v/>
      </c>
      <c r="AC159">
        <f>HYPERLINK("https://klasma.github.io/Logging_0581/tillsyn/A 2545-2023 tillsynsbegäran.docx", "A 2545-2023")</f>
        <v/>
      </c>
      <c r="AD159">
        <f>HYPERLINK("https://klasma.github.io/Logging_0581/tillsynsmail/A 2545-2023 tillsynsbegäran mail.docx", "A 2545-2023")</f>
        <v/>
      </c>
    </row>
    <row r="160" ht="15" customHeight="1">
      <c r="A160" t="inlineStr">
        <is>
          <t>A 58711-2023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46320</v>
      </c>
      <c r="F160" t="inlineStr">
        <is>
          <t>ÖSTERGÖTLANDS LÄN</t>
        </is>
      </c>
      <c r="G160" t="inlineStr">
        <is>
          <t>NORRKÖPING</t>
        </is>
      </c>
      <c r="I160" t="n">
        <v>4.3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58711-2023 artfynd.xlsx", "A 58711-2023")</f>
        <v/>
      </c>
      <c r="X160">
        <f>HYPERLINK("https://klasma.github.io/Logging_0581/kartor/A 58711-2023 karta.png", "A 58711-2023")</f>
        <v/>
      </c>
      <c r="Y160">
        <f>HYPERLINK("https://klasma.github.io/Logging_0581/kartor_geotiff/A 58711-2023 georefererad karta.tif", "A 58711-2023")</f>
        <v/>
      </c>
      <c r="AA160">
        <f>HYPERLINK("https://klasma.github.io/Logging_0581/klagomål/A 58711-2023 FSC-klagomål.docx", "A 58711-2023")</f>
        <v/>
      </c>
      <c r="AB160">
        <f>HYPERLINK("https://klasma.github.io/Logging_0581/klagomålsmail/A 58711-2023 FSC-klagomål mail.docx", "A 58711-2023")</f>
        <v/>
      </c>
      <c r="AC160">
        <f>HYPERLINK("https://klasma.github.io/Logging_0581/tillsyn/A 58711-2023 tillsynsbegäran.docx", "A 58711-2023")</f>
        <v/>
      </c>
      <c r="AD160">
        <f>HYPERLINK("https://klasma.github.io/Logging_0581/tillsynsmail/A 58711-2023 tillsynsbegäran mail.docx", "A 58711-2023")</f>
        <v/>
      </c>
    </row>
    <row r="161" ht="15" customHeight="1">
      <c r="A161" t="inlineStr">
        <is>
          <t>A 3247-2024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46320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HYPERLINK("https://klasma.github.io/Logging_0581/artfynd/A 3247-2024 artfynd.xlsx", "A 3247-2024")</f>
        <v/>
      </c>
      <c r="X161">
        <f>HYPERLINK("https://klasma.github.io/Logging_0581/kartor/A 3247-2024 karta.png", "A 3247-2024")</f>
        <v/>
      </c>
      <c r="Y161">
        <f>HYPERLINK("https://klasma.github.io/Logging_0581/kartor_geotiff/A 3247-2024 georefererad karta.tif", "A 3247-2024")</f>
        <v/>
      </c>
      <c r="AA161">
        <f>HYPERLINK("https://klasma.github.io/Logging_0581/klagomål/A 3247-2024 FSC-klagomål.docx", "A 3247-2024")</f>
        <v/>
      </c>
      <c r="AB161">
        <f>HYPERLINK("https://klasma.github.io/Logging_0581/klagomålsmail/A 3247-2024 FSC-klagomål mail.docx", "A 3247-2024")</f>
        <v/>
      </c>
      <c r="AC161">
        <f>HYPERLINK("https://klasma.github.io/Logging_0581/tillsyn/A 3247-2024 tillsynsbegäran.docx", "A 3247-2024")</f>
        <v/>
      </c>
      <c r="AD161">
        <f>HYPERLINK("https://klasma.github.io/Logging_0581/tillsynsmail/A 3247-2024 tillsynsbegäran mail.docx", "A 3247-2024")</f>
        <v/>
      </c>
      <c r="AE161">
        <f>HYPERLINK("https://klasma.github.io/Logging_0581/fåglar/A 3247-2024 prioriterade fågelarter.docx", "A 3247-2024")</f>
        <v/>
      </c>
    </row>
    <row r="162" ht="15" customHeight="1">
      <c r="A162" t="inlineStr">
        <is>
          <t>A 14044-2023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46320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14044-2023 artfynd.xlsx", "A 14044-2023")</f>
        <v/>
      </c>
      <c r="X162">
        <f>HYPERLINK("https://klasma.github.io/Logging_0581/kartor/A 14044-2023 karta.png", "A 14044-2023")</f>
        <v/>
      </c>
      <c r="Y162">
        <f>HYPERLINK("https://klasma.github.io/Logging_0581/kartor_geotiff/A 14044-2023 georefererad karta.tif", "A 14044-2023")</f>
        <v/>
      </c>
      <c r="AA162">
        <f>HYPERLINK("https://klasma.github.io/Logging_0581/klagomål/A 14044-2023 FSC-klagomål.docx", "A 14044-2023")</f>
        <v/>
      </c>
      <c r="AB162">
        <f>HYPERLINK("https://klasma.github.io/Logging_0581/klagomålsmail/A 14044-2023 FSC-klagomål mail.docx", "A 14044-2023")</f>
        <v/>
      </c>
      <c r="AC162">
        <f>HYPERLINK("https://klasma.github.io/Logging_0581/tillsyn/A 14044-2023 tillsynsbegäran.docx", "A 14044-2023")</f>
        <v/>
      </c>
      <c r="AD162">
        <f>HYPERLINK("https://klasma.github.io/Logging_0581/tillsynsmail/A 14044-2023 tillsynsbegäran mail.docx", "A 14044-2023")</f>
        <v/>
      </c>
      <c r="AE162">
        <f>HYPERLINK("https://klasma.github.io/Logging_0581/fåglar/A 14044-2023 prioriterade fågelarter.docx", "A 14044-2023")</f>
        <v/>
      </c>
    </row>
    <row r="163" ht="15" customHeight="1">
      <c r="A163" t="inlineStr">
        <is>
          <t>A 46806-2024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45583</v>
      </c>
      <c r="E163" s="1" t="n">
        <v>46320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Vedskivlav</t>
        </is>
      </c>
      <c r="W163">
        <f>HYPERLINK("https://klasma.github.io/Logging_0581/artfynd/A 46806-2024 artfynd.xlsx", "A 46806-2024")</f>
        <v/>
      </c>
      <c r="X163">
        <f>HYPERLINK("https://klasma.github.io/Logging_0581/kartor/A 46806-2024 karta.png", "A 46806-2024")</f>
        <v/>
      </c>
      <c r="Y163">
        <f>HYPERLINK("https://klasma.github.io/Logging_0581/kartor_geotiff/A 46806-2024 georefererad karta.tif", "A 46806-2024")</f>
        <v/>
      </c>
      <c r="AA163">
        <f>HYPERLINK("https://klasma.github.io/Logging_0581/klagomål/A 46806-2024 FSC-klagomål.docx", "A 46806-2024")</f>
        <v/>
      </c>
      <c r="AB163">
        <f>HYPERLINK("https://klasma.github.io/Logging_0581/klagomålsmail/A 46806-2024 FSC-klagomål mail.docx", "A 46806-2024")</f>
        <v/>
      </c>
      <c r="AC163">
        <f>HYPERLINK("https://klasma.github.io/Logging_0581/tillsyn/A 46806-2024 tillsynsbegäran.docx", "A 46806-2024")</f>
        <v/>
      </c>
      <c r="AD163">
        <f>HYPERLINK("https://klasma.github.io/Logging_0581/tillsynsmail/A 46806-2024 tillsynsbegäran mail.docx", "A 46806-2024")</f>
        <v/>
      </c>
    </row>
    <row r="164" ht="15" customHeight="1">
      <c r="A164" t="inlineStr">
        <is>
          <t>A 45953-2024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45580</v>
      </c>
      <c r="E164" s="1" t="n">
        <v>46320</v>
      </c>
      <c r="F164" t="inlineStr">
        <is>
          <t>ÖSTERGÖTLANDS LÄN</t>
        </is>
      </c>
      <c r="G164" t="inlineStr">
        <is>
          <t>NORRKÖPING</t>
        </is>
      </c>
      <c r="I164" t="n">
        <v>1.9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Ekoxe</t>
        </is>
      </c>
      <c r="W164">
        <f>HYPERLINK("https://klasma.github.io/Logging_0581/artfynd/A 45953-2024 artfynd.xlsx", "A 45953-2024")</f>
        <v/>
      </c>
      <c r="X164">
        <f>HYPERLINK("https://klasma.github.io/Logging_0581/kartor/A 45953-2024 karta.png", "A 45953-2024")</f>
        <v/>
      </c>
      <c r="Y164">
        <f>HYPERLINK("https://klasma.github.io/Logging_0581/kartor_geotiff/A 45953-2024 georefererad karta.tif", "A 45953-2024")</f>
        <v/>
      </c>
      <c r="AA164">
        <f>HYPERLINK("https://klasma.github.io/Logging_0581/klagomål/A 45953-2024 FSC-klagomål.docx", "A 45953-2024")</f>
        <v/>
      </c>
      <c r="AB164">
        <f>HYPERLINK("https://klasma.github.io/Logging_0581/klagomålsmail/A 45953-2024 FSC-klagomål mail.docx", "A 45953-2024")</f>
        <v/>
      </c>
      <c r="AC164">
        <f>HYPERLINK("https://klasma.github.io/Logging_0581/tillsyn/A 45953-2024 tillsynsbegäran.docx", "A 45953-2024")</f>
        <v/>
      </c>
      <c r="AD164">
        <f>HYPERLINK("https://klasma.github.io/Logging_0581/tillsynsmail/A 45953-2024 tillsynsbegäran mail.docx", "A 45953-2024")</f>
        <v/>
      </c>
    </row>
    <row r="165" ht="15" customHeight="1">
      <c r="A165" t="inlineStr">
        <is>
          <t>A 60899-2024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46320</v>
      </c>
      <c r="F165" t="inlineStr">
        <is>
          <t>ÖSTERGÖTLANDS LÄN</t>
        </is>
      </c>
      <c r="G165" t="inlineStr">
        <is>
          <t>NORRKÖPING</t>
        </is>
      </c>
      <c r="I165" t="n">
        <v>2.4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Grönpyrola</t>
        </is>
      </c>
      <c r="W165">
        <f>HYPERLINK("https://klasma.github.io/Logging_0581/artfynd/A 60899-2024 artfynd.xlsx", "A 60899-2024")</f>
        <v/>
      </c>
      <c r="X165">
        <f>HYPERLINK("https://klasma.github.io/Logging_0581/kartor/A 60899-2024 karta.png", "A 60899-2024")</f>
        <v/>
      </c>
      <c r="Y165">
        <f>HYPERLINK("https://klasma.github.io/Logging_0581/kartor_geotiff/A 60899-2024 georefererad karta.tif", "A 60899-2024")</f>
        <v/>
      </c>
      <c r="AA165">
        <f>HYPERLINK("https://klasma.github.io/Logging_0581/klagomål/A 60899-2024 FSC-klagomål.docx", "A 60899-2024")</f>
        <v/>
      </c>
      <c r="AB165">
        <f>HYPERLINK("https://klasma.github.io/Logging_0581/klagomålsmail/A 60899-2024 FSC-klagomål mail.docx", "A 60899-2024")</f>
        <v/>
      </c>
      <c r="AC165">
        <f>HYPERLINK("https://klasma.github.io/Logging_0581/tillsyn/A 60899-2024 tillsynsbegäran.docx", "A 60899-2024")</f>
        <v/>
      </c>
      <c r="AD165">
        <f>HYPERLINK("https://klasma.github.io/Logging_0581/tillsynsmail/A 60899-2024 tillsynsbegäran mail.docx", "A 60899-2024")</f>
        <v/>
      </c>
    </row>
    <row r="166" ht="15" customHeight="1">
      <c r="A166" t="inlineStr">
        <is>
          <t>A 27236-2023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46320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Motaggsvamp</t>
        </is>
      </c>
      <c r="W166">
        <f>HYPERLINK("https://klasma.github.io/Logging_0581/artfynd/A 27236-2023 artfynd.xlsx", "A 27236-2023")</f>
        <v/>
      </c>
      <c r="X166">
        <f>HYPERLINK("https://klasma.github.io/Logging_0581/kartor/A 27236-2023 karta.png", "A 27236-2023")</f>
        <v/>
      </c>
      <c r="Y166">
        <f>HYPERLINK("https://klasma.github.io/Logging_0581/kartor_geotiff/A 27236-2023 georefererad karta.tif", "A 27236-2023")</f>
        <v/>
      </c>
      <c r="AA166">
        <f>HYPERLINK("https://klasma.github.io/Logging_0581/klagomål/A 27236-2023 FSC-klagomål.docx", "A 27236-2023")</f>
        <v/>
      </c>
      <c r="AB166">
        <f>HYPERLINK("https://klasma.github.io/Logging_0581/klagomålsmail/A 27236-2023 FSC-klagomål mail.docx", "A 27236-2023")</f>
        <v/>
      </c>
      <c r="AC166">
        <f>HYPERLINK("https://klasma.github.io/Logging_0581/tillsyn/A 27236-2023 tillsynsbegäran.docx", "A 27236-2023")</f>
        <v/>
      </c>
      <c r="AD166">
        <f>HYPERLINK("https://klasma.github.io/Logging_0581/tillsynsmail/A 27236-2023 tillsynsbegäran mail.docx", "A 27236-2023")</f>
        <v/>
      </c>
    </row>
    <row r="167" ht="15" customHeight="1">
      <c r="A167" t="inlineStr">
        <is>
          <t>A 31659-2023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46320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Tjäder</t>
        </is>
      </c>
      <c r="W167">
        <f>HYPERLINK("https://klasma.github.io/Logging_0581/artfynd/A 31659-2023 artfynd.xlsx", "A 31659-2023")</f>
        <v/>
      </c>
      <c r="X167">
        <f>HYPERLINK("https://klasma.github.io/Logging_0581/kartor/A 31659-2023 karta.png", "A 31659-2023")</f>
        <v/>
      </c>
      <c r="Y167">
        <f>HYPERLINK("https://klasma.github.io/Logging_0581/kartor_geotiff/A 31659-2023 georefererad karta.tif", "A 31659-2023")</f>
        <v/>
      </c>
      <c r="AA167">
        <f>HYPERLINK("https://klasma.github.io/Logging_0581/klagomål/A 31659-2023 FSC-klagomål.docx", "A 31659-2023")</f>
        <v/>
      </c>
      <c r="AB167">
        <f>HYPERLINK("https://klasma.github.io/Logging_0581/klagomålsmail/A 31659-2023 FSC-klagomål mail.docx", "A 31659-2023")</f>
        <v/>
      </c>
      <c r="AC167">
        <f>HYPERLINK("https://klasma.github.io/Logging_0581/tillsyn/A 31659-2023 tillsynsbegäran.docx", "A 31659-2023")</f>
        <v/>
      </c>
      <c r="AD167">
        <f>HYPERLINK("https://klasma.github.io/Logging_0581/tillsynsmail/A 31659-2023 tillsynsbegäran mail.docx", "A 31659-2023")</f>
        <v/>
      </c>
      <c r="AE167">
        <f>HYPERLINK("https://klasma.github.io/Logging_0581/fåglar/A 31659-2023 prioriterade fågelarter.docx", "A 31659-2023")</f>
        <v/>
      </c>
    </row>
    <row r="168" ht="15" customHeight="1">
      <c r="A168" t="inlineStr">
        <is>
          <t>A 7317-2025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46320</v>
      </c>
      <c r="F168" t="inlineStr">
        <is>
          <t>ÖSTERGÖTLANDS LÄN</t>
        </is>
      </c>
      <c r="G168" t="inlineStr">
        <is>
          <t>NORRKÖPING</t>
        </is>
      </c>
      <c r="I168" t="n">
        <v>1.4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Backklöver</t>
        </is>
      </c>
      <c r="W168">
        <f>HYPERLINK("https://klasma.github.io/Logging_0581/artfynd/A 7317-2025 artfynd.xlsx", "A 7317-2025")</f>
        <v/>
      </c>
      <c r="X168">
        <f>HYPERLINK("https://klasma.github.io/Logging_0581/kartor/A 7317-2025 karta.png", "A 7317-2025")</f>
        <v/>
      </c>
      <c r="Y168">
        <f>HYPERLINK("https://klasma.github.io/Logging_0581/kartor_geotiff/A 7317-2025 georefererad karta.tif", "A 7317-2025")</f>
        <v/>
      </c>
      <c r="AA168">
        <f>HYPERLINK("https://klasma.github.io/Logging_0581/klagomål/A 7317-2025 FSC-klagomål.docx", "A 7317-2025")</f>
        <v/>
      </c>
      <c r="AB168">
        <f>HYPERLINK("https://klasma.github.io/Logging_0581/klagomålsmail/A 7317-2025 FSC-klagomål mail.docx", "A 7317-2025")</f>
        <v/>
      </c>
      <c r="AC168">
        <f>HYPERLINK("https://klasma.github.io/Logging_0581/tillsyn/A 7317-2025 tillsynsbegäran.docx", "A 7317-2025")</f>
        <v/>
      </c>
      <c r="AD168">
        <f>HYPERLINK("https://klasma.github.io/Logging_0581/tillsynsmail/A 7317-2025 tillsynsbegäran mail.docx", "A 7317-2025")</f>
        <v/>
      </c>
    </row>
    <row r="169" ht="15" customHeight="1">
      <c r="A169" t="inlineStr">
        <is>
          <t>A 25982-2023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46320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Linmåra/småsnärjmåra</t>
        </is>
      </c>
      <c r="W169">
        <f>HYPERLINK("https://klasma.github.io/Logging_0581/artfynd/A 25982-2023 artfynd.xlsx", "A 25982-2023")</f>
        <v/>
      </c>
      <c r="X169">
        <f>HYPERLINK("https://klasma.github.io/Logging_0581/kartor/A 25982-2023 karta.png", "A 25982-2023")</f>
        <v/>
      </c>
      <c r="Y169">
        <f>HYPERLINK("https://klasma.github.io/Logging_0581/kartor_geotiff/A 25982-2023 georefererad karta.tif", "A 25982-2023")</f>
        <v/>
      </c>
      <c r="AA169">
        <f>HYPERLINK("https://klasma.github.io/Logging_0581/klagomål/A 25982-2023 FSC-klagomål.docx", "A 25982-2023")</f>
        <v/>
      </c>
      <c r="AB169">
        <f>HYPERLINK("https://klasma.github.io/Logging_0581/klagomålsmail/A 25982-2023 FSC-klagomål mail.docx", "A 25982-2023")</f>
        <v/>
      </c>
      <c r="AC169">
        <f>HYPERLINK("https://klasma.github.io/Logging_0581/tillsyn/A 25982-2023 tillsynsbegäran.docx", "A 25982-2023")</f>
        <v/>
      </c>
      <c r="AD169">
        <f>HYPERLINK("https://klasma.github.io/Logging_0581/tillsynsmail/A 25982-2023 tillsynsbegäran mail.docx", "A 25982-2023")</f>
        <v/>
      </c>
    </row>
    <row r="170" ht="15" customHeight="1">
      <c r="A170" t="inlineStr">
        <is>
          <t>A 16610-2024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46320</v>
      </c>
      <c r="F170" t="inlineStr">
        <is>
          <t>ÖSTERGÖTLANDS LÄN</t>
        </is>
      </c>
      <c r="G170" t="inlineStr">
        <is>
          <t>NORRKÖPING</t>
        </is>
      </c>
      <c r="I170" t="n">
        <v>5.8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3</v>
      </c>
      <c r="U170" t="n">
        <v>3</v>
      </c>
      <c r="V170" s="2" t="inlineStr">
        <is>
          <t>Knärot</t>
        </is>
      </c>
      <c r="W170">
        <f>HYPERLINK("https://klasma.github.io/Logging_0581/artfynd/A 16610-2024 artfynd.xlsx", "A 16610-2024")</f>
        <v/>
      </c>
      <c r="X170">
        <f>HYPERLINK("https://klasma.github.io/Logging_0581/kartor/A 16610-2024 karta.png", "A 16610-2024")</f>
        <v/>
      </c>
      <c r="Y170">
        <f>HYPERLINK("https://klasma.github.io/Logging_0581/kartor_geotiff/A 16610-2024 georefererad karta.tif", "A 16610-2024")</f>
        <v/>
      </c>
      <c r="Z170">
        <f>HYPERLINK("https://klasma.github.io/Logging_0581/knärot/A 16610-2024 karta knärot.png", "A 16610-2024")</f>
        <v/>
      </c>
      <c r="AA170">
        <f>HYPERLINK("https://klasma.github.io/Logging_0581/klagomål/A 16610-2024 FSC-klagomål.docx", "A 16610-2024")</f>
        <v/>
      </c>
      <c r="AB170">
        <f>HYPERLINK("https://klasma.github.io/Logging_0581/klagomålsmail/A 16610-2024 FSC-klagomål mail.docx", "A 16610-2024")</f>
        <v/>
      </c>
      <c r="AC170">
        <f>HYPERLINK("https://klasma.github.io/Logging_0581/tillsyn/A 16610-2024 tillsynsbegäran.docx", "A 16610-2024")</f>
        <v/>
      </c>
      <c r="AD170">
        <f>HYPERLINK("https://klasma.github.io/Logging_0581/tillsynsmail/A 16610-2024 tillsynsbegäran mail.docx", "A 16610-2024")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46320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9790-2024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46320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5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HYPERLINK("https://klasma.github.io/Logging_0581/artfynd/A 9790-2024 artfynd.xlsx", "A 9790-2024")</f>
        <v/>
      </c>
      <c r="X172">
        <f>HYPERLINK("https://klasma.github.io/Logging_0581/kartor/A 9790-2024 karta.png", "A 9790-2024")</f>
        <v/>
      </c>
      <c r="Y172">
        <f>HYPERLINK("https://klasma.github.io/Logging_0581/kartor_geotiff/A 9790-2024 georefererad karta.tif", "A 9790-2024")</f>
        <v/>
      </c>
      <c r="AA172">
        <f>HYPERLINK("https://klasma.github.io/Logging_0581/klagomål/A 9790-2024 FSC-klagomål.docx", "A 9790-2024")</f>
        <v/>
      </c>
      <c r="AB172">
        <f>HYPERLINK("https://klasma.github.io/Logging_0581/klagomålsmail/A 9790-2024 FSC-klagomål mail.docx", "A 9790-2024")</f>
        <v/>
      </c>
      <c r="AC172">
        <f>HYPERLINK("https://klasma.github.io/Logging_0581/tillsyn/A 9790-2024 tillsynsbegäran.docx", "A 9790-2024")</f>
        <v/>
      </c>
      <c r="AD172">
        <f>HYPERLINK("https://klasma.github.io/Logging_0581/tillsynsmail/A 9790-2024 tillsynsbegäran mail.docx", "A 9790-2024")</f>
        <v/>
      </c>
    </row>
    <row r="173" ht="15" customHeight="1">
      <c r="A173" t="inlineStr">
        <is>
          <t>A 46957-2023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46320</v>
      </c>
      <c r="F173" t="inlineStr">
        <is>
          <t>ÖSTERGÖTLANDS LÄN</t>
        </is>
      </c>
      <c r="G173" t="inlineStr">
        <is>
          <t>NORRKÖPING</t>
        </is>
      </c>
      <c r="I173" t="n">
        <v>1.8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Vedskivlav</t>
        </is>
      </c>
      <c r="W173">
        <f>HYPERLINK("https://klasma.github.io/Logging_0581/artfynd/A 46957-2023 artfynd.xlsx", "A 46957-2023")</f>
        <v/>
      </c>
      <c r="X173">
        <f>HYPERLINK("https://klasma.github.io/Logging_0581/kartor/A 46957-2023 karta.png", "A 46957-2023")</f>
        <v/>
      </c>
      <c r="Y173">
        <f>HYPERLINK("https://klasma.github.io/Logging_0581/kartor_geotiff/A 46957-2023 georefererad karta.tif", "A 46957-2023")</f>
        <v/>
      </c>
      <c r="AA173">
        <f>HYPERLINK("https://klasma.github.io/Logging_0581/klagomål/A 46957-2023 FSC-klagomål.docx", "A 46957-2023")</f>
        <v/>
      </c>
      <c r="AB173">
        <f>HYPERLINK("https://klasma.github.io/Logging_0581/klagomålsmail/A 46957-2023 FSC-klagomål mail.docx", "A 46957-2023")</f>
        <v/>
      </c>
      <c r="AC173">
        <f>HYPERLINK("https://klasma.github.io/Logging_0581/tillsyn/A 46957-2023 tillsynsbegäran.docx", "A 46957-2023")</f>
        <v/>
      </c>
      <c r="AD173">
        <f>HYPERLINK("https://klasma.github.io/Logging_0581/tillsynsmail/A 46957-2023 tillsynsbegäran mail.docx", "A 46957-2023")</f>
        <v/>
      </c>
    </row>
    <row r="174" ht="15" customHeight="1">
      <c r="A174" t="inlineStr">
        <is>
          <t>A 27107-2023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46320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0.5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Svartvit flugsnappare</t>
        </is>
      </c>
      <c r="W174">
        <f>HYPERLINK("https://klasma.github.io/Logging_0581/artfynd/A 27107-2023 artfynd.xlsx", "A 27107-2023")</f>
        <v/>
      </c>
      <c r="X174">
        <f>HYPERLINK("https://klasma.github.io/Logging_0581/kartor/A 27107-2023 karta.png", "A 27107-2023")</f>
        <v/>
      </c>
      <c r="Y174">
        <f>HYPERLINK("https://klasma.github.io/Logging_0581/kartor_geotiff/A 27107-2023 georefererad karta.tif", "A 27107-2023")</f>
        <v/>
      </c>
      <c r="AA174">
        <f>HYPERLINK("https://klasma.github.io/Logging_0581/klagomål/A 27107-2023 FSC-klagomål.docx", "A 27107-2023")</f>
        <v/>
      </c>
      <c r="AB174">
        <f>HYPERLINK("https://klasma.github.io/Logging_0581/klagomålsmail/A 27107-2023 FSC-klagomål mail.docx", "A 27107-2023")</f>
        <v/>
      </c>
      <c r="AC174">
        <f>HYPERLINK("https://klasma.github.io/Logging_0581/tillsyn/A 27107-2023 tillsynsbegäran.docx", "A 27107-2023")</f>
        <v/>
      </c>
      <c r="AD174">
        <f>HYPERLINK("https://klasma.github.io/Logging_0581/tillsynsmail/A 27107-2023 tillsynsbegäran mail.docx", "A 27107-2023")</f>
        <v/>
      </c>
    </row>
    <row r="175" ht="15" customHeight="1">
      <c r="A175" t="inlineStr">
        <is>
          <t>A 8245-2023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46320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Svedjenäva</t>
        </is>
      </c>
      <c r="W175">
        <f>HYPERLINK("https://klasma.github.io/Logging_0581/artfynd/A 8245-2023 artfynd.xlsx", "A 8245-2023")</f>
        <v/>
      </c>
      <c r="X175">
        <f>HYPERLINK("https://klasma.github.io/Logging_0581/kartor/A 8245-2023 karta.png", "A 8245-2023")</f>
        <v/>
      </c>
      <c r="Y175">
        <f>HYPERLINK("https://klasma.github.io/Logging_0581/kartor_geotiff/A 8245-2023 georefererad karta.tif", "A 8245-2023")</f>
        <v/>
      </c>
      <c r="AA175">
        <f>HYPERLINK("https://klasma.github.io/Logging_0581/klagomål/A 8245-2023 FSC-klagomål.docx", "A 8245-2023")</f>
        <v/>
      </c>
      <c r="AB175">
        <f>HYPERLINK("https://klasma.github.io/Logging_0581/klagomålsmail/A 8245-2023 FSC-klagomål mail.docx", "A 8245-2023")</f>
        <v/>
      </c>
      <c r="AC175">
        <f>HYPERLINK("https://klasma.github.io/Logging_0581/tillsyn/A 8245-2023 tillsynsbegäran.docx", "A 8245-2023")</f>
        <v/>
      </c>
      <c r="AD175">
        <f>HYPERLINK("https://klasma.github.io/Logging_0581/tillsynsmail/A 8245-2023 tillsynsbegäran mail.docx", "A 8245-2023")</f>
        <v/>
      </c>
    </row>
    <row r="176" ht="15" customHeight="1">
      <c r="A176" t="inlineStr">
        <is>
          <t>A 31897-2022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46320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Kommuner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Grönpyrola</t>
        </is>
      </c>
      <c r="W176">
        <f>HYPERLINK("https://klasma.github.io/Logging_0581/artfynd/A 31897-2022 artfynd.xlsx", "A 31897-2022")</f>
        <v/>
      </c>
      <c r="X176">
        <f>HYPERLINK("https://klasma.github.io/Logging_0581/kartor/A 31897-2022 karta.png", "A 31897-2022")</f>
        <v/>
      </c>
      <c r="Y176">
        <f>HYPERLINK("https://klasma.github.io/Logging_0581/kartor_geotiff/A 31897-2022 georefererad karta.tif", "A 31897-2022")</f>
        <v/>
      </c>
      <c r="AA176">
        <f>HYPERLINK("https://klasma.github.io/Logging_0581/klagomål/A 31897-2022 FSC-klagomål.docx", "A 31897-2022")</f>
        <v/>
      </c>
      <c r="AB176">
        <f>HYPERLINK("https://klasma.github.io/Logging_0581/klagomålsmail/A 31897-2022 FSC-klagomål mail.docx", "A 31897-2022")</f>
        <v/>
      </c>
      <c r="AC176">
        <f>HYPERLINK("https://klasma.github.io/Logging_0581/tillsyn/A 31897-2022 tillsynsbegäran.docx", "A 31897-2022")</f>
        <v/>
      </c>
      <c r="AD176">
        <f>HYPERLINK("https://klasma.github.io/Logging_0581/tillsynsmail/A 31897-2022 tillsynsbegäran mail.docx", "A 31897-2022")</f>
        <v/>
      </c>
    </row>
    <row r="177" ht="15" customHeight="1">
      <c r="A177" t="inlineStr">
        <is>
          <t>A 18636-2023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46320</v>
      </c>
      <c r="F177" t="inlineStr">
        <is>
          <t>ÖSTERGÖTLANDS LÄN</t>
        </is>
      </c>
      <c r="G177" t="inlineStr">
        <is>
          <t>NORRKÖPING</t>
        </is>
      </c>
      <c r="I177" t="n">
        <v>5.7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Spillkråka</t>
        </is>
      </c>
      <c r="W177">
        <f>HYPERLINK("https://klasma.github.io/Logging_0581/artfynd/A 18636-2023 artfynd.xlsx", "A 18636-2023")</f>
        <v/>
      </c>
      <c r="X177">
        <f>HYPERLINK("https://klasma.github.io/Logging_0581/kartor/A 18636-2023 karta.png", "A 18636-2023")</f>
        <v/>
      </c>
      <c r="Y177">
        <f>HYPERLINK("https://klasma.github.io/Logging_0581/kartor_geotiff/A 18636-2023 georefererad karta.tif", "A 18636-2023")</f>
        <v/>
      </c>
      <c r="AA177">
        <f>HYPERLINK("https://klasma.github.io/Logging_0581/klagomål/A 18636-2023 FSC-klagomål.docx", "A 18636-2023")</f>
        <v/>
      </c>
      <c r="AB177">
        <f>HYPERLINK("https://klasma.github.io/Logging_0581/klagomålsmail/A 18636-2023 FSC-klagomål mail.docx", "A 18636-2023")</f>
        <v/>
      </c>
      <c r="AC177">
        <f>HYPERLINK("https://klasma.github.io/Logging_0581/tillsyn/A 18636-2023 tillsynsbegäran.docx", "A 18636-2023")</f>
        <v/>
      </c>
      <c r="AD177">
        <f>HYPERLINK("https://klasma.github.io/Logging_0581/tillsynsmail/A 18636-2023 tillsynsbegäran mail.docx", "A 18636-2023")</f>
        <v/>
      </c>
      <c r="AE177">
        <f>HYPERLINK("https://klasma.github.io/Logging_0581/fåglar/A 18636-2023 prioriterade fågelarter.docx", "A 18636-2023")</f>
        <v/>
      </c>
    </row>
    <row r="178" ht="15" customHeight="1">
      <c r="A178" t="inlineStr">
        <is>
          <t>A 57772-2022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46320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HYPERLINK("https://klasma.github.io/Logging_0581/artfynd/A 57772-2022 artfynd.xlsx", "A 57772-2022")</f>
        <v/>
      </c>
      <c r="X178">
        <f>HYPERLINK("https://klasma.github.io/Logging_0581/kartor/A 57772-2022 karta.png", "A 57772-2022")</f>
        <v/>
      </c>
      <c r="Y178">
        <f>HYPERLINK("https://klasma.github.io/Logging_0581/kartor_geotiff/A 57772-2022 georefererad karta.tif", "A 57772-2022")</f>
        <v/>
      </c>
      <c r="AA178">
        <f>HYPERLINK("https://klasma.github.io/Logging_0581/klagomål/A 57772-2022 FSC-klagomål.docx", "A 57772-2022")</f>
        <v/>
      </c>
      <c r="AB178">
        <f>HYPERLINK("https://klasma.github.io/Logging_0581/klagomålsmail/A 57772-2022 FSC-klagomål mail.docx", "A 57772-2022")</f>
        <v/>
      </c>
      <c r="AC178">
        <f>HYPERLINK("https://klasma.github.io/Logging_0581/tillsyn/A 57772-2022 tillsynsbegäran.docx", "A 57772-2022")</f>
        <v/>
      </c>
      <c r="AD178">
        <f>HYPERLINK("https://klasma.github.io/Logging_0581/tillsynsmail/A 57772-2022 tillsynsbegäran mail.docx", "A 57772-2022")</f>
        <v/>
      </c>
    </row>
    <row r="179" ht="15" customHeight="1">
      <c r="A179" t="inlineStr">
        <is>
          <t>A 41369-2023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46320</v>
      </c>
      <c r="F179" t="inlineStr">
        <is>
          <t>ÖSTERGÖTLANDS LÄN</t>
        </is>
      </c>
      <c r="G179" t="inlineStr">
        <is>
          <t>NORRKÖPING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HYPERLINK("https://klasma.github.io/Logging_0581/artfynd/A 41369-2023 artfynd.xlsx", "A 41369-2023")</f>
        <v/>
      </c>
      <c r="X179">
        <f>HYPERLINK("https://klasma.github.io/Logging_0581/kartor/A 41369-2023 karta.png", "A 41369-2023")</f>
        <v/>
      </c>
      <c r="Y179">
        <f>HYPERLINK("https://klasma.github.io/Logging_0581/kartor_geotiff/A 41369-2023 georefererad karta.tif", "A 41369-2023")</f>
        <v/>
      </c>
      <c r="AA179">
        <f>HYPERLINK("https://klasma.github.io/Logging_0581/klagomål/A 41369-2023 FSC-klagomål.docx", "A 41369-2023")</f>
        <v/>
      </c>
      <c r="AB179">
        <f>HYPERLINK("https://klasma.github.io/Logging_0581/klagomålsmail/A 41369-2023 FSC-klagomål mail.docx", "A 41369-2023")</f>
        <v/>
      </c>
      <c r="AC179">
        <f>HYPERLINK("https://klasma.github.io/Logging_0581/tillsyn/A 41369-2023 tillsynsbegäran.docx", "A 41369-2023")</f>
        <v/>
      </c>
      <c r="AD179">
        <f>HYPERLINK("https://klasma.github.io/Logging_0581/tillsynsmail/A 41369-2023 tillsynsbegäran mail.docx", "A 41369-2023")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46320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46320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46320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46320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46320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46320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46320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46320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46320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46320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46320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46320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46320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46320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46320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46320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46320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46320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46320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46320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46320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46320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46320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46320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46320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46320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46320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46320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46320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46320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46320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46320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46320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46320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46320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46320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46320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46320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46320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46320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46320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46320</v>
      </c>
      <c r="F221" t="inlineStr">
        <is>
          <t>ÖSTERGÖTLANDS LÄN</t>
        </is>
      </c>
      <c r="G221" t="inlineStr">
        <is>
          <t>NORRKÖPING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14901-2023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45014</v>
      </c>
      <c r="E222" s="1" t="n">
        <v>46320</v>
      </c>
      <c r="F222" t="inlineStr">
        <is>
          <t>ÖSTERGÖTLANDS LÄN</t>
        </is>
      </c>
      <c r="G222" t="inlineStr">
        <is>
          <t>NORRKÖPING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46320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46320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46320</v>
      </c>
      <c r="F225" t="inlineStr">
        <is>
          <t>ÖSTERGÖTLANDS LÄN</t>
        </is>
      </c>
      <c r="G225" t="inlineStr">
        <is>
          <t>NORRKÖPING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46320</v>
      </c>
      <c r="F226" t="inlineStr">
        <is>
          <t>ÖSTERGÖTLANDS LÄN</t>
        </is>
      </c>
      <c r="G226" t="inlineStr">
        <is>
          <t>NORRKÖPING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46320</v>
      </c>
      <c r="F227" t="inlineStr">
        <is>
          <t>ÖSTERGÖTLANDS LÄN</t>
        </is>
      </c>
      <c r="G227" t="inlineStr">
        <is>
          <t>NORRKÖPING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46320</v>
      </c>
      <c r="F228" t="inlineStr">
        <is>
          <t>ÖSTERGÖTLANDS LÄN</t>
        </is>
      </c>
      <c r="G228" t="inlineStr">
        <is>
          <t>NORRKÖPING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46320</v>
      </c>
      <c r="F229" t="inlineStr">
        <is>
          <t>ÖSTERGÖTLANDS LÄN</t>
        </is>
      </c>
      <c r="G229" t="inlineStr">
        <is>
          <t>NORRKÖPING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46320</v>
      </c>
      <c r="F230" t="inlineStr">
        <is>
          <t>ÖSTERGÖTLANDS LÄN</t>
        </is>
      </c>
      <c r="G230" t="inlineStr">
        <is>
          <t>NORRKÖPING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46320</v>
      </c>
      <c r="F231" t="inlineStr">
        <is>
          <t>ÖSTERGÖTLANDS LÄN</t>
        </is>
      </c>
      <c r="G231" t="inlineStr">
        <is>
          <t>NORRKÖPING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46320</v>
      </c>
      <c r="F232" t="inlineStr">
        <is>
          <t>ÖSTERGÖTLANDS LÄN</t>
        </is>
      </c>
      <c r="G232" t="inlineStr">
        <is>
          <t>NORRKÖPING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46320</v>
      </c>
      <c r="F233" t="inlineStr">
        <is>
          <t>ÖSTERGÖTLANDS LÄN</t>
        </is>
      </c>
      <c r="G233" t="inlineStr">
        <is>
          <t>NORRKÖPING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50157-2022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44865</v>
      </c>
      <c r="E234" s="1" t="n">
        <v>46320</v>
      </c>
      <c r="F234" t="inlineStr">
        <is>
          <t>ÖSTERGÖTLANDS LÄN</t>
        </is>
      </c>
      <c r="G234" t="inlineStr">
        <is>
          <t>NORRKÖPING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46320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46320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46320</v>
      </c>
      <c r="F237" t="inlineStr">
        <is>
          <t>ÖSTERGÖTLANDS LÄN</t>
        </is>
      </c>
      <c r="G237" t="inlineStr">
        <is>
          <t>NORRKÖPING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46320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46320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44862</v>
      </c>
      <c r="E240" s="1" t="n">
        <v>46320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46320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46320</v>
      </c>
      <c r="F242" t="inlineStr">
        <is>
          <t>ÖSTERGÖTLANDS LÄN</t>
        </is>
      </c>
      <c r="G242" t="inlineStr">
        <is>
          <t>NORRKÖPING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46320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46320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46320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46320</v>
      </c>
      <c r="F246" t="inlineStr">
        <is>
          <t>ÖSTERGÖTLANDS LÄN</t>
        </is>
      </c>
      <c r="G246" t="inlineStr">
        <is>
          <t>NORRKÖPING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46320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46320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46320</v>
      </c>
      <c r="F249" t="inlineStr">
        <is>
          <t>ÖSTERGÖTLANDS LÄN</t>
        </is>
      </c>
      <c r="G249" t="inlineStr">
        <is>
          <t>NORRKÖPING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46320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46320</v>
      </c>
      <c r="F251" t="inlineStr">
        <is>
          <t>ÖSTERGÖTLANDS LÄN</t>
        </is>
      </c>
      <c r="G251" t="inlineStr">
        <is>
          <t>NORRKÖPING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46320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46320</v>
      </c>
      <c r="F253" t="inlineStr">
        <is>
          <t>ÖSTERGÖTLANDS LÄN</t>
        </is>
      </c>
      <c r="G253" t="inlineStr">
        <is>
          <t>NORRKÖPING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46320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46320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46320</v>
      </c>
      <c r="F256" t="inlineStr">
        <is>
          <t>ÖSTERGÖTLANDS LÄN</t>
        </is>
      </c>
      <c r="G256" t="inlineStr">
        <is>
          <t>NORRKÖPING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46320</v>
      </c>
      <c r="F257" t="inlineStr">
        <is>
          <t>ÖSTERGÖTLANDS LÄN</t>
        </is>
      </c>
      <c r="G257" t="inlineStr">
        <is>
          <t>NORRKÖPING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46320</v>
      </c>
      <c r="F258" t="inlineStr">
        <is>
          <t>ÖSTERGÖTLANDS LÄN</t>
        </is>
      </c>
      <c r="G258" t="inlineStr">
        <is>
          <t>NORRKÖPING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46320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46320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46320</v>
      </c>
      <c r="F261" t="inlineStr">
        <is>
          <t>ÖSTERGÖTLANDS LÄN</t>
        </is>
      </c>
      <c r="G261" t="inlineStr">
        <is>
          <t>NORRKÖPING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46320</v>
      </c>
      <c r="F262" t="inlineStr">
        <is>
          <t>ÖSTERGÖTLANDS LÄN</t>
        </is>
      </c>
      <c r="G262" t="inlineStr">
        <is>
          <t>NORRKÖPING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46320</v>
      </c>
      <c r="F263" t="inlineStr">
        <is>
          <t>ÖSTERGÖTLANDS LÄN</t>
        </is>
      </c>
      <c r="G263" t="inlineStr">
        <is>
          <t>NORRKÖPING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46320</v>
      </c>
      <c r="F264" t="inlineStr">
        <is>
          <t>ÖSTERGÖTLANDS LÄN</t>
        </is>
      </c>
      <c r="G264" t="inlineStr">
        <is>
          <t>NORRKÖPING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46320</v>
      </c>
      <c r="F265" t="inlineStr">
        <is>
          <t>ÖSTERGÖTLANDS LÄN</t>
        </is>
      </c>
      <c r="G265" t="inlineStr">
        <is>
          <t>NORRKÖPING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46320</v>
      </c>
      <c r="F266" t="inlineStr">
        <is>
          <t>ÖSTERGÖTLANDS LÄN</t>
        </is>
      </c>
      <c r="G266" t="inlineStr">
        <is>
          <t>NORRKÖPING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46320</v>
      </c>
      <c r="F267" t="inlineStr">
        <is>
          <t>ÖSTERGÖTLANDS LÄN</t>
        </is>
      </c>
      <c r="G267" t="inlineStr">
        <is>
          <t>NORRKÖPING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46320</v>
      </c>
      <c r="F268" t="inlineStr">
        <is>
          <t>ÖSTERGÖTLANDS LÄN</t>
        </is>
      </c>
      <c r="G268" t="inlineStr">
        <is>
          <t>NORRKÖPING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46061</v>
      </c>
      <c r="E269" s="1" t="n">
        <v>46320</v>
      </c>
      <c r="F269" t="inlineStr">
        <is>
          <t>ÖSTERGÖTLANDS LÄN</t>
        </is>
      </c>
      <c r="G269" t="inlineStr">
        <is>
          <t>NORRKÖPING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46320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Allmännings- och besparingsskogar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46320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46320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36954-2022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46320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46320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46320</v>
      </c>
      <c r="F275" t="inlineStr">
        <is>
          <t>ÖSTERGÖTLANDS LÄN</t>
        </is>
      </c>
      <c r="G275" t="inlineStr">
        <is>
          <t>NORRKÖPING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46320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46320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46320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46320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46320</v>
      </c>
      <c r="F280" t="inlineStr">
        <is>
          <t>ÖSTERGÖTLANDS LÄN</t>
        </is>
      </c>
      <c r="G280" t="inlineStr">
        <is>
          <t>NORRKÖPING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46320</v>
      </c>
      <c r="F281" t="inlineStr">
        <is>
          <t>ÖSTERGÖTLANDS LÄN</t>
        </is>
      </c>
      <c r="G281" t="inlineStr">
        <is>
          <t>NORRKÖPING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46320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46320</v>
      </c>
      <c r="F283" t="inlineStr">
        <is>
          <t>ÖSTERGÖTLANDS LÄN</t>
        </is>
      </c>
      <c r="G283" t="inlineStr">
        <is>
          <t>NORRKÖPING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46320</v>
      </c>
      <c r="F284" t="inlineStr">
        <is>
          <t>ÖSTERGÖTLANDS LÄN</t>
        </is>
      </c>
      <c r="G284" t="inlineStr">
        <is>
          <t>NORRKÖPING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46320</v>
      </c>
      <c r="F285" t="inlineStr">
        <is>
          <t>ÖSTERGÖTLANDS LÄN</t>
        </is>
      </c>
      <c r="G285" t="inlineStr">
        <is>
          <t>NORRKÖPING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5938-2024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45336</v>
      </c>
      <c r="E286" s="1" t="n">
        <v>46320</v>
      </c>
      <c r="F286" t="inlineStr">
        <is>
          <t>ÖSTERGÖTLANDS LÄN</t>
        </is>
      </c>
      <c r="G286" t="inlineStr">
        <is>
          <t>NORRKÖPING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46320</v>
      </c>
      <c r="F287" t="inlineStr">
        <is>
          <t>ÖSTERGÖTLANDS LÄN</t>
        </is>
      </c>
      <c r="G287" t="inlineStr">
        <is>
          <t>NORRKÖPING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45037</v>
      </c>
      <c r="E288" s="1" t="n">
        <v>46320</v>
      </c>
      <c r="F288" t="inlineStr">
        <is>
          <t>ÖSTERGÖTLANDS LÄN</t>
        </is>
      </c>
      <c r="G288" t="inlineStr">
        <is>
          <t>NORRKÖPING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46320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44966</v>
      </c>
      <c r="E290" s="1" t="n">
        <v>46320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45030</v>
      </c>
      <c r="E291" s="1" t="n">
        <v>46320</v>
      </c>
      <c r="F291" t="inlineStr">
        <is>
          <t>ÖSTERGÖTLANDS LÄN</t>
        </is>
      </c>
      <c r="G291" t="inlineStr">
        <is>
          <t>NORRKÖPING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46320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46320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46320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46320</v>
      </c>
      <c r="F295" t="inlineStr">
        <is>
          <t>ÖSTERGÖTLANDS LÄN</t>
        </is>
      </c>
      <c r="G295" t="inlineStr">
        <is>
          <t>NORRKÖPING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44644</v>
      </c>
      <c r="E296" s="1" t="n">
        <v>46320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46320</v>
      </c>
      <c r="F297" t="inlineStr">
        <is>
          <t>ÖSTERGÖTLANDS LÄN</t>
        </is>
      </c>
      <c r="G297" t="inlineStr">
        <is>
          <t>NORRKÖPING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46320</v>
      </c>
      <c r="F298" t="inlineStr">
        <is>
          <t>ÖSTERGÖTLANDS LÄN</t>
        </is>
      </c>
      <c r="G298" t="inlineStr">
        <is>
          <t>NORRKÖPING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46320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46320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46320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46320</v>
      </c>
      <c r="F302" t="inlineStr">
        <is>
          <t>ÖSTERGÖTLANDS LÄN</t>
        </is>
      </c>
      <c r="G302" t="inlineStr">
        <is>
          <t>NORRKÖPING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46320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46320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46320</v>
      </c>
      <c r="F305" t="inlineStr">
        <is>
          <t>ÖSTERGÖTLANDS LÄN</t>
        </is>
      </c>
      <c r="G305" t="inlineStr">
        <is>
          <t>NORRKÖPING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45048</v>
      </c>
      <c r="E306" s="1" t="n">
        <v>46320</v>
      </c>
      <c r="F306" t="inlineStr">
        <is>
          <t>ÖSTERGÖTLANDS LÄN</t>
        </is>
      </c>
      <c r="G306" t="inlineStr">
        <is>
          <t>NORRKÖPING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46320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46320</v>
      </c>
      <c r="F308" t="inlineStr">
        <is>
          <t>ÖSTERGÖTLANDS LÄN</t>
        </is>
      </c>
      <c r="G308" t="inlineStr">
        <is>
          <t>NORRKÖPING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46320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46320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46320</v>
      </c>
      <c r="F311" t="inlineStr">
        <is>
          <t>ÖSTERGÖTLANDS LÄN</t>
        </is>
      </c>
      <c r="G311" t="inlineStr">
        <is>
          <t>NORRKÖPING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46320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46320</v>
      </c>
      <c r="F313" t="inlineStr">
        <is>
          <t>ÖSTERGÖTLANDS LÄN</t>
        </is>
      </c>
      <c r="G313" t="inlineStr">
        <is>
          <t>NORRKÖPING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46320</v>
      </c>
      <c r="F314" t="inlineStr">
        <is>
          <t>ÖSTERGÖTLANDS LÄN</t>
        </is>
      </c>
      <c r="G314" t="inlineStr">
        <is>
          <t>NORRKÖPING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46320</v>
      </c>
      <c r="F315" t="inlineStr">
        <is>
          <t>ÖSTERGÖTLANDS LÄN</t>
        </is>
      </c>
      <c r="G315" t="inlineStr">
        <is>
          <t>NORRKÖPING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46320</v>
      </c>
      <c r="F316" t="inlineStr">
        <is>
          <t>ÖSTERGÖTLANDS LÄN</t>
        </is>
      </c>
      <c r="G316" t="inlineStr">
        <is>
          <t>NORRKÖPING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46320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46320</v>
      </c>
      <c r="F318" t="inlineStr">
        <is>
          <t>ÖSTERGÖTLANDS LÄN</t>
        </is>
      </c>
      <c r="G318" t="inlineStr">
        <is>
          <t>NORRKÖPING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46320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46320</v>
      </c>
      <c r="F320" t="inlineStr">
        <is>
          <t>ÖSTERGÖTLANDS LÄN</t>
        </is>
      </c>
      <c r="G320" t="inlineStr">
        <is>
          <t>NORRKÖPING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46320</v>
      </c>
      <c r="F321" t="inlineStr">
        <is>
          <t>ÖSTERGÖTLANDS LÄN</t>
        </is>
      </c>
      <c r="G321" t="inlineStr">
        <is>
          <t>NORRKÖPING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46320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46320</v>
      </c>
      <c r="F323" t="inlineStr">
        <is>
          <t>ÖSTERGÖTLANDS LÄN</t>
        </is>
      </c>
      <c r="G323" t="inlineStr">
        <is>
          <t>NORRKÖPING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46320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46320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46320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46320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46320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46320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46320</v>
      </c>
      <c r="F330" t="inlineStr">
        <is>
          <t>ÖSTERGÖTLANDS LÄN</t>
        </is>
      </c>
      <c r="G330" t="inlineStr">
        <is>
          <t>NORRKÖPING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46320</v>
      </c>
      <c r="F331" t="inlineStr">
        <is>
          <t>ÖSTERGÖTLANDS LÄN</t>
        </is>
      </c>
      <c r="G331" t="inlineStr">
        <is>
          <t>NORRKÖPING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45535</v>
      </c>
      <c r="E332" s="1" t="n">
        <v>46320</v>
      </c>
      <c r="F332" t="inlineStr">
        <is>
          <t>ÖSTERGÖTLANDS LÄN</t>
        </is>
      </c>
      <c r="G332" t="inlineStr">
        <is>
          <t>NORRKÖPING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46320</v>
      </c>
      <c r="F333" t="inlineStr">
        <is>
          <t>ÖSTERGÖTLANDS LÄN</t>
        </is>
      </c>
      <c r="G333" t="inlineStr">
        <is>
          <t>NORRKÖPING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46320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46320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45317</v>
      </c>
      <c r="E336" s="1" t="n">
        <v>46320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46320</v>
      </c>
      <c r="F337" t="inlineStr">
        <is>
          <t>ÖSTERGÖTLANDS LÄN</t>
        </is>
      </c>
      <c r="G337" t="inlineStr">
        <is>
          <t>NORRKÖPING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46320</v>
      </c>
      <c r="F338" t="inlineStr">
        <is>
          <t>ÖSTERGÖTLANDS LÄN</t>
        </is>
      </c>
      <c r="G338" t="inlineStr">
        <is>
          <t>NORRKÖPING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46320</v>
      </c>
      <c r="F339" t="inlineStr">
        <is>
          <t>ÖSTERGÖTLANDS LÄN</t>
        </is>
      </c>
      <c r="G339" t="inlineStr">
        <is>
          <t>NORRKÖPING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45386</v>
      </c>
      <c r="E340" s="1" t="n">
        <v>46320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45723</v>
      </c>
      <c r="E341" s="1" t="n">
        <v>46320</v>
      </c>
      <c r="F341" t="inlineStr">
        <is>
          <t>ÖSTERGÖTLANDS LÄN</t>
        </is>
      </c>
      <c r="G341" t="inlineStr">
        <is>
          <t>NORRKÖPING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46320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46320</v>
      </c>
      <c r="F343" t="inlineStr">
        <is>
          <t>ÖSTERGÖTLANDS LÄN</t>
        </is>
      </c>
      <c r="G343" t="inlineStr">
        <is>
          <t>NORRKÖPING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46320</v>
      </c>
      <c r="F344" t="inlineStr">
        <is>
          <t>ÖSTERGÖTLANDS LÄN</t>
        </is>
      </c>
      <c r="G344" t="inlineStr">
        <is>
          <t>NORRKÖPING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46320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45027</v>
      </c>
      <c r="E346" s="1" t="n">
        <v>46320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46320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46320</v>
      </c>
      <c r="F348" t="inlineStr">
        <is>
          <t>ÖSTERGÖTLANDS LÄN</t>
        </is>
      </c>
      <c r="G348" t="inlineStr">
        <is>
          <t>NORRKÖPING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46320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46320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46320</v>
      </c>
      <c r="F351" t="inlineStr">
        <is>
          <t>ÖSTERGÖTLANDS LÄN</t>
        </is>
      </c>
      <c r="G351" t="inlineStr">
        <is>
          <t>NORRKÖPING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46320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46320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29033-2026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46320</v>
      </c>
      <c r="F354" t="inlineStr">
        <is>
          <t>ÖSTERGÖTLANDS LÄN</t>
        </is>
      </c>
      <c r="G354" t="inlineStr">
        <is>
          <t>NORRKÖPING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46320</v>
      </c>
      <c r="F355" t="inlineStr">
        <is>
          <t>ÖSTERGÖTLANDS LÄN</t>
        </is>
      </c>
      <c r="G355" t="inlineStr">
        <is>
          <t>NORRKÖPING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46320</v>
      </c>
      <c r="F356" t="inlineStr">
        <is>
          <t>ÖSTERGÖTLANDS LÄN</t>
        </is>
      </c>
      <c r="G356" t="inlineStr">
        <is>
          <t>NORRKÖPING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46320</v>
      </c>
      <c r="F357" t="inlineStr">
        <is>
          <t>ÖSTERGÖTLANDS LÄN</t>
        </is>
      </c>
      <c r="G357" t="inlineStr">
        <is>
          <t>NORRKÖPING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46320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46320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46320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46320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45976</v>
      </c>
      <c r="E362" s="1" t="n">
        <v>46320</v>
      </c>
      <c r="F362" t="inlineStr">
        <is>
          <t>ÖSTERGÖTLANDS LÄN</t>
        </is>
      </c>
      <c r="G362" t="inlineStr">
        <is>
          <t>NORRKÖPING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46320</v>
      </c>
      <c r="F363" t="inlineStr">
        <is>
          <t>ÖSTERGÖTLANDS LÄN</t>
        </is>
      </c>
      <c r="G363" t="inlineStr">
        <is>
          <t>NORRKÖPING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46320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46320</v>
      </c>
      <c r="F365" t="inlineStr">
        <is>
          <t>ÖSTERGÖTLANDS LÄN</t>
        </is>
      </c>
      <c r="G365" t="inlineStr">
        <is>
          <t>NORRKÖPING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46320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46320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46320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1914-2023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44939</v>
      </c>
      <c r="E369" s="1" t="n">
        <v>46320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Naturvårdsverket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46320</v>
      </c>
      <c r="F370" t="inlineStr">
        <is>
          <t>ÖSTERGÖTLANDS LÄN</t>
        </is>
      </c>
      <c r="G370" t="inlineStr">
        <is>
          <t>NORRKÖPING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46320</v>
      </c>
      <c r="F371" t="inlineStr">
        <is>
          <t>ÖSTERGÖTLANDS LÄN</t>
        </is>
      </c>
      <c r="G371" t="inlineStr">
        <is>
          <t>NORRKÖPING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46320</v>
      </c>
      <c r="F372" t="inlineStr">
        <is>
          <t>ÖSTERGÖTLANDS LÄN</t>
        </is>
      </c>
      <c r="G372" t="inlineStr">
        <is>
          <t>NORRKÖPING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46320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46320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46320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46320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46320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44907</v>
      </c>
      <c r="E378" s="1" t="n">
        <v>46320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46320</v>
      </c>
      <c r="F379" t="inlineStr">
        <is>
          <t>ÖSTERGÖTLANDS LÄN</t>
        </is>
      </c>
      <c r="G379" t="inlineStr">
        <is>
          <t>NORRKÖPING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46320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Allmännings- och besparingsskogar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46320</v>
      </c>
      <c r="F381" t="inlineStr">
        <is>
          <t>ÖSTERGÖTLANDS LÄN</t>
        </is>
      </c>
      <c r="G381" t="inlineStr">
        <is>
          <t>NORRKÖPING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45016</v>
      </c>
      <c r="E382" s="1" t="n">
        <v>46320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45129</v>
      </c>
      <c r="E383" s="1" t="n">
        <v>46320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46320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46320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46320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46320</v>
      </c>
      <c r="F387" t="inlineStr">
        <is>
          <t>ÖSTERGÖTLANDS LÄN</t>
        </is>
      </c>
      <c r="G387" t="inlineStr">
        <is>
          <t>NORRKÖPING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46320</v>
      </c>
      <c r="F388" t="inlineStr">
        <is>
          <t>ÖSTERGÖTLANDS LÄN</t>
        </is>
      </c>
      <c r="G388" t="inlineStr">
        <is>
          <t>NORRKÖPING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46320</v>
      </c>
      <c r="F389" t="inlineStr">
        <is>
          <t>ÖSTERGÖTLANDS LÄN</t>
        </is>
      </c>
      <c r="G389" t="inlineStr">
        <is>
          <t>NORRKÖPING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45497</v>
      </c>
      <c r="E390" s="1" t="n">
        <v>46320</v>
      </c>
      <c r="F390" t="inlineStr">
        <is>
          <t>ÖSTERGÖTLANDS LÄN</t>
        </is>
      </c>
      <c r="G390" t="inlineStr">
        <is>
          <t>NORRKÖPING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46320</v>
      </c>
      <c r="F391" t="inlineStr">
        <is>
          <t>ÖSTERGÖTLANDS LÄN</t>
        </is>
      </c>
      <c r="G391" t="inlineStr">
        <is>
          <t>NORRKÖPING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46320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46320</v>
      </c>
      <c r="F393" t="inlineStr">
        <is>
          <t>ÖSTERGÖTLANDS LÄN</t>
        </is>
      </c>
      <c r="G393" t="inlineStr">
        <is>
          <t>NORRKÖPING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46320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46320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46320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45798</v>
      </c>
      <c r="E397" s="1" t="n">
        <v>46320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46320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46320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46320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46320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46320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57405-2024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45629</v>
      </c>
      <c r="E403" s="1" t="n">
        <v>46320</v>
      </c>
      <c r="F403" t="inlineStr">
        <is>
          <t>ÖSTERGÖTLANDS LÄN</t>
        </is>
      </c>
      <c r="G403" t="inlineStr">
        <is>
          <t>NORRKÖPING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46320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46320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46218</v>
      </c>
      <c r="E406" s="1" t="n">
        <v>46320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46320</v>
      </c>
      <c r="F407" t="inlineStr">
        <is>
          <t>ÖSTERGÖTLANDS LÄN</t>
        </is>
      </c>
      <c r="G407" t="inlineStr">
        <is>
          <t>NORRKÖPING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46320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45777</v>
      </c>
      <c r="E409" s="1" t="n">
        <v>46320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46320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45782</v>
      </c>
      <c r="E411" s="1" t="n">
        <v>46320</v>
      </c>
      <c r="F411" t="inlineStr">
        <is>
          <t>ÖSTERGÖTLANDS LÄN</t>
        </is>
      </c>
      <c r="G411" t="inlineStr">
        <is>
          <t>NORRKÖPING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46320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46320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45783</v>
      </c>
      <c r="E414" s="1" t="n">
        <v>46320</v>
      </c>
      <c r="F414" t="inlineStr">
        <is>
          <t>ÖSTERGÖTLANDS LÄN</t>
        </is>
      </c>
      <c r="G414" t="inlineStr">
        <is>
          <t>NORRKÖPING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46320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21909-2025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45784</v>
      </c>
      <c r="E416" s="1" t="n">
        <v>46320</v>
      </c>
      <c r="F416" t="inlineStr">
        <is>
          <t>ÖSTERGÖTLANDS LÄN</t>
        </is>
      </c>
      <c r="G416" t="inlineStr">
        <is>
          <t>NORRKÖPING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45784</v>
      </c>
      <c r="E417" s="1" t="n">
        <v>46320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46320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46320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46007</v>
      </c>
      <c r="E420" s="1" t="n">
        <v>46320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46233</v>
      </c>
      <c r="E421" s="1" t="n">
        <v>46320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46233</v>
      </c>
      <c r="E422" s="1" t="n">
        <v>46320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46320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46233</v>
      </c>
      <c r="E424" s="1" t="n">
        <v>46320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46320</v>
      </c>
      <c r="F425" t="inlineStr">
        <is>
          <t>ÖSTERGÖTLANDS LÄN</t>
        </is>
      </c>
      <c r="G425" t="inlineStr">
        <is>
          <t>NORRKÖPING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46280</v>
      </c>
      <c r="E426" s="1" t="n">
        <v>46320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46320</v>
      </c>
      <c r="F427" t="inlineStr">
        <is>
          <t>ÖSTERGÖTLANDS LÄN</t>
        </is>
      </c>
      <c r="G427" t="inlineStr">
        <is>
          <t>NORRKÖPING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46320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46320</v>
      </c>
      <c r="F429" t="inlineStr">
        <is>
          <t>ÖSTERGÖTLANDS LÄN</t>
        </is>
      </c>
      <c r="G429" t="inlineStr">
        <is>
          <t>NORRKÖPING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46320</v>
      </c>
      <c r="F430" t="inlineStr">
        <is>
          <t>ÖSTERGÖTLANDS LÄN</t>
        </is>
      </c>
      <c r="G430" t="inlineStr">
        <is>
          <t>NORRKÖPING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46320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45786</v>
      </c>
      <c r="E432" s="1" t="n">
        <v>46320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45671</v>
      </c>
      <c r="E433" s="1" t="n">
        <v>46320</v>
      </c>
      <c r="F433" t="inlineStr">
        <is>
          <t>ÖSTERGÖTLANDS LÄN</t>
        </is>
      </c>
      <c r="G433" t="inlineStr">
        <is>
          <t>NORRKÖPING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46320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46233</v>
      </c>
      <c r="E435" s="1" t="n">
        <v>46320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46233</v>
      </c>
      <c r="E436" s="1" t="n">
        <v>46320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46320</v>
      </c>
      <c r="F437" t="inlineStr">
        <is>
          <t>ÖSTERGÖTLANDS LÄN</t>
        </is>
      </c>
      <c r="G437" t="inlineStr">
        <is>
          <t>NORRKÖPING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46320</v>
      </c>
      <c r="F438" t="inlineStr">
        <is>
          <t>ÖSTERGÖTLANDS LÄN</t>
        </is>
      </c>
      <c r="G438" t="inlineStr">
        <is>
          <t>NORRKÖPING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45786</v>
      </c>
      <c r="E439" s="1" t="n">
        <v>46320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Naturvårdsverket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44565</v>
      </c>
      <c r="E440" s="1" t="n">
        <v>46320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46320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46320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45790</v>
      </c>
      <c r="E443" s="1" t="n">
        <v>46320</v>
      </c>
      <c r="F443" t="inlineStr">
        <is>
          <t>ÖSTERGÖTLANDS LÄN</t>
        </is>
      </c>
      <c r="G443" t="inlineStr">
        <is>
          <t>NORRKÖPING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46320</v>
      </c>
      <c r="F444" t="inlineStr">
        <is>
          <t>ÖSTERGÖTLANDS LÄN</t>
        </is>
      </c>
      <c r="G444" t="inlineStr">
        <is>
          <t>NORRKÖPING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46320</v>
      </c>
      <c r="F445" t="inlineStr">
        <is>
          <t>ÖSTERGÖTLANDS LÄN</t>
        </is>
      </c>
      <c r="G445" t="inlineStr">
        <is>
          <t>NORRKÖPING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46320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12.4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45678</v>
      </c>
      <c r="E447" s="1" t="n">
        <v>46320</v>
      </c>
      <c r="F447" t="inlineStr">
        <is>
          <t>ÖSTERGÖTLANDS LÄN</t>
        </is>
      </c>
      <c r="G447" t="inlineStr">
        <is>
          <t>NORRKÖPING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32814-2026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46320</v>
      </c>
      <c r="F448" t="inlineStr">
        <is>
          <t>ÖSTERGÖTLANDS LÄN</t>
        </is>
      </c>
      <c r="G448" t="inlineStr">
        <is>
          <t>NORRKÖPING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46320</v>
      </c>
      <c r="F449" t="inlineStr">
        <is>
          <t>ÖSTERGÖTLANDS LÄN</t>
        </is>
      </c>
      <c r="G449" t="inlineStr">
        <is>
          <t>NORRKÖPING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46282</v>
      </c>
      <c r="E450" s="1" t="n">
        <v>46320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46320</v>
      </c>
      <c r="F451" t="inlineStr">
        <is>
          <t>ÖSTERGÖTLANDS LÄN</t>
        </is>
      </c>
      <c r="G451" t="inlineStr">
        <is>
          <t>NORRKÖPING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46320</v>
      </c>
      <c r="F452" t="inlineStr">
        <is>
          <t>ÖSTERGÖTLANDS LÄN</t>
        </is>
      </c>
      <c r="G452" t="inlineStr">
        <is>
          <t>NORRKÖPING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46320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45096</v>
      </c>
      <c r="E454" s="1" t="n">
        <v>46320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46320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46320</v>
      </c>
      <c r="F456" t="inlineStr">
        <is>
          <t>ÖSTERGÖTLANDS LÄN</t>
        </is>
      </c>
      <c r="G456" t="inlineStr">
        <is>
          <t>NORRKÖPING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46320</v>
      </c>
      <c r="F457" t="inlineStr">
        <is>
          <t>ÖSTERGÖTLANDS LÄN</t>
        </is>
      </c>
      <c r="G457" t="inlineStr">
        <is>
          <t>NORRKÖPING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46320</v>
      </c>
      <c r="F458" t="inlineStr">
        <is>
          <t>ÖSTERGÖTLANDS LÄN</t>
        </is>
      </c>
      <c r="G458" t="inlineStr">
        <is>
          <t>NORRKÖPING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45259</v>
      </c>
      <c r="E459" s="1" t="n">
        <v>46320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46288</v>
      </c>
      <c r="E460" s="1" t="n">
        <v>46320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Kyrkan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46320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Kommuner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46320</v>
      </c>
      <c r="F462" t="inlineStr">
        <is>
          <t>ÖSTERGÖTLANDS LÄN</t>
        </is>
      </c>
      <c r="G462" t="inlineStr">
        <is>
          <t>NORRKÖPING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46320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Kyrkan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45798</v>
      </c>
      <c r="E464" s="1" t="n">
        <v>46320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45798</v>
      </c>
      <c r="E465" s="1" t="n">
        <v>46320</v>
      </c>
      <c r="F465" t="inlineStr">
        <is>
          <t>ÖSTERGÖTLANDS LÄN</t>
        </is>
      </c>
      <c r="G465" t="inlineStr">
        <is>
          <t>NORRKÖPING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46320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46320</v>
      </c>
      <c r="F467" t="inlineStr">
        <is>
          <t>ÖSTERGÖTLANDS LÄN</t>
        </is>
      </c>
      <c r="G467" t="inlineStr">
        <is>
          <t>NORRKÖPING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46320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33075-2026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46320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42514-2024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46320</v>
      </c>
      <c r="F470" t="inlineStr">
        <is>
          <t>ÖSTERGÖTLANDS LÄN</t>
        </is>
      </c>
      <c r="G470" t="inlineStr">
        <is>
          <t>NORRKÖPING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46046</v>
      </c>
      <c r="E471" s="1" t="n">
        <v>46320</v>
      </c>
      <c r="F471" t="inlineStr">
        <is>
          <t>ÖSTERGÖTLANDS LÄN</t>
        </is>
      </c>
      <c r="G471" t="inlineStr">
        <is>
          <t>NORRKÖPING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46320</v>
      </c>
      <c r="F472" t="inlineStr">
        <is>
          <t>ÖSTERGÖTLANDS LÄN</t>
        </is>
      </c>
      <c r="G472" t="inlineStr">
        <is>
          <t>NORRKÖPING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46320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46320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46320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46046</v>
      </c>
      <c r="E476" s="1" t="n">
        <v>46320</v>
      </c>
      <c r="F476" t="inlineStr">
        <is>
          <t>ÖSTERGÖTLANDS LÄN</t>
        </is>
      </c>
      <c r="G476" t="inlineStr">
        <is>
          <t>NORRKÖPING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46320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45554</v>
      </c>
      <c r="E478" s="1" t="n">
        <v>46320</v>
      </c>
      <c r="F478" t="inlineStr">
        <is>
          <t>ÖSTERGÖTLANDS LÄN</t>
        </is>
      </c>
      <c r="G478" t="inlineStr">
        <is>
          <t>NORRKÖPING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46244</v>
      </c>
      <c r="E479" s="1" t="n">
        <v>46320</v>
      </c>
      <c r="F479" t="inlineStr">
        <is>
          <t>ÖSTERGÖTLANDS LÄN</t>
        </is>
      </c>
      <c r="G479" t="inlineStr">
        <is>
          <t>NORRKÖPING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46320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46320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45722</v>
      </c>
      <c r="E482" s="1" t="n">
        <v>46320</v>
      </c>
      <c r="F482" t="inlineStr">
        <is>
          <t>ÖSTERGÖTLANDS LÄN</t>
        </is>
      </c>
      <c r="G482" t="inlineStr">
        <is>
          <t>NORRKÖPING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46320</v>
      </c>
      <c r="F483" t="inlineStr">
        <is>
          <t>ÖSTERGÖTLANDS LÄN</t>
        </is>
      </c>
      <c r="G483" t="inlineStr">
        <is>
          <t>NORRKÖPING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45803</v>
      </c>
      <c r="E484" s="1" t="n">
        <v>46320</v>
      </c>
      <c r="F484" t="inlineStr">
        <is>
          <t>ÖSTERGÖTLANDS LÄN</t>
        </is>
      </c>
      <c r="G484" t="inlineStr">
        <is>
          <t>NORRKÖPING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45804</v>
      </c>
      <c r="E485" s="1" t="n">
        <v>46320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Kommuner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46320</v>
      </c>
      <c r="F486" t="inlineStr">
        <is>
          <t>ÖSTERGÖTLANDS LÄN</t>
        </is>
      </c>
      <c r="G486" t="inlineStr">
        <is>
          <t>NORRKÖPING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46320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46320</v>
      </c>
      <c r="F488" t="inlineStr">
        <is>
          <t>ÖSTERGÖTLANDS LÄN</t>
        </is>
      </c>
      <c r="G488" t="inlineStr">
        <is>
          <t>NORRKÖPING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46320</v>
      </c>
      <c r="F489" t="inlineStr">
        <is>
          <t>ÖSTERGÖTLANDS LÄN</t>
        </is>
      </c>
      <c r="G489" t="inlineStr">
        <is>
          <t>NORRKÖPING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45369</v>
      </c>
      <c r="E490" s="1" t="n">
        <v>46320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46320</v>
      </c>
      <c r="F491" t="inlineStr">
        <is>
          <t>ÖSTERGÖTLANDS LÄN</t>
        </is>
      </c>
      <c r="G491" t="inlineStr">
        <is>
          <t>NORRKÖPING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45817</v>
      </c>
      <c r="E493" s="1" t="n">
        <v>46320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45820</v>
      </c>
      <c r="E494" s="1" t="n">
        <v>46320</v>
      </c>
      <c r="F494" t="inlineStr">
        <is>
          <t>ÖSTERGÖTLANDS LÄN</t>
        </is>
      </c>
      <c r="G494" t="inlineStr">
        <is>
          <t>NORRKÖPING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46320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Kyrkan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45820</v>
      </c>
      <c r="E496" s="1" t="n">
        <v>46320</v>
      </c>
      <c r="F496" t="inlineStr">
        <is>
          <t>ÖSTERGÖTLANDS LÄN</t>
        </is>
      </c>
      <c r="G496" t="inlineStr">
        <is>
          <t>NORRKÖPING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46320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46320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46320</v>
      </c>
      <c r="F499" t="inlineStr">
        <is>
          <t>ÖSTERGÖTLANDS LÄN</t>
        </is>
      </c>
      <c r="G499" t="inlineStr">
        <is>
          <t>NORRKÖPING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46320</v>
      </c>
      <c r="F500" t="inlineStr">
        <is>
          <t>ÖSTERGÖTLANDS LÄN</t>
        </is>
      </c>
      <c r="G500" t="inlineStr">
        <is>
          <t>NORRKÖPING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46294</v>
      </c>
      <c r="E501" s="1" t="n">
        <v>46320</v>
      </c>
      <c r="F501" t="inlineStr">
        <is>
          <t>ÖSTERGÖTLANDS LÄN</t>
        </is>
      </c>
      <c r="G501" t="inlineStr">
        <is>
          <t>NORRKÖPING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46320</v>
      </c>
      <c r="F502" t="inlineStr">
        <is>
          <t>ÖSTERGÖTLANDS LÄN</t>
        </is>
      </c>
      <c r="G502" t="inlineStr">
        <is>
          <t>NORRKÖPING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46320</v>
      </c>
      <c r="F503" t="inlineStr">
        <is>
          <t>ÖSTERGÖTLANDS LÄN</t>
        </is>
      </c>
      <c r="G503" t="inlineStr">
        <is>
          <t>NORRKÖPING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46320</v>
      </c>
      <c r="F504" t="inlineStr">
        <is>
          <t>ÖSTERGÖTLANDS LÄN</t>
        </is>
      </c>
      <c r="G504" t="inlineStr">
        <is>
          <t>NORRKÖPING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46320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45490</v>
      </c>
      <c r="E506" s="1" t="n">
        <v>46320</v>
      </c>
      <c r="F506" t="inlineStr">
        <is>
          <t>ÖSTERGÖTLANDS LÄN</t>
        </is>
      </c>
      <c r="G506" t="inlineStr">
        <is>
          <t>NORRKÖPING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46320</v>
      </c>
      <c r="F507" t="inlineStr">
        <is>
          <t>ÖSTERGÖTLANDS LÄN</t>
        </is>
      </c>
      <c r="G507" t="inlineStr">
        <is>
          <t>NORRKÖPING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46320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44930</v>
      </c>
      <c r="E509" s="1" t="n">
        <v>46320</v>
      </c>
      <c r="F509" t="inlineStr">
        <is>
          <t>ÖSTERGÖTLANDS LÄN</t>
        </is>
      </c>
      <c r="G509" t="inlineStr">
        <is>
          <t>NORRKÖPING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46320</v>
      </c>
      <c r="F510" t="inlineStr">
        <is>
          <t>ÖSTERGÖTLANDS LÄN</t>
        </is>
      </c>
      <c r="G510" t="inlineStr">
        <is>
          <t>NORRKÖPING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46320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46320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46320</v>
      </c>
      <c r="F513" t="inlineStr">
        <is>
          <t>ÖSTERGÖTLANDS LÄN</t>
        </is>
      </c>
      <c r="G513" t="inlineStr">
        <is>
          <t>NORRKÖPING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46320</v>
      </c>
      <c r="F514" t="inlineStr">
        <is>
          <t>ÖSTERGÖTLANDS LÄN</t>
        </is>
      </c>
      <c r="G514" t="inlineStr">
        <is>
          <t>NORRKÖPING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46320</v>
      </c>
      <c r="F515" t="inlineStr">
        <is>
          <t>ÖSTERGÖTLANDS LÄN</t>
        </is>
      </c>
      <c r="G515" t="inlineStr">
        <is>
          <t>NORRKÖPING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46320</v>
      </c>
      <c r="F516" t="inlineStr">
        <is>
          <t>ÖSTERGÖTLANDS LÄN</t>
        </is>
      </c>
      <c r="G516" t="inlineStr">
        <is>
          <t>NORRKÖPING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46320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46320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46320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46320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46320</v>
      </c>
      <c r="F521" t="inlineStr">
        <is>
          <t>ÖSTERGÖTLANDS LÄN</t>
        </is>
      </c>
      <c r="G521" t="inlineStr">
        <is>
          <t>NORRKÖPING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46320</v>
      </c>
      <c r="F522" t="inlineStr">
        <is>
          <t>ÖSTERGÖTLANDS LÄN</t>
        </is>
      </c>
      <c r="G522" t="inlineStr">
        <is>
          <t>NORRKÖPING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45678</v>
      </c>
      <c r="E523" s="1" t="n">
        <v>46320</v>
      </c>
      <c r="F523" t="inlineStr">
        <is>
          <t>ÖSTERGÖTLANDS LÄN</t>
        </is>
      </c>
      <c r="G523" t="inlineStr">
        <is>
          <t>NORRKÖPING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46320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46320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45845</v>
      </c>
      <c r="E526" s="1" t="n">
        <v>46320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46320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46320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46320</v>
      </c>
      <c r="F529" t="inlineStr">
        <is>
          <t>ÖSTERGÖTLANDS LÄN</t>
        </is>
      </c>
      <c r="G529" t="inlineStr">
        <is>
          <t>NORRKÖPING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46320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46320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46320</v>
      </c>
      <c r="F532" t="inlineStr">
        <is>
          <t>ÖSTERGÖTLANDS LÄN</t>
        </is>
      </c>
      <c r="G532" t="inlineStr">
        <is>
          <t>NORRKÖPING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46320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46320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46320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44890</v>
      </c>
      <c r="E536" s="1" t="n">
        <v>46320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45706</v>
      </c>
      <c r="E537" s="1" t="n">
        <v>46320</v>
      </c>
      <c r="F537" t="inlineStr">
        <is>
          <t>ÖSTERGÖTLANDS LÄN</t>
        </is>
      </c>
      <c r="G537" t="inlineStr">
        <is>
          <t>NORRKÖPING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46320</v>
      </c>
      <c r="F538" t="inlineStr">
        <is>
          <t>ÖSTERGÖTLANDS LÄN</t>
        </is>
      </c>
      <c r="G538" t="inlineStr">
        <is>
          <t>NORRKÖPING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46320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46320</v>
      </c>
      <c r="F540" t="inlineStr">
        <is>
          <t>ÖSTERGÖTLANDS LÄN</t>
        </is>
      </c>
      <c r="G540" t="inlineStr">
        <is>
          <t>NORRKÖPING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45414</v>
      </c>
      <c r="E541" s="1" t="n">
        <v>46320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46320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46320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46320</v>
      </c>
      <c r="F544" t="inlineStr">
        <is>
          <t>ÖSTERGÖTLANDS LÄN</t>
        </is>
      </c>
      <c r="G544" t="inlineStr">
        <is>
          <t>NORRKÖPING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46320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45796</v>
      </c>
      <c r="E546" s="1" t="n">
        <v>46320</v>
      </c>
      <c r="F546" t="inlineStr">
        <is>
          <t>ÖSTERGÖTLANDS LÄN</t>
        </is>
      </c>
      <c r="G546" t="inlineStr">
        <is>
          <t>NORRKÖPING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46320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46128</v>
      </c>
      <c r="E548" s="1" t="n">
        <v>46320</v>
      </c>
      <c r="F548" t="inlineStr">
        <is>
          <t>ÖSTERGÖTLANDS LÄN</t>
        </is>
      </c>
      <c r="G548" t="inlineStr">
        <is>
          <t>NORRKÖPING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46320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46320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Allmännings- och besparingsskogar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46320</v>
      </c>
      <c r="F551" t="inlineStr">
        <is>
          <t>ÖSTERGÖTLANDS LÄN</t>
        </is>
      </c>
      <c r="G551" t="inlineStr">
        <is>
          <t>NORRKÖPING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44582</v>
      </c>
      <c r="E552" s="1" t="n">
        <v>46320</v>
      </c>
      <c r="F552" t="inlineStr">
        <is>
          <t>ÖSTERGÖTLANDS LÄN</t>
        </is>
      </c>
      <c r="G552" t="inlineStr">
        <is>
          <t>NORRKÖPING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46320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45836</v>
      </c>
      <c r="E554" s="1" t="n">
        <v>46320</v>
      </c>
      <c r="F554" t="inlineStr">
        <is>
          <t>ÖSTERGÖTLANDS LÄN</t>
        </is>
      </c>
      <c r="G554" t="inlineStr">
        <is>
          <t>NORRKÖPING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46320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45889</v>
      </c>
      <c r="E556" s="1" t="n">
        <v>46320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47345-2023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46320</v>
      </c>
      <c r="F557" t="inlineStr">
        <is>
          <t>ÖSTERGÖTLANDS LÄN</t>
        </is>
      </c>
      <c r="G557" t="inlineStr">
        <is>
          <t>NORRKÖPING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46320</v>
      </c>
      <c r="F558" t="inlineStr">
        <is>
          <t>ÖSTERGÖTLANDS LÄN</t>
        </is>
      </c>
      <c r="G558" t="inlineStr">
        <is>
          <t>NORRKÖPING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46308</v>
      </c>
      <c r="E559" s="1" t="n">
        <v>46320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46307</v>
      </c>
      <c r="E560" s="1" t="n">
        <v>46320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20001-2026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46135</v>
      </c>
      <c r="E561" s="1" t="n">
        <v>46320</v>
      </c>
      <c r="F561" t="inlineStr">
        <is>
          <t>ÖSTERGÖTLANDS LÄN</t>
        </is>
      </c>
      <c r="G561" t="inlineStr">
        <is>
          <t>NORRKÖPING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46320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45657</v>
      </c>
      <c r="E563" s="1" t="n">
        <v>46320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10393-2024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45365</v>
      </c>
      <c r="E564" s="1" t="n">
        <v>46320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46320</v>
      </c>
      <c r="F565" t="inlineStr">
        <is>
          <t>ÖSTERGÖTLANDS LÄN</t>
        </is>
      </c>
      <c r="G565" t="inlineStr">
        <is>
          <t>NORRKÖPING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46320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45442</v>
      </c>
      <c r="E567" s="1" t="n">
        <v>46320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39861-2025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45891</v>
      </c>
      <c r="E568" s="1" t="n">
        <v>46320</v>
      </c>
      <c r="F568" t="inlineStr">
        <is>
          <t>ÖSTERGÖTLANDS LÄN</t>
        </is>
      </c>
      <c r="G568" t="inlineStr">
        <is>
          <t>NORRKÖPING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39863-2025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45891</v>
      </c>
      <c r="E569" s="1" t="n">
        <v>46320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45520</v>
      </c>
      <c r="E570" s="1" t="n">
        <v>46320</v>
      </c>
      <c r="F570" t="inlineStr">
        <is>
          <t>ÖSTERGÖTLANDS LÄN</t>
        </is>
      </c>
      <c r="G570" t="inlineStr">
        <is>
          <t>NORRKÖPING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46320</v>
      </c>
      <c r="F571" t="inlineStr">
        <is>
          <t>ÖSTERGÖTLANDS LÄN</t>
        </is>
      </c>
      <c r="G571" t="inlineStr">
        <is>
          <t>NORRKÖPING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46320</v>
      </c>
      <c r="F572" t="inlineStr">
        <is>
          <t>ÖSTERGÖTLANDS LÄN</t>
        </is>
      </c>
      <c r="G572" t="inlineStr">
        <is>
          <t>NORRKÖPING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32623-2026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46320</v>
      </c>
      <c r="F573" t="inlineStr">
        <is>
          <t>ÖSTERGÖTLANDS LÄN</t>
        </is>
      </c>
      <c r="G573" t="inlineStr">
        <is>
          <t>NORRKÖPING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46320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38719-2025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45886</v>
      </c>
      <c r="E575" s="1" t="n">
        <v>46320</v>
      </c>
      <c r="F575" t="inlineStr">
        <is>
          <t>ÖSTERGÖTLANDS LÄN</t>
        </is>
      </c>
      <c r="G575" t="inlineStr">
        <is>
          <t>NORRKÖPING</t>
        </is>
      </c>
      <c r="I575" t="n">
        <v>14.3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44889</v>
      </c>
      <c r="E576" s="1" t="n">
        <v>46320</v>
      </c>
      <c r="F576" t="inlineStr">
        <is>
          <t>ÖSTERGÖTLANDS LÄN</t>
        </is>
      </c>
      <c r="G576" t="inlineStr">
        <is>
          <t>NORRKÖPING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46320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BillerudKorsnäs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43144-2026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46311</v>
      </c>
      <c r="E578" s="1" t="n">
        <v>46320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45178</v>
      </c>
      <c r="E579" s="1" t="n">
        <v>46320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45028</v>
      </c>
      <c r="E580" s="1" t="n">
        <v>46320</v>
      </c>
      <c r="F580" t="inlineStr">
        <is>
          <t>ÖSTERGÖTLANDS LÄN</t>
        </is>
      </c>
      <c r="G580" t="inlineStr">
        <is>
          <t>NORRKÖPING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46320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43071-2026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46311</v>
      </c>
      <c r="E582" s="1" t="n">
        <v>46320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38017-2026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46280</v>
      </c>
      <c r="E583" s="1" t="n">
        <v>46320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46320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23941-2025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46320</v>
      </c>
      <c r="F585" t="inlineStr">
        <is>
          <t>ÖSTERGÖTLANDS LÄN</t>
        </is>
      </c>
      <c r="G585" t="inlineStr">
        <is>
          <t>NORRKÖPING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46320</v>
      </c>
      <c r="F586" t="inlineStr">
        <is>
          <t>ÖSTERGÖTLANDS LÄN</t>
        </is>
      </c>
      <c r="G586" t="inlineStr">
        <is>
          <t>NORRKÖPING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43638-2026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46315</v>
      </c>
      <c r="E587" s="1" t="n">
        <v>46320</v>
      </c>
      <c r="F587" t="inlineStr">
        <is>
          <t>ÖSTERGÖTLANDS LÄN</t>
        </is>
      </c>
      <c r="G587" t="inlineStr">
        <is>
          <t>NORRKÖPING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46320</v>
      </c>
      <c r="F588" t="inlineStr">
        <is>
          <t>ÖSTERGÖTLANDS LÄN</t>
        </is>
      </c>
      <c r="G588" t="inlineStr">
        <is>
          <t>NORRKÖPING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46320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46315</v>
      </c>
      <c r="E590" s="1" t="n">
        <v>46320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20352-2026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46139</v>
      </c>
      <c r="E591" s="1" t="n">
        <v>46320</v>
      </c>
      <c r="F591" t="inlineStr">
        <is>
          <t>ÖSTERGÖTLANDS LÄN</t>
        </is>
      </c>
      <c r="G591" t="inlineStr">
        <is>
          <t>NORRKÖPING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46320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46316</v>
      </c>
      <c r="E593" s="1" t="n">
        <v>46320</v>
      </c>
      <c r="F593" t="inlineStr">
        <is>
          <t>ÖSTERGÖTLANDS LÄN</t>
        </is>
      </c>
      <c r="G593" t="inlineStr">
        <is>
          <t>NORRKÖPING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10796-2024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45369</v>
      </c>
      <c r="E594" s="1" t="n">
        <v>46320</v>
      </c>
      <c r="F594" t="inlineStr">
        <is>
          <t>ÖSTERGÖTLANDS LÄN</t>
        </is>
      </c>
      <c r="G594" t="inlineStr">
        <is>
          <t>NORRKÖPING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45215</v>
      </c>
      <c r="E595" s="1" t="n">
        <v>46320</v>
      </c>
      <c r="F595" t="inlineStr">
        <is>
          <t>ÖSTERGÖTLANDS LÄN</t>
        </is>
      </c>
      <c r="G595" t="inlineStr">
        <is>
          <t>NORRKÖPING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45678</v>
      </c>
      <c r="E596" s="1" t="n">
        <v>46320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46320</v>
      </c>
      <c r="F597" t="inlineStr">
        <is>
          <t>ÖSTERGÖTLANDS LÄN</t>
        </is>
      </c>
      <c r="G597" t="inlineStr">
        <is>
          <t>NORRKÖPING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8292-2023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46320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44943</v>
      </c>
      <c r="E599" s="1" t="n">
        <v>46320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46320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45174</v>
      </c>
      <c r="E601" s="1" t="n">
        <v>46320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46320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46320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45453</v>
      </c>
      <c r="E604" s="1" t="n">
        <v>46320</v>
      </c>
      <c r="F604" t="inlineStr">
        <is>
          <t>ÖSTERGÖTLANDS LÄN</t>
        </is>
      </c>
      <c r="G604" t="inlineStr">
        <is>
          <t>NORRKÖPING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55359-2023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45238</v>
      </c>
      <c r="E605" s="1" t="n">
        <v>46320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45049</v>
      </c>
      <c r="E606" s="1" t="n">
        <v>46320</v>
      </c>
      <c r="F606" t="inlineStr">
        <is>
          <t>ÖSTERGÖTLANDS LÄN</t>
        </is>
      </c>
      <c r="G606" t="inlineStr">
        <is>
          <t>NORRKÖPING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45091</v>
      </c>
      <c r="E607" s="1" t="n">
        <v>46320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Allmännings- och besparingsskogar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46320</v>
      </c>
      <c r="F608" t="inlineStr">
        <is>
          <t>ÖSTERGÖTLANDS LÄN</t>
        </is>
      </c>
      <c r="G608" t="inlineStr">
        <is>
          <t>NORRKÖPING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44677</v>
      </c>
      <c r="E609" s="1" t="n">
        <v>46320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43322-2022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44834</v>
      </c>
      <c r="E610" s="1" t="n">
        <v>46320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44741</v>
      </c>
      <c r="E611" s="1" t="n">
        <v>46320</v>
      </c>
      <c r="F611" t="inlineStr">
        <is>
          <t>ÖSTERGÖTLANDS LÄN</t>
        </is>
      </c>
      <c r="G611" t="inlineStr">
        <is>
          <t>NORRKÖPING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44965</v>
      </c>
      <c r="E612" s="1" t="n">
        <v>46320</v>
      </c>
      <c r="F612" t="inlineStr">
        <is>
          <t>ÖSTERGÖTLANDS LÄN</t>
        </is>
      </c>
      <c r="G612" t="inlineStr">
        <is>
          <t>NORRKÖPING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46320</v>
      </c>
      <c r="F613" t="inlineStr">
        <is>
          <t>ÖSTERGÖTLANDS LÄN</t>
        </is>
      </c>
      <c r="G613" t="inlineStr">
        <is>
          <t>NORRKÖPING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4494-2023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44956</v>
      </c>
      <c r="E614" s="1" t="n">
        <v>46320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46320</v>
      </c>
      <c r="F615" t="inlineStr">
        <is>
          <t>ÖSTERGÖTLANDS LÄN</t>
        </is>
      </c>
      <c r="G615" t="inlineStr">
        <is>
          <t>NORRKÖPING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58889-2024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45636</v>
      </c>
      <c r="E616" s="1" t="n">
        <v>46320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23051-2022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46320</v>
      </c>
      <c r="F617" t="inlineStr">
        <is>
          <t>ÖSTERGÖTLANDS LÄN</t>
        </is>
      </c>
      <c r="G617" t="inlineStr">
        <is>
          <t>NORRKÖPING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46320</v>
      </c>
      <c r="F618" t="inlineStr">
        <is>
          <t>ÖSTERGÖTLANDS LÄN</t>
        </is>
      </c>
      <c r="G618" t="inlineStr">
        <is>
          <t>NORRKÖPING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44573</v>
      </c>
      <c r="E619" s="1" t="n">
        <v>46320</v>
      </c>
      <c r="F619" t="inlineStr">
        <is>
          <t>ÖSTERGÖTLANDS LÄN</t>
        </is>
      </c>
      <c r="G619" t="inlineStr">
        <is>
          <t>NORRKÖPING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45414</v>
      </c>
      <c r="E620" s="1" t="n">
        <v>46320</v>
      </c>
      <c r="F620" t="inlineStr">
        <is>
          <t>ÖSTERGÖTLANDS LÄN</t>
        </is>
      </c>
      <c r="G620" t="inlineStr">
        <is>
          <t>NORRKÖPING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46320</v>
      </c>
      <c r="F621" t="inlineStr">
        <is>
          <t>ÖSTERGÖTLANDS LÄN</t>
        </is>
      </c>
      <c r="G621" t="inlineStr">
        <is>
          <t>NORRKÖPING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64898-2021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44512</v>
      </c>
      <c r="E622" s="1" t="n">
        <v>46320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44970</v>
      </c>
      <c r="E623" s="1" t="n">
        <v>46320</v>
      </c>
      <c r="F623" t="inlineStr">
        <is>
          <t>ÖSTERGÖTLANDS LÄN</t>
        </is>
      </c>
      <c r="G623" t="inlineStr">
        <is>
          <t>NORRKÖPING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44980</v>
      </c>
      <c r="E624" s="1" t="n">
        <v>46320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13152-2024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45386</v>
      </c>
      <c r="E625" s="1" t="n">
        <v>46320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44721</v>
      </c>
      <c r="E626" s="1" t="n">
        <v>46320</v>
      </c>
      <c r="F626" t="inlineStr">
        <is>
          <t>ÖSTERGÖTLANDS LÄN</t>
        </is>
      </c>
      <c r="G626" t="inlineStr">
        <is>
          <t>NORRKÖPING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31362-2023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45114</v>
      </c>
      <c r="E627" s="1" t="n">
        <v>46320</v>
      </c>
      <c r="F627" t="inlineStr">
        <is>
          <t>ÖSTERGÖTLANDS LÄN</t>
        </is>
      </c>
      <c r="G627" t="inlineStr">
        <is>
          <t>NORRKÖPING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45629</v>
      </c>
      <c r="E628" s="1" t="n">
        <v>46320</v>
      </c>
      <c r="F628" t="inlineStr">
        <is>
          <t>ÖSTERGÖTLANDS LÄN</t>
        </is>
      </c>
      <c r="G628" t="inlineStr">
        <is>
          <t>NORRKÖPING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46320</v>
      </c>
      <c r="F629" t="inlineStr">
        <is>
          <t>ÖSTERGÖTLANDS LÄN</t>
        </is>
      </c>
      <c r="G629" t="inlineStr">
        <is>
          <t>NORRKÖPING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36887-2022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44805</v>
      </c>
      <c r="E630" s="1" t="n">
        <v>46320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31653-2023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46320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46610-2024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45582</v>
      </c>
      <c r="E632" s="1" t="n">
        <v>46320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46320</v>
      </c>
      <c r="F633" t="inlineStr">
        <is>
          <t>ÖSTERGÖTLANDS LÄN</t>
        </is>
      </c>
      <c r="G633" t="inlineStr">
        <is>
          <t>NORRKÖPING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45469</v>
      </c>
      <c r="E634" s="1" t="n">
        <v>46320</v>
      </c>
      <c r="F634" t="inlineStr">
        <is>
          <t>ÖSTERGÖTLANDS LÄN</t>
        </is>
      </c>
      <c r="G634" t="inlineStr">
        <is>
          <t>NORRKÖPING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45726</v>
      </c>
      <c r="E635" s="1" t="n">
        <v>46320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44713</v>
      </c>
      <c r="E636" s="1" t="n">
        <v>46320</v>
      </c>
      <c r="F636" t="inlineStr">
        <is>
          <t>ÖSTERGÖTLANDS LÄN</t>
        </is>
      </c>
      <c r="G636" t="inlineStr">
        <is>
          <t>NORRKÖPING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46320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46320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16696-2023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45030</v>
      </c>
      <c r="E639" s="1" t="n">
        <v>46320</v>
      </c>
      <c r="F639" t="inlineStr">
        <is>
          <t>ÖSTERGÖTLANDS LÄN</t>
        </is>
      </c>
      <c r="G639" t="inlineStr">
        <is>
          <t>NORRKÖPING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45030</v>
      </c>
      <c r="E640" s="1" t="n">
        <v>46320</v>
      </c>
      <c r="F640" t="inlineStr">
        <is>
          <t>ÖSTERGÖTLANDS LÄN</t>
        </is>
      </c>
      <c r="G640" t="inlineStr">
        <is>
          <t>NORRKÖPING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47477-2022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44853</v>
      </c>
      <c r="E641" s="1" t="n">
        <v>46320</v>
      </c>
      <c r="F641" t="inlineStr">
        <is>
          <t>ÖSTERGÖTLANDS LÄN</t>
        </is>
      </c>
      <c r="G641" t="inlineStr">
        <is>
          <t>NORRKÖPING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12511-2023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44999</v>
      </c>
      <c r="E642" s="1" t="n">
        <v>46320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46320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41223-2022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44826</v>
      </c>
      <c r="E644" s="1" t="n">
        <v>46320</v>
      </c>
      <c r="F644" t="inlineStr">
        <is>
          <t>ÖSTERGÖTLANDS LÄN</t>
        </is>
      </c>
      <c r="G644" t="inlineStr">
        <is>
          <t>NORRKÖPING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45442</v>
      </c>
      <c r="E645" s="1" t="n">
        <v>46320</v>
      </c>
      <c r="F645" t="inlineStr">
        <is>
          <t>ÖSTERGÖTLANDS LÄN</t>
        </is>
      </c>
      <c r="G645" t="inlineStr">
        <is>
          <t>NORRKÖPING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21772-2024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46320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45008</v>
      </c>
      <c r="E647" s="1" t="n">
        <v>46320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9233-2023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44980</v>
      </c>
      <c r="E648" s="1" t="n">
        <v>46320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46320</v>
      </c>
      <c r="F649" t="inlineStr">
        <is>
          <t>ÖSTERGÖTLANDS LÄN</t>
        </is>
      </c>
      <c r="G649" t="inlineStr">
        <is>
          <t>NORRKÖPING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46320</v>
      </c>
      <c r="F650" t="inlineStr">
        <is>
          <t>ÖSTERGÖTLANDS LÄN</t>
        </is>
      </c>
      <c r="G650" t="inlineStr">
        <is>
          <t>NORRKÖPING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45764</v>
      </c>
      <c r="E651" s="1" t="n">
        <v>46320</v>
      </c>
      <c r="F651" t="inlineStr">
        <is>
          <t>ÖSTERGÖTLANDS LÄN</t>
        </is>
      </c>
      <c r="G651" t="inlineStr">
        <is>
          <t>NORRKÖPING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46320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11587-2023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44992</v>
      </c>
      <c r="E653" s="1" t="n">
        <v>46320</v>
      </c>
      <c r="F653" t="inlineStr">
        <is>
          <t>ÖSTERGÖTLANDS LÄN</t>
        </is>
      </c>
      <c r="G653" t="inlineStr">
        <is>
          <t>NORRKÖPING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44575</v>
      </c>
      <c r="E654" s="1" t="n">
        <v>46320</v>
      </c>
      <c r="F654" t="inlineStr">
        <is>
          <t>ÖSTERGÖTLANDS LÄN</t>
        </is>
      </c>
      <c r="G654" t="inlineStr">
        <is>
          <t>NORRKÖPING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44957</v>
      </c>
      <c r="E655" s="1" t="n">
        <v>46320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44945</v>
      </c>
      <c r="E656" s="1" t="n">
        <v>46320</v>
      </c>
      <c r="F656" t="inlineStr">
        <is>
          <t>ÖSTERGÖTLANDS LÄN</t>
        </is>
      </c>
      <c r="G656" t="inlineStr">
        <is>
          <t>NORRKÖPING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45093</v>
      </c>
      <c r="E657" s="1" t="n">
        <v>46320</v>
      </c>
      <c r="F657" t="inlineStr">
        <is>
          <t>ÖSTERGÖTLANDS LÄN</t>
        </is>
      </c>
      <c r="G657" t="inlineStr">
        <is>
          <t>NORRKÖPING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46320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63349-2023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45274</v>
      </c>
      <c r="E659" s="1" t="n">
        <v>46320</v>
      </c>
      <c r="F659" t="inlineStr">
        <is>
          <t>ÖSTERGÖTLANDS LÄN</t>
        </is>
      </c>
      <c r="G659" t="inlineStr">
        <is>
          <t>NORRKÖPING</t>
        </is>
      </c>
      <c r="I659" t="n">
        <v>6.2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46320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23630-2023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45077</v>
      </c>
      <c r="E661" s="1" t="n">
        <v>46320</v>
      </c>
      <c r="F661" t="inlineStr">
        <is>
          <t>ÖSTERGÖTLANDS LÄN</t>
        </is>
      </c>
      <c r="G661" t="inlineStr">
        <is>
          <t>NORRKÖPING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31801-2024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45509</v>
      </c>
      <c r="E662" s="1" t="n">
        <v>46320</v>
      </c>
      <c r="F662" t="inlineStr">
        <is>
          <t>ÖSTERGÖTLANDS LÄN</t>
        </is>
      </c>
      <c r="G662" t="inlineStr">
        <is>
          <t>NORRKÖPING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46320</v>
      </c>
      <c r="F663" t="inlineStr">
        <is>
          <t>ÖSTERGÖTLANDS LÄN</t>
        </is>
      </c>
      <c r="G663" t="inlineStr">
        <is>
          <t>NORRKÖPING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46320</v>
      </c>
      <c r="F664" t="inlineStr">
        <is>
          <t>ÖSTERGÖTLANDS LÄN</t>
        </is>
      </c>
      <c r="G664" t="inlineStr">
        <is>
          <t>NORRKÖPING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45049</v>
      </c>
      <c r="E665" s="1" t="n">
        <v>46320</v>
      </c>
      <c r="F665" t="inlineStr">
        <is>
          <t>ÖSTERGÖTLANDS LÄN</t>
        </is>
      </c>
      <c r="G665" t="inlineStr">
        <is>
          <t>NORRKÖPING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45049</v>
      </c>
      <c r="E666" s="1" t="n">
        <v>46320</v>
      </c>
      <c r="F666" t="inlineStr">
        <is>
          <t>ÖSTERGÖTLANDS LÄN</t>
        </is>
      </c>
      <c r="G666" t="inlineStr">
        <is>
          <t>NORRKÖPING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2021-2023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44939</v>
      </c>
      <c r="E667" s="1" t="n">
        <v>46320</v>
      </c>
      <c r="F667" t="inlineStr">
        <is>
          <t>ÖSTERGÖTLANDS LÄN</t>
        </is>
      </c>
      <c r="G667" t="inlineStr">
        <is>
          <t>NORRKÖPING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45012</v>
      </c>
      <c r="E668" s="1" t="n">
        <v>46320</v>
      </c>
      <c r="F668" t="inlineStr">
        <is>
          <t>ÖSTERGÖTLANDS LÄN</t>
        </is>
      </c>
      <c r="G668" t="inlineStr">
        <is>
          <t>NORRKÖPING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45237</v>
      </c>
      <c r="E669" s="1" t="n">
        <v>46320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Kyrkan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46320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19287-2025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46320</v>
      </c>
      <c r="F671" t="inlineStr">
        <is>
          <t>ÖSTERGÖTLANDS LÄN</t>
        </is>
      </c>
      <c r="G671" t="inlineStr">
        <is>
          <t>NORRKÖPING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45769</v>
      </c>
      <c r="E672" s="1" t="n">
        <v>46320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46320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44860</v>
      </c>
      <c r="E674" s="1" t="n">
        <v>46320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45741</v>
      </c>
      <c r="E675" s="1" t="n">
        <v>46320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57413-2022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44896</v>
      </c>
      <c r="E676" s="1" t="n">
        <v>46320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57979-2022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44900</v>
      </c>
      <c r="E677" s="1" t="n">
        <v>46320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46320</v>
      </c>
      <c r="F678" t="inlineStr">
        <is>
          <t>ÖSTERGÖTLANDS LÄN</t>
        </is>
      </c>
      <c r="G678" t="inlineStr">
        <is>
          <t>NORRKÖPING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57733-2022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44897</v>
      </c>
      <c r="E679" s="1" t="n">
        <v>46320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44928</v>
      </c>
      <c r="E680" s="1" t="n">
        <v>46320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62376-2022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44923</v>
      </c>
      <c r="E681" s="1" t="n">
        <v>46320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59586-2022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44907</v>
      </c>
      <c r="E682" s="1" t="n">
        <v>46320</v>
      </c>
      <c r="F682" t="inlineStr">
        <is>
          <t>ÖSTERGÖTLANDS LÄN</t>
        </is>
      </c>
      <c r="G682" t="inlineStr">
        <is>
          <t>NORRKÖPING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44588</v>
      </c>
      <c r="E683" s="1" t="n">
        <v>46320</v>
      </c>
      <c r="F683" t="inlineStr">
        <is>
          <t>ÖSTERGÖTLANDS LÄN</t>
        </is>
      </c>
      <c r="G683" t="inlineStr">
        <is>
          <t>NORRKÖPING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46320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44783</v>
      </c>
      <c r="E685" s="1" t="n">
        <v>46320</v>
      </c>
      <c r="F685" t="inlineStr">
        <is>
          <t>ÖSTERGÖTLANDS LÄN</t>
        </is>
      </c>
      <c r="G685" t="inlineStr">
        <is>
          <t>NORRKÖPING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46320</v>
      </c>
      <c r="F686" t="inlineStr">
        <is>
          <t>ÖSTERGÖTLANDS LÄN</t>
        </is>
      </c>
      <c r="G686" t="inlineStr">
        <is>
          <t>NORRKÖPING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46320</v>
      </c>
      <c r="F687" t="inlineStr">
        <is>
          <t>ÖSTERGÖTLANDS LÄN</t>
        </is>
      </c>
      <c r="G687" t="inlineStr">
        <is>
          <t>NORRKÖPING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46320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45339</v>
      </c>
      <c r="E689" s="1" t="n">
        <v>46320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46320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59520-2023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45254</v>
      </c>
      <c r="E691" s="1" t="n">
        <v>46320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BillerudKorsnäs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44607</v>
      </c>
      <c r="E692" s="1" t="n">
        <v>46320</v>
      </c>
      <c r="F692" t="inlineStr">
        <is>
          <t>ÖSTERGÖTLANDS LÄN</t>
        </is>
      </c>
      <c r="G692" t="inlineStr">
        <is>
          <t>NORRKÖPING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46320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26391-2023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45092</v>
      </c>
      <c r="E694" s="1" t="n">
        <v>46320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45006</v>
      </c>
      <c r="E695" s="1" t="n">
        <v>46320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45030</v>
      </c>
      <c r="E696" s="1" t="n">
        <v>46320</v>
      </c>
      <c r="F696" t="inlineStr">
        <is>
          <t>ÖSTERGÖTLANDS LÄN</t>
        </is>
      </c>
      <c r="G696" t="inlineStr">
        <is>
          <t>NORRKÖPING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45030</v>
      </c>
      <c r="E697" s="1" t="n">
        <v>46320</v>
      </c>
      <c r="F697" t="inlineStr">
        <is>
          <t>ÖSTERGÖTLANDS LÄN</t>
        </is>
      </c>
      <c r="G697" t="inlineStr">
        <is>
          <t>NORRKÖPING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46320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45110</v>
      </c>
      <c r="E699" s="1" t="n">
        <v>46320</v>
      </c>
      <c r="F699" t="inlineStr">
        <is>
          <t>ÖSTERGÖTLANDS LÄN</t>
        </is>
      </c>
      <c r="G699" t="inlineStr">
        <is>
          <t>NORRKÖPING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46320</v>
      </c>
      <c r="F700" t="inlineStr">
        <is>
          <t>ÖSTERGÖTLANDS LÄN</t>
        </is>
      </c>
      <c r="G700" t="inlineStr">
        <is>
          <t>NORRKÖPING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46320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46320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44957</v>
      </c>
      <c r="E703" s="1" t="n">
        <v>46320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59768-2021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46320</v>
      </c>
      <c r="F704" t="inlineStr">
        <is>
          <t>ÖSTERGÖTLANDS LÄN</t>
        </is>
      </c>
      <c r="G704" t="inlineStr">
        <is>
          <t>NORRKÖPING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8220-2023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46320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45771</v>
      </c>
      <c r="E706" s="1" t="n">
        <v>46320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59221-2024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45637</v>
      </c>
      <c r="E707" s="1" t="n">
        <v>46320</v>
      </c>
      <c r="F707" t="inlineStr">
        <is>
          <t>ÖSTERGÖTLANDS LÄN</t>
        </is>
      </c>
      <c r="G707" t="inlineStr">
        <is>
          <t>NORRKÖPING</t>
        </is>
      </c>
      <c r="I707" t="n">
        <v>24.7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48758-2024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45593</v>
      </c>
      <c r="E708" s="1" t="n">
        <v>46320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33170-2023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45126</v>
      </c>
      <c r="E709" s="1" t="n">
        <v>46320</v>
      </c>
      <c r="F709" t="inlineStr">
        <is>
          <t>ÖSTERGÖTLANDS LÄN</t>
        </is>
      </c>
      <c r="G709" t="inlineStr">
        <is>
          <t>NORRKÖPING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45126</v>
      </c>
      <c r="E710" s="1" t="n">
        <v>46320</v>
      </c>
      <c r="F710" t="inlineStr">
        <is>
          <t>ÖSTERGÖTLANDS LÄN</t>
        </is>
      </c>
      <c r="G710" t="inlineStr">
        <is>
          <t>NORRKÖPING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45141</v>
      </c>
      <c r="E711" s="1" t="n">
        <v>46320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45145</v>
      </c>
      <c r="E712" s="1" t="n">
        <v>46320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45400</v>
      </c>
      <c r="E713" s="1" t="n">
        <v>46320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15640-2024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45403</v>
      </c>
      <c r="E714" s="1" t="n">
        <v>46320</v>
      </c>
      <c r="F714" t="inlineStr">
        <is>
          <t>ÖSTERGÖTLANDS LÄN</t>
        </is>
      </c>
      <c r="G714" t="inlineStr">
        <is>
          <t>NORRKÖPING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44935</v>
      </c>
      <c r="E715" s="1" t="n">
        <v>46320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31359-2023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45114</v>
      </c>
      <c r="E716" s="1" t="n">
        <v>46320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45114</v>
      </c>
      <c r="E717" s="1" t="n">
        <v>46320</v>
      </c>
      <c r="F717" t="inlineStr">
        <is>
          <t>ÖSTERGÖTLANDS LÄN</t>
        </is>
      </c>
      <c r="G717" t="inlineStr">
        <is>
          <t>NORRKÖPING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38441-2024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46320</v>
      </c>
      <c r="F718" t="inlineStr">
        <is>
          <t>ÖSTERGÖTLANDS LÄN</t>
        </is>
      </c>
      <c r="G718" t="inlineStr">
        <is>
          <t>NORRKÖPING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8806-2024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46320</v>
      </c>
      <c r="F719" t="inlineStr">
        <is>
          <t>ÖSTERGÖTLANDS LÄN</t>
        </is>
      </c>
      <c r="G719" t="inlineStr">
        <is>
          <t>NORRKÖPING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46320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62049-2023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46320</v>
      </c>
      <c r="F721" t="inlineStr">
        <is>
          <t>ÖSTERGÖTLANDS LÄN</t>
        </is>
      </c>
      <c r="G721" t="inlineStr">
        <is>
          <t>NORRKÖPING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16949-2023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45033</v>
      </c>
      <c r="E722" s="1" t="n">
        <v>46320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70378-2021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44536</v>
      </c>
      <c r="E723" s="1" t="n">
        <v>46320</v>
      </c>
      <c r="F723" t="inlineStr">
        <is>
          <t>ÖSTERGÖTLANDS LÄN</t>
        </is>
      </c>
      <c r="G723" t="inlineStr">
        <is>
          <t>NORRKÖPING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5868-2022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44596</v>
      </c>
      <c r="E724" s="1" t="n">
        <v>46320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1506-2022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44573</v>
      </c>
      <c r="E725" s="1" t="n">
        <v>46320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45550</v>
      </c>
      <c r="E726" s="1" t="n">
        <v>46320</v>
      </c>
      <c r="F726" t="inlineStr">
        <is>
          <t>ÖSTERGÖTLANDS LÄN</t>
        </is>
      </c>
      <c r="G726" t="inlineStr">
        <is>
          <t>NORRKÖPING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46320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37700-2023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45159</v>
      </c>
      <c r="E728" s="1" t="n">
        <v>46320</v>
      </c>
      <c r="F728" t="inlineStr">
        <is>
          <t>ÖSTERGÖTLANDS LÄN</t>
        </is>
      </c>
      <c r="G728" t="inlineStr">
        <is>
          <t>NORRKÖPING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45432</v>
      </c>
      <c r="E729" s="1" t="n">
        <v>46320</v>
      </c>
      <c r="F729" t="inlineStr">
        <is>
          <t>ÖSTERGÖTLANDS LÄN</t>
        </is>
      </c>
      <c r="G729" t="inlineStr">
        <is>
          <t>NORRKÖPING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18705-2023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45043</v>
      </c>
      <c r="E730" s="1" t="n">
        <v>46320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43344-2023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46320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43346-2023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45183</v>
      </c>
      <c r="E732" s="1" t="n">
        <v>46320</v>
      </c>
      <c r="F732" t="inlineStr">
        <is>
          <t>ÖSTERGÖTLANDS LÄN</t>
        </is>
      </c>
      <c r="G732" t="inlineStr">
        <is>
          <t>NORRKÖPING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45673</v>
      </c>
      <c r="E733" s="1" t="n">
        <v>46320</v>
      </c>
      <c r="F733" t="inlineStr">
        <is>
          <t>ÖSTERGÖTLANDS LÄN</t>
        </is>
      </c>
      <c r="G733" t="inlineStr">
        <is>
          <t>NORRKÖPING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19844-2023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45053</v>
      </c>
      <c r="E734" s="1" t="n">
        <v>46320</v>
      </c>
      <c r="F734" t="inlineStr">
        <is>
          <t>ÖSTERGÖTLANDS LÄN</t>
        </is>
      </c>
      <c r="G734" t="inlineStr">
        <is>
          <t>NORRKÖPING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50678-2023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45217</v>
      </c>
      <c r="E735" s="1" t="n">
        <v>46320</v>
      </c>
      <c r="F735" t="inlineStr">
        <is>
          <t>ÖSTERGÖTLANDS LÄN</t>
        </is>
      </c>
      <c r="G735" t="inlineStr">
        <is>
          <t>NORRKÖPING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45636</v>
      </c>
      <c r="E736" s="1" t="n">
        <v>46320</v>
      </c>
      <c r="F736" t="inlineStr">
        <is>
          <t>ÖSTERGÖTLANDS LÄN</t>
        </is>
      </c>
      <c r="G736" t="inlineStr">
        <is>
          <t>NORRKÖPING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45313</v>
      </c>
      <c r="E737" s="1" t="n">
        <v>46320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45121</v>
      </c>
      <c r="E738" s="1" t="n">
        <v>46320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48091-2023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45205</v>
      </c>
      <c r="E739" s="1" t="n">
        <v>46320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48122-2023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46320</v>
      </c>
      <c r="F740" t="inlineStr">
        <is>
          <t>ÖSTERGÖTLANDS LÄN</t>
        </is>
      </c>
      <c r="G740" t="inlineStr">
        <is>
          <t>NORRKÖPING</t>
        </is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44679</v>
      </c>
      <c r="E741" s="1" t="n">
        <v>46320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18128-2025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45761</v>
      </c>
      <c r="E742" s="1" t="n">
        <v>46320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11344-2022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44630</v>
      </c>
      <c r="E743" s="1" t="n">
        <v>46320</v>
      </c>
      <c r="F743" t="inlineStr">
        <is>
          <t>ÖSTERGÖTLANDS LÄN</t>
        </is>
      </c>
      <c r="G743" t="inlineStr">
        <is>
          <t>NORRKÖPING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49462-2023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45211</v>
      </c>
      <c r="E744" s="1" t="n">
        <v>46320</v>
      </c>
      <c r="F744" t="inlineStr">
        <is>
          <t>ÖSTERGÖTLANDS LÄN</t>
        </is>
      </c>
      <c r="G744" t="inlineStr">
        <is>
          <t>NORRKÖPING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14138-2022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44651</v>
      </c>
      <c r="E745" s="1" t="n">
        <v>46320</v>
      </c>
      <c r="F745" t="inlineStr">
        <is>
          <t>ÖSTERGÖTLANDS LÄN</t>
        </is>
      </c>
      <c r="G745" t="inlineStr">
        <is>
          <t>NORRKÖPING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45446</v>
      </c>
      <c r="E746" s="1" t="n">
        <v>46320</v>
      </c>
      <c r="F746" t="inlineStr">
        <is>
          <t>ÖSTERGÖTLANDS LÄN</t>
        </is>
      </c>
      <c r="G746" t="inlineStr">
        <is>
          <t>NORRKÖPING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22322-2024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45446</v>
      </c>
      <c r="E747" s="1" t="n">
        <v>46320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59544-2023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45254</v>
      </c>
      <c r="E748" s="1" t="n">
        <v>46320</v>
      </c>
      <c r="F748" t="inlineStr">
        <is>
          <t>ÖSTERGÖTLANDS LÄN</t>
        </is>
      </c>
      <c r="G748" t="inlineStr">
        <is>
          <t>NORRKÖPING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45215</v>
      </c>
      <c r="E749" s="1" t="n">
        <v>46320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44197-2023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46320</v>
      </c>
      <c r="F750" t="inlineStr">
        <is>
          <t>ÖSTERGÖTLANDS LÄN</t>
        </is>
      </c>
      <c r="G750" t="inlineStr">
        <is>
          <t>NORRKÖPING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9542-2025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46320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11140-2025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46320</v>
      </c>
      <c r="F752" t="inlineStr">
        <is>
          <t>ÖSTERGÖTLANDS LÄN</t>
        </is>
      </c>
      <c r="G752" t="inlineStr">
        <is>
          <t>NORRKÖPING</t>
        </is>
      </c>
      <c r="I752" t="n">
        <v>13.9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6568-2025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45699</v>
      </c>
      <c r="E753" s="1" t="n">
        <v>46320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45204</v>
      </c>
      <c r="E754" s="1" t="n">
        <v>46320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Naturvårdsverket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46320</v>
      </c>
      <c r="F755" t="inlineStr">
        <is>
          <t>ÖSTERGÖTLANDS LÄN</t>
        </is>
      </c>
      <c r="G755" t="inlineStr">
        <is>
          <t>NORRKÖPING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15459-2024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46320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45274</v>
      </c>
      <c r="E757" s="1" t="n">
        <v>46320</v>
      </c>
      <c r="F757" t="inlineStr">
        <is>
          <t>ÖSTERGÖTLANDS LÄN</t>
        </is>
      </c>
      <c r="G757" t="inlineStr">
        <is>
          <t>NORRKÖPING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58936-2023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45252</v>
      </c>
      <c r="E758" s="1" t="n">
        <v>46320</v>
      </c>
      <c r="F758" t="inlineStr">
        <is>
          <t>ÖSTERGÖTLANDS LÄN</t>
        </is>
      </c>
      <c r="G758" t="inlineStr">
        <is>
          <t>NORRKÖPING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45191</v>
      </c>
      <c r="E759" s="1" t="n">
        <v>46320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17821-2025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45758</v>
      </c>
      <c r="E760" s="1" t="n">
        <v>46320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59964-2023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46320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57492-2023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45246</v>
      </c>
      <c r="E762" s="1" t="n">
        <v>46320</v>
      </c>
      <c r="F762" t="inlineStr">
        <is>
          <t>ÖSTERGÖTLANDS LÄN</t>
        </is>
      </c>
      <c r="G762" t="inlineStr">
        <is>
          <t>NORRKÖPING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57496-2023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46320</v>
      </c>
      <c r="F763" t="inlineStr">
        <is>
          <t>ÖSTERGÖTLANDS LÄN</t>
        </is>
      </c>
      <c r="G763" t="inlineStr">
        <is>
          <t>NORRKÖPING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44956</v>
      </c>
      <c r="E764" s="1" t="n">
        <v>46320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44956</v>
      </c>
      <c r="E765" s="1" t="n">
        <v>46320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45252</v>
      </c>
      <c r="E766" s="1" t="n">
        <v>46320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62875-2023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45272</v>
      </c>
      <c r="E767" s="1" t="n">
        <v>46320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45399</v>
      </c>
      <c r="E768" s="1" t="n">
        <v>46320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45317</v>
      </c>
      <c r="E769" s="1" t="n">
        <v>46320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49778-2022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44862</v>
      </c>
      <c r="E770" s="1" t="n">
        <v>46320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45716</v>
      </c>
      <c r="E771" s="1" t="n">
        <v>46320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62033-2023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45266</v>
      </c>
      <c r="E772" s="1" t="n">
        <v>46320</v>
      </c>
      <c r="F772" t="inlineStr">
        <is>
          <t>ÖSTERGÖTLANDS LÄN</t>
        </is>
      </c>
      <c r="G772" t="inlineStr">
        <is>
          <t>NORRKÖPING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48786-2022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44859</v>
      </c>
      <c r="E773" s="1" t="n">
        <v>46320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46320</v>
      </c>
      <c r="F774" t="inlineStr">
        <is>
          <t>ÖSTERGÖTLANDS LÄN</t>
        </is>
      </c>
      <c r="G774" t="inlineStr">
        <is>
          <t>NORRKÖPING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62061-2023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45266</v>
      </c>
      <c r="E775" s="1" t="n">
        <v>46320</v>
      </c>
      <c r="F775" t="inlineStr">
        <is>
          <t>ÖSTERGÖTLANDS LÄN</t>
        </is>
      </c>
      <c r="G775" t="inlineStr">
        <is>
          <t>NORRKÖPING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44851</v>
      </c>
      <c r="E776" s="1" t="n">
        <v>46320</v>
      </c>
      <c r="F776" t="inlineStr">
        <is>
          <t>ÖSTERGÖTLANDS LÄN</t>
        </is>
      </c>
      <c r="G776" t="inlineStr">
        <is>
          <t>NORRKÖPING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31844-2023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45106</v>
      </c>
      <c r="E777" s="1" t="n">
        <v>46320</v>
      </c>
      <c r="F777" t="inlineStr">
        <is>
          <t>ÖSTERGÖTLANDS LÄN</t>
        </is>
      </c>
      <c r="G777" t="inlineStr">
        <is>
          <t>NORRKÖPING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18686-2023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45043</v>
      </c>
      <c r="E778" s="1" t="n">
        <v>46320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30834-2022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44767</v>
      </c>
      <c r="E779" s="1" t="n">
        <v>46320</v>
      </c>
      <c r="F779" t="inlineStr">
        <is>
          <t>ÖSTERGÖTLANDS LÄN</t>
        </is>
      </c>
      <c r="G779" t="inlineStr">
        <is>
          <t>NORRKÖPING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62529-2023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45268</v>
      </c>
      <c r="E780" s="1" t="n">
        <v>46320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6067-2022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44599</v>
      </c>
      <c r="E781" s="1" t="n">
        <v>46320</v>
      </c>
      <c r="F781" t="inlineStr">
        <is>
          <t>ÖSTERGÖTLANDS LÄN</t>
        </is>
      </c>
      <c r="G781" t="inlineStr">
        <is>
          <t>NORRKÖPING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44597</v>
      </c>
      <c r="E782" s="1" t="n">
        <v>46320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46320</v>
      </c>
      <c r="F783" t="inlineStr">
        <is>
          <t>ÖSTERGÖTLANDS LÄN</t>
        </is>
      </c>
      <c r="G783" t="inlineStr">
        <is>
          <t>NORRKÖPING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29622-2022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44754</v>
      </c>
      <c r="E784" s="1" t="n">
        <v>46320</v>
      </c>
      <c r="F784" t="inlineStr">
        <is>
          <t>ÖSTERGÖTLANDS LÄN</t>
        </is>
      </c>
      <c r="G784" t="inlineStr">
        <is>
          <t>NORRKÖPING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26583-2022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44739</v>
      </c>
      <c r="E785" s="1" t="n">
        <v>46320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44970</v>
      </c>
      <c r="E786" s="1" t="n">
        <v>46320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50119-2023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45215</v>
      </c>
      <c r="E787" s="1" t="n">
        <v>46320</v>
      </c>
      <c r="F787" t="inlineStr">
        <is>
          <t>ÖSTERGÖTLANDS LÄN</t>
        </is>
      </c>
      <c r="G787" t="inlineStr">
        <is>
          <t>NORRKÖPING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45106</v>
      </c>
      <c r="E788" s="1" t="n">
        <v>46320</v>
      </c>
      <c r="F788" t="inlineStr">
        <is>
          <t>ÖSTERGÖTLANDS LÄN</t>
        </is>
      </c>
      <c r="G788" t="inlineStr">
        <is>
          <t>NORRKÖPING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19853-2023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45053</v>
      </c>
      <c r="E789" s="1" t="n">
        <v>46320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12814-2025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45733</v>
      </c>
      <c r="E790" s="1" t="n">
        <v>46320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50960-2022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44867</v>
      </c>
      <c r="E791" s="1" t="n">
        <v>46320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18661-2023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45043</v>
      </c>
      <c r="E792" s="1" t="n">
        <v>46320</v>
      </c>
      <c r="F792" t="inlineStr">
        <is>
          <t>ÖSTERGÖTLANDS LÄN</t>
        </is>
      </c>
      <c r="G792" t="inlineStr">
        <is>
          <t>NORRKÖPING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49487-2022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44861</v>
      </c>
      <c r="E793" s="1" t="n">
        <v>46320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13918-2023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45008</v>
      </c>
      <c r="E794" s="1" t="n">
        <v>46320</v>
      </c>
      <c r="F794" t="inlineStr">
        <is>
          <t>ÖSTERGÖTLANDS LÄN</t>
        </is>
      </c>
      <c r="G794" t="inlineStr">
        <is>
          <t>NORRKÖPING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46320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1281-2023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44936</v>
      </c>
      <c r="E796" s="1" t="n">
        <v>46320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45030</v>
      </c>
      <c r="E797" s="1" t="n">
        <v>46320</v>
      </c>
      <c r="F797" t="inlineStr">
        <is>
          <t>ÖSTERGÖTLANDS LÄN</t>
        </is>
      </c>
      <c r="G797" t="inlineStr">
        <is>
          <t>NORRKÖPING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45174</v>
      </c>
      <c r="E798" s="1" t="n">
        <v>46320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45174</v>
      </c>
      <c r="E799" s="1" t="n">
        <v>46320</v>
      </c>
      <c r="F799" t="inlineStr">
        <is>
          <t>ÖSTERGÖTLANDS LÄN</t>
        </is>
      </c>
      <c r="G799" t="inlineStr">
        <is>
          <t>NORRKÖPING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11261-2023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44992</v>
      </c>
      <c r="E800" s="1" t="n">
        <v>46320</v>
      </c>
      <c r="F800" t="inlineStr">
        <is>
          <t>ÖSTERGÖTLANDS LÄN</t>
        </is>
      </c>
      <c r="G800" t="inlineStr">
        <is>
          <t>NORRKÖPING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46320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2289-2020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44130</v>
      </c>
      <c r="E802" s="1" t="n">
        <v>46320</v>
      </c>
      <c r="F802" t="inlineStr">
        <is>
          <t>ÖSTERGÖTLANDS LÄN</t>
        </is>
      </c>
      <c r="G802" t="inlineStr">
        <is>
          <t>NORRKÖPING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161-2021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44230</v>
      </c>
      <c r="E803" s="1" t="n">
        <v>46320</v>
      </c>
      <c r="F803" t="inlineStr">
        <is>
          <t>ÖSTERGÖTLANDS LÄN</t>
        </is>
      </c>
      <c r="G803" t="inlineStr">
        <is>
          <t>NORRKÖPING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46320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46320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46320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46320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46320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4973-2024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45629</v>
      </c>
      <c r="E809" s="1" t="n">
        <v>46320</v>
      </c>
      <c r="F809" t="inlineStr">
        <is>
          <t>ÖSTERGÖTLANDS LÄN</t>
        </is>
      </c>
      <c r="G809" t="inlineStr">
        <is>
          <t>NORRKÖPING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45571</v>
      </c>
      <c r="E810" s="1" t="n">
        <v>46320</v>
      </c>
      <c r="F810" t="inlineStr">
        <is>
          <t>ÖSTERGÖTLANDS LÄN</t>
        </is>
      </c>
      <c r="G810" t="inlineStr">
        <is>
          <t>NORRKÖPING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1663-2024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45432</v>
      </c>
      <c r="E811" s="1" t="n">
        <v>46320</v>
      </c>
      <c r="F811" t="inlineStr">
        <is>
          <t>ÖSTERGÖTLANDS LÄN</t>
        </is>
      </c>
      <c r="G811" t="inlineStr">
        <is>
          <t>NORRKÖPING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4012-2024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45571</v>
      </c>
      <c r="E812" s="1" t="n">
        <v>46320</v>
      </c>
      <c r="F812" t="inlineStr">
        <is>
          <t>ÖSTERGÖTLANDS LÄN</t>
        </is>
      </c>
      <c r="G812" t="inlineStr">
        <is>
          <t>NORRKÖPING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1486-2025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45789</v>
      </c>
      <c r="E813" s="1" t="n">
        <v>46320</v>
      </c>
      <c r="F813" t="inlineStr">
        <is>
          <t>ÖSTERGÖTLANDS LÄN</t>
        </is>
      </c>
      <c r="G813" t="inlineStr">
        <is>
          <t>NORRKÖPING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1433-2025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45784</v>
      </c>
      <c r="E814" s="1" t="n">
        <v>46320</v>
      </c>
      <c r="F814" t="inlineStr">
        <is>
          <t>ÖSTERGÖTLANDS LÄN</t>
        </is>
      </c>
      <c r="G814" t="inlineStr">
        <is>
          <t>NORRKÖPING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2026-10-25T02:07:57Z</dcterms:created>
  <dcterms:modified xmlns:dcterms="http://purl.org/dc/terms/" xmlns:xsi="http://www.w3.org/2001/XMLSchema-instance" xsi:type="dcterms:W3CDTF">2026-10-25T02:07:58Z</dcterms:modified>
</cp:coreProperties>
</file>