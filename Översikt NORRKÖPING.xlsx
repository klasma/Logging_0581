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46194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  <c r="Z8">
        <f>HYPERLINK("https://klasma.github.io/Logging_0581/fåglar/A 45701-2024 prioriterade fågelarter.docx", "A 45701-2024")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Lakritsmusseron
Blå taggsvamp
Dropptaggsvamp
Dvärgbägarlav
Gropticka
Kolflarnlav
Motaggsvamp
Orange taggsvamp
Ullticka
Vedskivlav
Blomkålssvamp
Spillkråka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s="1" t="n">
        <v>46120</v>
      </c>
      <c r="C10" s="1" t="n">
        <v>46194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2.3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13</v>
      </c>
      <c r="R10" s="2" t="inlineStr">
        <is>
          <t>Knärot
Ullticka
Vedskivlav
Blomkålssvamp
Bronshjon
Fällmossa
Grönpyrola
Platt fjädermossa
Vedticka
Västlig hakmossa
Blåsippa
Skriftlav
Spillkråka</t>
        </is>
      </c>
      <c r="S10">
        <f>HYPERLINK("https://klasma.github.io/Logging_0581/artfynd/A 17462-2026 artfynd.xlsx", "A 17462-2026")</f>
        <v/>
      </c>
      <c r="T10">
        <f>HYPERLINK("https://klasma.github.io/Logging_0581/kartor/A 17462-2026 karta.png", "A 17462-2026")</f>
        <v/>
      </c>
      <c r="U10">
        <f>HYPERLINK("https://klasma.github.io/Logging_0581/knärot/A 17462-2026 karta knärot.png", "A 17462-2026")</f>
        <v/>
      </c>
      <c r="V10">
        <f>HYPERLINK("https://klasma.github.io/Logging_0581/klagomål/A 17462-2026 FSC-klagomål.docx", "A 17462-2026")</f>
        <v/>
      </c>
      <c r="W10">
        <f>HYPERLINK("https://klasma.github.io/Logging_0581/klagomålsmail/A 17462-2026 FSC-klagomål mail.docx", "A 17462-2026")</f>
        <v/>
      </c>
      <c r="X10">
        <f>HYPERLINK("https://klasma.github.io/Logging_0581/tillsyn/A 17462-2026 tillsynsbegäran.docx", "A 17462-2026")</f>
        <v/>
      </c>
      <c r="Y10">
        <f>HYPERLINK("https://klasma.github.io/Logging_0581/tillsynsmail/A 17462-2026 tillsynsbegäran mail.docx", "A 17462-2026")</f>
        <v/>
      </c>
      <c r="Z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s="1" t="n">
        <v>45922</v>
      </c>
      <c r="C11" s="1" t="n">
        <v>46194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3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13</v>
      </c>
      <c r="R11" s="2" t="inlineStr">
        <is>
          <t>Knärot
Dvärgbägarlav
Motaggsvamp
Tallticka
Ullticka
Vedskivlav
Blomkålssvamp
Bronshjon
Grovticka
Grönpyrola
Mindre märgborre
Spillkråka
Vanlig snok</t>
        </is>
      </c>
      <c r="S11">
        <f>HYPERLINK("https://klasma.github.io/Logging_0581/artfynd/A 45488-2025 artfynd.xlsx", "A 45488-2025")</f>
        <v/>
      </c>
      <c r="T11">
        <f>HYPERLINK("https://klasma.github.io/Logging_0581/kartor/A 45488-2025 karta.png", "A 45488-2025")</f>
        <v/>
      </c>
      <c r="U11">
        <f>HYPERLINK("https://klasma.github.io/Logging_0581/knärot/A 45488-2025 karta knärot.png", "A 45488-2025")</f>
        <v/>
      </c>
      <c r="V11">
        <f>HYPERLINK("https://klasma.github.io/Logging_0581/klagomål/A 45488-2025 FSC-klagomål.docx", "A 45488-2025")</f>
        <v/>
      </c>
      <c r="W11">
        <f>HYPERLINK("https://klasma.github.io/Logging_0581/klagomålsmail/A 45488-2025 FSC-klagomål mail.docx", "A 45488-2025")</f>
        <v/>
      </c>
      <c r="X11">
        <f>HYPERLINK("https://klasma.github.io/Logging_0581/tillsyn/A 45488-2025 tillsynsbegäran.docx", "A 45488-2025")</f>
        <v/>
      </c>
      <c r="Y11">
        <f>HYPERLINK("https://klasma.github.io/Logging_0581/tillsynsmail/A 45488-2025 tillsynsbegäran mail.docx", "A 45488-2025")</f>
        <v/>
      </c>
      <c r="Z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46194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46194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46194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3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9</v>
      </c>
      <c r="R15" s="2" t="inlineStr">
        <is>
          <t>Lunglav
Scharlakansvaxing
Bårdlav
Fällmossa
Platt fjädermossa
Skinnlav
Blåsippa
Trana
Utter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  <c r="Z15">
        <f>HYPERLINK("https://klasma.github.io/Logging_0581/fåglar/A 51531-2024 prioriterade fågelarter.docx", "A 51531-2024")</f>
        <v/>
      </c>
    </row>
    <row r="16" ht="15" customHeight="1">
      <c r="A16" t="inlineStr">
        <is>
          <t>A 45509-2025</t>
        </is>
      </c>
      <c r="B16" s="1" t="n">
        <v>45922</v>
      </c>
      <c r="C16" s="1" t="n">
        <v>46194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Dropptaggsvamp
Motaggsvamp
Orange taggsvamp
Tallticka
Fällmossa
Platt fjädermossa
Blåsippa
Vanlig snok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s="1" t="n">
        <v>45086</v>
      </c>
      <c r="C17" s="1" t="n">
        <v>46194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9</v>
      </c>
      <c r="H17" t="n">
        <v>1</v>
      </c>
      <c r="I17" t="n">
        <v>3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6</v>
      </c>
      <c r="P17" t="n">
        <v>2</v>
      </c>
      <c r="Q17" t="n">
        <v>9</v>
      </c>
      <c r="R17" s="2" t="inlineStr">
        <is>
          <t>Granlundlav
Hasselsnok
Lunglav
Rosa skärelav
Tallticka
Vedskivlav
Fällmossa
Grovticka
Klippfrullania</t>
        </is>
      </c>
      <c r="S17">
        <f>HYPERLINK("https://klasma.github.io/Logging_0581/artfynd/A 26385-2023 artfynd.xlsx", "A 26385-2023")</f>
        <v/>
      </c>
      <c r="T17">
        <f>HYPERLINK("https://klasma.github.io/Logging_0581/kartor/A 26385-2023 karta.png", "A 26385-2023")</f>
        <v/>
      </c>
      <c r="V17">
        <f>HYPERLINK("https://klasma.github.io/Logging_0581/klagomål/A 26385-2023 FSC-klagomål.docx", "A 26385-2023")</f>
        <v/>
      </c>
      <c r="W17">
        <f>HYPERLINK("https://klasma.github.io/Logging_0581/klagomålsmail/A 26385-2023 FSC-klagomål mail.docx", "A 26385-2023")</f>
        <v/>
      </c>
      <c r="X17">
        <f>HYPERLINK("https://klasma.github.io/Logging_0581/tillsyn/A 26385-2023 tillsynsbegäran.docx", "A 26385-2023")</f>
        <v/>
      </c>
      <c r="Y17">
        <f>HYPERLINK("https://klasma.github.io/Logging_0581/tillsynsmail/A 26385-2023 tillsynsbegäran mail.docx", "A 26385-2023")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46194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37730-2025</t>
        </is>
      </c>
      <c r="B19" s="1" t="n">
        <v>45880</v>
      </c>
      <c r="C19" s="1" t="n">
        <v>46194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4.2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Blek kryptolav
Kandelabersvamp
Motaggsvamp
Skogsklocka
Svinrot
Tallticka
Vippärt
Stekelbock
Blåsippa</t>
        </is>
      </c>
      <c r="S19">
        <f>HYPERLINK("https://klasma.github.io/Logging_0581/artfynd/A 37730-2025 artfynd.xlsx", "A 37730-2025")</f>
        <v/>
      </c>
      <c r="T19">
        <f>HYPERLINK("https://klasma.github.io/Logging_0581/kartor/A 37730-2025 karta.png", "A 37730-2025")</f>
        <v/>
      </c>
      <c r="V19">
        <f>HYPERLINK("https://klasma.github.io/Logging_0581/klagomål/A 37730-2025 FSC-klagomål.docx", "A 37730-2025")</f>
        <v/>
      </c>
      <c r="W19">
        <f>HYPERLINK("https://klasma.github.io/Logging_0581/klagomålsmail/A 37730-2025 FSC-klagomål mail.docx", "A 37730-2025")</f>
        <v/>
      </c>
      <c r="X19">
        <f>HYPERLINK("https://klasma.github.io/Logging_0581/tillsyn/A 37730-2025 tillsynsbegäran.docx", "A 37730-2025")</f>
        <v/>
      </c>
      <c r="Y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46194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46194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46194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46194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46194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21536-2025</t>
        </is>
      </c>
      <c r="B30" s="1" t="n">
        <v>45782</v>
      </c>
      <c r="C30" s="1" t="n">
        <v>46194</v>
      </c>
      <c r="D30" t="inlineStr">
        <is>
          <t>ÖSTERGÖTLANDS LÄN</t>
        </is>
      </c>
      <c r="E30" t="inlineStr">
        <is>
          <t>NORRKÖPING</t>
        </is>
      </c>
      <c r="G30" t="n">
        <v>6.2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Reliktbock
Tjockfotad fingersvamp
Grovticka
Grön sköldmossa
Stubbspretmossa</t>
        </is>
      </c>
      <c r="S30">
        <f>HYPERLINK("https://klasma.github.io/Logging_0581/artfynd/A 21536-2025 artfynd.xlsx", "A 21536-2025")</f>
        <v/>
      </c>
      <c r="T30">
        <f>HYPERLINK("https://klasma.github.io/Logging_0581/kartor/A 21536-2025 karta.png", "A 21536-2025")</f>
        <v/>
      </c>
      <c r="V30">
        <f>HYPERLINK("https://klasma.github.io/Logging_0581/klagomål/A 21536-2025 FSC-klagomål.docx", "A 21536-2025")</f>
        <v/>
      </c>
      <c r="W30">
        <f>HYPERLINK("https://klasma.github.io/Logging_0581/klagomålsmail/A 21536-2025 FSC-klagomål mail.docx", "A 21536-2025")</f>
        <v/>
      </c>
      <c r="X30">
        <f>HYPERLINK("https://klasma.github.io/Logging_0581/tillsyn/A 21536-2025 tillsynsbegäran.docx", "A 21536-2025")</f>
        <v/>
      </c>
      <c r="Y30">
        <f>HYPERLINK("https://klasma.github.io/Logging_0581/tillsynsmail/A 21536-2025 tillsynsbegäran mail.docx", "A 21536-2025")</f>
        <v/>
      </c>
    </row>
    <row r="31" ht="15" customHeight="1">
      <c r="A31" t="inlineStr">
        <is>
          <t>A 2165-2022</t>
        </is>
      </c>
      <c r="B31" s="1" t="n">
        <v>44578</v>
      </c>
      <c r="C31" s="1" t="n">
        <v>46194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BillerudKorsnäs AB</t>
        </is>
      </c>
      <c r="G31" t="n">
        <v>2.1</v>
      </c>
      <c r="H31" t="n">
        <v>3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Röd skogslilja
Granbarkgnagare
Purpurknipprot
Stubbspretmossa
Blåsippa</t>
        </is>
      </c>
      <c r="S31">
        <f>HYPERLINK("https://klasma.github.io/Logging_0581/artfynd/A 2165-2022 artfynd.xlsx", "A 2165-2022")</f>
        <v/>
      </c>
      <c r="T31">
        <f>HYPERLINK("https://klasma.github.io/Logging_0581/kartor/A 2165-2022 karta.png", "A 2165-2022")</f>
        <v/>
      </c>
      <c r="V31">
        <f>HYPERLINK("https://klasma.github.io/Logging_0581/klagomål/A 2165-2022 FSC-klagomål.docx", "A 2165-2022")</f>
        <v/>
      </c>
      <c r="W31">
        <f>HYPERLINK("https://klasma.github.io/Logging_0581/klagomålsmail/A 2165-2022 FSC-klagomål mail.docx", "A 2165-2022")</f>
        <v/>
      </c>
      <c r="X31">
        <f>HYPERLINK("https://klasma.github.io/Logging_0581/tillsyn/A 2165-2022 tillsynsbegäran.docx", "A 2165-2022")</f>
        <v/>
      </c>
      <c r="Y31">
        <f>HYPERLINK("https://klasma.github.io/Logging_0581/tillsynsmail/A 2165-2022 tillsynsbegäran mail.docx", "A 2165-2022")</f>
        <v/>
      </c>
    </row>
    <row r="32" ht="15" customHeight="1">
      <c r="A32" t="inlineStr">
        <is>
          <t>A 5941-2024</t>
        </is>
      </c>
      <c r="B32" s="1" t="n">
        <v>45336</v>
      </c>
      <c r="C32" s="1" t="n">
        <v>46194</v>
      </c>
      <c r="D32" t="inlineStr">
        <is>
          <t>ÖSTERGÖTLANDS LÄN</t>
        </is>
      </c>
      <c r="E32" t="inlineStr">
        <is>
          <t>NORRKÖPING</t>
        </is>
      </c>
      <c r="G32" t="n">
        <v>5.1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Nordfladdermus
Slåtterfibbla
Dvärgpipistrell
Större brunfladdermus</t>
        </is>
      </c>
      <c r="S32">
        <f>HYPERLINK("https://klasma.github.io/Logging_0581/artfynd/A 5941-2024 artfynd.xlsx", "A 5941-2024")</f>
        <v/>
      </c>
      <c r="T32">
        <f>HYPERLINK("https://klasma.github.io/Logging_0581/kartor/A 5941-2024 karta.png", "A 5941-2024")</f>
        <v/>
      </c>
      <c r="V32">
        <f>HYPERLINK("https://klasma.github.io/Logging_0581/klagomål/A 5941-2024 FSC-klagomål.docx", "A 5941-2024")</f>
        <v/>
      </c>
      <c r="W32">
        <f>HYPERLINK("https://klasma.github.io/Logging_0581/klagomålsmail/A 5941-2024 FSC-klagomål mail.docx", "A 5941-2024")</f>
        <v/>
      </c>
      <c r="X32">
        <f>HYPERLINK("https://klasma.github.io/Logging_0581/tillsyn/A 5941-2024 tillsynsbegäran.docx", "A 5941-2024")</f>
        <v/>
      </c>
      <c r="Y32">
        <f>HYPERLINK("https://klasma.github.io/Logging_0581/tillsynsmail/A 5941-2024 tillsynsbegäran mail.docx", "A 5941-2024")</f>
        <v/>
      </c>
      <c r="Z32">
        <f>HYPERLINK("https://klasma.github.io/Logging_0581/fåglar/A 5941-2024 prioriterade fågelarter.docx", "A 5941-2024")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46194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46194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46194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19113-2023</t>
        </is>
      </c>
      <c r="B37" s="1" t="n">
        <v>45048</v>
      </c>
      <c r="C37" s="1" t="n">
        <v>46194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2.6</v>
      </c>
      <c r="H37" t="n">
        <v>4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Fläcknycklar
Grönvit nattviol
Revlummer
Äkta lopplummer</t>
        </is>
      </c>
      <c r="S37">
        <f>HYPERLINK("https://klasma.github.io/Logging_0581/artfynd/A 19113-2023 artfynd.xlsx", "A 19113-2023")</f>
        <v/>
      </c>
      <c r="T37">
        <f>HYPERLINK("https://klasma.github.io/Logging_0581/kartor/A 19113-2023 karta.png", "A 19113-2023")</f>
        <v/>
      </c>
      <c r="V37">
        <f>HYPERLINK("https://klasma.github.io/Logging_0581/klagomål/A 19113-2023 FSC-klagomål.docx", "A 19113-2023")</f>
        <v/>
      </c>
      <c r="W37">
        <f>HYPERLINK("https://klasma.github.io/Logging_0581/klagomålsmail/A 19113-2023 FSC-klagomål mail.docx", "A 19113-2023")</f>
        <v/>
      </c>
      <c r="X37">
        <f>HYPERLINK("https://klasma.github.io/Logging_0581/tillsyn/A 19113-2023 tillsynsbegäran.docx", "A 19113-2023")</f>
        <v/>
      </c>
      <c r="Y37">
        <f>HYPERLINK("https://klasma.github.io/Logging_0581/tillsynsmail/A 19113-2023 tillsynsbegäran mail.docx", "A 19113-2023")</f>
        <v/>
      </c>
    </row>
    <row r="38" ht="15" customHeight="1">
      <c r="A38" t="inlineStr">
        <is>
          <t>A 43283-2024</t>
        </is>
      </c>
      <c r="B38" s="1" t="n">
        <v>45568</v>
      </c>
      <c r="C38" s="1" t="n">
        <v>46194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Dvärgbägarlav
Motaggsvamp
Vedskivlav
Flagellkvastmossa</t>
        </is>
      </c>
      <c r="S38">
        <f>HYPERLINK("https://klasma.github.io/Logging_0581/artfynd/A 43283-2024 artfynd.xlsx", "A 43283-2024")</f>
        <v/>
      </c>
      <c r="T38">
        <f>HYPERLINK("https://klasma.github.io/Logging_0581/kartor/A 43283-2024 karta.png", "A 43283-2024")</f>
        <v/>
      </c>
      <c r="V38">
        <f>HYPERLINK("https://klasma.github.io/Logging_0581/klagomål/A 43283-2024 FSC-klagomål.docx", "A 43283-2024")</f>
        <v/>
      </c>
      <c r="W38">
        <f>HYPERLINK("https://klasma.github.io/Logging_0581/klagomålsmail/A 43283-2024 FSC-klagomål mail.docx", "A 43283-2024")</f>
        <v/>
      </c>
      <c r="X38">
        <f>HYPERLINK("https://klasma.github.io/Logging_0581/tillsyn/A 43283-2024 tillsynsbegäran.docx", "A 43283-2024")</f>
        <v/>
      </c>
      <c r="Y38">
        <f>HYPERLINK("https://klasma.github.io/Logging_0581/tillsynsmail/A 43283-2024 tillsynsbegäran mail.docx", "A 43283-2024")</f>
        <v/>
      </c>
    </row>
    <row r="39" ht="15" customHeight="1">
      <c r="A39" t="inlineStr">
        <is>
          <t>A 11741-2024</t>
        </is>
      </c>
      <c r="B39" s="1" t="n">
        <v>45373</v>
      </c>
      <c r="C39" s="1" t="n">
        <v>46194</v>
      </c>
      <c r="D39" t="inlineStr">
        <is>
          <t>ÖSTERGÖTLANDS LÄN</t>
        </is>
      </c>
      <c r="E39" t="inlineStr">
        <is>
          <t>NORRKÖPING</t>
        </is>
      </c>
      <c r="G39" t="n">
        <v>1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Aspfjädermossa
Ullticka
Vedtrappmossa
Grön sköldmossa</t>
        </is>
      </c>
      <c r="S39">
        <f>HYPERLINK("https://klasma.github.io/Logging_0581/artfynd/A 11741-2024 artfynd.xlsx", "A 11741-2024")</f>
        <v/>
      </c>
      <c r="T39">
        <f>HYPERLINK("https://klasma.github.io/Logging_0581/kartor/A 11741-2024 karta.png", "A 11741-2024")</f>
        <v/>
      </c>
      <c r="V39">
        <f>HYPERLINK("https://klasma.github.io/Logging_0581/klagomål/A 11741-2024 FSC-klagomål.docx", "A 11741-2024")</f>
        <v/>
      </c>
      <c r="W39">
        <f>HYPERLINK("https://klasma.github.io/Logging_0581/klagomålsmail/A 11741-2024 FSC-klagomål mail.docx", "A 11741-2024")</f>
        <v/>
      </c>
      <c r="X39">
        <f>HYPERLINK("https://klasma.github.io/Logging_0581/tillsyn/A 11741-2024 tillsynsbegäran.docx", "A 11741-2024")</f>
        <v/>
      </c>
      <c r="Y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s="1" t="n">
        <v>45421</v>
      </c>
      <c r="C40" s="1" t="n">
        <v>46194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Mörk kolflarnlav
Gullgröppa
Tjäder
Fläcknycklar</t>
        </is>
      </c>
      <c r="S40">
        <f>HYPERLINK("https://klasma.github.io/Logging_0581/artfynd/A 18267-2024 artfynd.xlsx", "A 18267-2024")</f>
        <v/>
      </c>
      <c r="T40">
        <f>HYPERLINK("https://klasma.github.io/Logging_0581/kartor/A 18267-2024 karta.png", "A 18267-2024")</f>
        <v/>
      </c>
      <c r="V40">
        <f>HYPERLINK("https://klasma.github.io/Logging_0581/klagomål/A 18267-2024 FSC-klagomål.docx", "A 18267-2024")</f>
        <v/>
      </c>
      <c r="W40">
        <f>HYPERLINK("https://klasma.github.io/Logging_0581/klagomålsmail/A 18267-2024 FSC-klagomål mail.docx", "A 18267-2024")</f>
        <v/>
      </c>
      <c r="X40">
        <f>HYPERLINK("https://klasma.github.io/Logging_0581/tillsyn/A 18267-2024 tillsynsbegäran.docx", "A 18267-2024")</f>
        <v/>
      </c>
      <c r="Y40">
        <f>HYPERLINK("https://klasma.github.io/Logging_0581/tillsynsmail/A 18267-2024 tillsynsbegäran mail.docx", "A 18267-2024")</f>
        <v/>
      </c>
      <c r="Z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s="1" t="n">
        <v>45905</v>
      </c>
      <c r="C41" s="1" t="n">
        <v>46194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Blåmossa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46194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Citronporing
Kandelabersvamp
Vit vedfingersvamp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s="1" t="n">
        <v>45764</v>
      </c>
      <c r="C43" s="1" t="n">
        <v>46194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Kattfotslav
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31468-2025</t>
        </is>
      </c>
      <c r="B44" s="1" t="n">
        <v>45833</v>
      </c>
      <c r="C44" s="1" t="n">
        <v>46194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Talltita
Vedskivlav
Grönpyrola
Blåsippa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46194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Bårdlav
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38599-2025</t>
        </is>
      </c>
      <c r="B46" s="1" t="n">
        <v>45884</v>
      </c>
      <c r="C46" s="1" t="n">
        <v>46194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Kalkkärrsgrynsnäcka
Majviva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52576-2025</t>
        </is>
      </c>
      <c r="B47" s="1" t="n">
        <v>45954</v>
      </c>
      <c r="C47" s="1" t="n">
        <v>46194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0</v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Flagellkvastmossa
Guldlockmossa
Rostfläck
Vedticka</t>
        </is>
      </c>
      <c r="S47">
        <f>HYPERLINK("https://klasma.github.io/Logging_0581/artfynd/A 52576-2025 artfynd.xlsx", "A 52576-2025")</f>
        <v/>
      </c>
      <c r="T47">
        <f>HYPERLINK("https://klasma.github.io/Logging_0581/kartor/A 52576-2025 karta.png", "A 52576-2025")</f>
        <v/>
      </c>
      <c r="V47">
        <f>HYPERLINK("https://klasma.github.io/Logging_0581/klagomål/A 52576-2025 FSC-klagomål.docx", "A 52576-2025")</f>
        <v/>
      </c>
      <c r="W47">
        <f>HYPERLINK("https://klasma.github.io/Logging_0581/klagomålsmail/A 52576-2025 FSC-klagomål mail.docx", "A 52576-2025")</f>
        <v/>
      </c>
      <c r="X47">
        <f>HYPERLINK("https://klasma.github.io/Logging_0581/tillsyn/A 52576-2025 tillsynsbegäran.docx", "A 52576-2025")</f>
        <v/>
      </c>
      <c r="Y47">
        <f>HYPERLINK("https://klasma.github.io/Logging_0581/tillsynsmail/A 52576-2025 tillsynsbegäran mail.docx", "A 52576-2025")</f>
        <v/>
      </c>
    </row>
    <row r="48" ht="15" customHeight="1">
      <c r="A48" t="inlineStr">
        <is>
          <t>A 17465-2026</t>
        </is>
      </c>
      <c r="B48" s="1" t="n">
        <v>46120</v>
      </c>
      <c r="C48" s="1" t="n">
        <v>46194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2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Blåmossa
Grönpyrola
Spillkråka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  <c r="Z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9512-2023</t>
        </is>
      </c>
      <c r="B50" s="1" t="n">
        <v>44981</v>
      </c>
      <c r="C50" s="1" t="n">
        <v>46194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2.1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Tallticka
Jättesvampmal</t>
        </is>
      </c>
      <c r="S50">
        <f>HYPERLINK("https://klasma.github.io/Logging_0581/artfynd/A 9512-2023 artfynd.xlsx", "A 9512-2023")</f>
        <v/>
      </c>
      <c r="T50">
        <f>HYPERLINK("https://klasma.github.io/Logging_0581/kartor/A 9512-2023 karta.png", "A 9512-2023")</f>
        <v/>
      </c>
      <c r="V50">
        <f>HYPERLINK("https://klasma.github.io/Logging_0581/klagomål/A 9512-2023 FSC-klagomål.docx", "A 9512-2023")</f>
        <v/>
      </c>
      <c r="W50">
        <f>HYPERLINK("https://klasma.github.io/Logging_0581/klagomålsmail/A 9512-2023 FSC-klagomål mail.docx", "A 9512-2023")</f>
        <v/>
      </c>
      <c r="X50">
        <f>HYPERLINK("https://klasma.github.io/Logging_0581/tillsyn/A 9512-2023 tillsynsbegäran.docx", "A 9512-2023")</f>
        <v/>
      </c>
      <c r="Y50">
        <f>HYPERLINK("https://klasma.github.io/Logging_0581/tillsynsmail/A 9512-2023 tillsynsbegäran mail.docx", "A 9512-2023")</f>
        <v/>
      </c>
    </row>
    <row r="51" ht="15" customHeight="1">
      <c r="A51" t="inlineStr">
        <is>
          <t>A 45699-2024</t>
        </is>
      </c>
      <c r="B51" s="1" t="n">
        <v>45579</v>
      </c>
      <c r="C51" s="1" t="n">
        <v>46194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Mindre märgborre</t>
        </is>
      </c>
      <c r="S51">
        <f>HYPERLINK("https://klasma.github.io/Logging_0581/artfynd/A 45699-2024 artfynd.xlsx", "A 45699-2024")</f>
        <v/>
      </c>
      <c r="T51">
        <f>HYPERLINK("https://klasma.github.io/Logging_0581/kartor/A 45699-2024 karta.png", "A 45699-2024")</f>
        <v/>
      </c>
      <c r="V51">
        <f>HYPERLINK("https://klasma.github.io/Logging_0581/klagomål/A 45699-2024 FSC-klagomål.docx", "A 45699-2024")</f>
        <v/>
      </c>
      <c r="W51">
        <f>HYPERLINK("https://klasma.github.io/Logging_0581/klagomålsmail/A 45699-2024 FSC-klagomål mail.docx", "A 45699-2024")</f>
        <v/>
      </c>
      <c r="X51">
        <f>HYPERLINK("https://klasma.github.io/Logging_0581/tillsyn/A 45699-2024 tillsynsbegäran.docx", "A 45699-2024")</f>
        <v/>
      </c>
      <c r="Y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46194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60171-2023</t>
        </is>
      </c>
      <c r="B53" s="1" t="n">
        <v>45258</v>
      </c>
      <c r="C53" s="1" t="n">
        <v>46194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Blomkålssvamp
Kransmossa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11757-2025</t>
        </is>
      </c>
      <c r="B54" s="1" t="n">
        <v>45727</v>
      </c>
      <c r="C54" s="1" t="n">
        <v>46194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10.2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Dropptaggsvamp
Blomkålssvamp
Kornknutmossa</t>
        </is>
      </c>
      <c r="S54">
        <f>HYPERLINK("https://klasma.github.io/Logging_0581/artfynd/A 11757-2025 artfynd.xlsx", "A 11757-2025")</f>
        <v/>
      </c>
      <c r="T54">
        <f>HYPERLINK("https://klasma.github.io/Logging_0581/kartor/A 11757-2025 karta.png", "A 11757-2025")</f>
        <v/>
      </c>
      <c r="V54">
        <f>HYPERLINK("https://klasma.github.io/Logging_0581/klagomål/A 11757-2025 FSC-klagomål.docx", "A 11757-2025")</f>
        <v/>
      </c>
      <c r="W54">
        <f>HYPERLINK("https://klasma.github.io/Logging_0581/klagomålsmail/A 11757-2025 FSC-klagomål mail.docx", "A 11757-2025")</f>
        <v/>
      </c>
      <c r="X54">
        <f>HYPERLINK("https://klasma.github.io/Logging_0581/tillsyn/A 11757-2025 tillsynsbegäran.docx", "A 11757-2025")</f>
        <v/>
      </c>
      <c r="Y54">
        <f>HYPERLINK("https://klasma.github.io/Logging_0581/tillsynsmail/A 11757-2025 tillsynsbegäran mail.docx", "A 11757-2025")</f>
        <v/>
      </c>
    </row>
    <row r="55" ht="15" customHeight="1">
      <c r="A55" t="inlineStr">
        <is>
          <t>A 12692-2025</t>
        </is>
      </c>
      <c r="B55" s="1" t="n">
        <v>45733</v>
      </c>
      <c r="C55" s="1" t="n">
        <v>46194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Dvärgbägarlav
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7316-2025</t>
        </is>
      </c>
      <c r="B56" s="1" t="n">
        <v>45702</v>
      </c>
      <c r="C56" s="1" t="n">
        <v>46194</v>
      </c>
      <c r="D56" t="inlineStr">
        <is>
          <t>ÖSTERGÖTLANDS LÄN</t>
        </is>
      </c>
      <c r="E56" t="inlineStr">
        <is>
          <t>NORRKÖPING</t>
        </is>
      </c>
      <c r="G56" t="n">
        <v>1.6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Silltrut
Vinterhämpling
Sångsvan</t>
        </is>
      </c>
      <c r="S56">
        <f>HYPERLINK("https://klasma.github.io/Logging_0581/artfynd/A 7316-2025 artfynd.xlsx", "A 7316-2025")</f>
        <v/>
      </c>
      <c r="T56">
        <f>HYPERLINK("https://klasma.github.io/Logging_0581/kartor/A 7316-2025 karta.png", "A 7316-2025")</f>
        <v/>
      </c>
      <c r="V56">
        <f>HYPERLINK("https://klasma.github.io/Logging_0581/klagomål/A 7316-2025 FSC-klagomål.docx", "A 7316-2025")</f>
        <v/>
      </c>
      <c r="W56">
        <f>HYPERLINK("https://klasma.github.io/Logging_0581/klagomålsmail/A 7316-2025 FSC-klagomål mail.docx", "A 7316-2025")</f>
        <v/>
      </c>
      <c r="X56">
        <f>HYPERLINK("https://klasma.github.io/Logging_0581/tillsyn/A 7316-2025 tillsynsbegäran.docx", "A 7316-2025")</f>
        <v/>
      </c>
      <c r="Y56">
        <f>HYPERLINK("https://klasma.github.io/Logging_0581/tillsynsmail/A 7316-2025 tillsynsbegäran mail.docx", "A 7316-2025")</f>
        <v/>
      </c>
      <c r="Z56">
        <f>HYPERLINK("https://klasma.github.io/Logging_0581/fåglar/A 7316-2025 prioriterade fågelarter.docx", "A 7316-2025")</f>
        <v/>
      </c>
    </row>
    <row r="57" ht="15" customHeight="1">
      <c r="A57" t="inlineStr">
        <is>
          <t>A 19973-2025</t>
        </is>
      </c>
      <c r="B57" s="1" t="n">
        <v>45771</v>
      </c>
      <c r="C57" s="1" t="n">
        <v>46194</v>
      </c>
      <c r="D57" t="inlineStr">
        <is>
          <t>ÖSTERGÖTLANDS LÄN</t>
        </is>
      </c>
      <c r="E57" t="inlineStr">
        <is>
          <t>NORRKÖPING</t>
        </is>
      </c>
      <c r="G57" t="n">
        <v>6.3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Vedskivlav
Blåmossa</t>
        </is>
      </c>
      <c r="S57">
        <f>HYPERLINK("https://klasma.github.io/Logging_0581/artfynd/A 19973-2025 artfynd.xlsx", "A 19973-2025")</f>
        <v/>
      </c>
      <c r="T57">
        <f>HYPERLINK("https://klasma.github.io/Logging_0581/kartor/A 19973-2025 karta.png", "A 19973-2025")</f>
        <v/>
      </c>
      <c r="V57">
        <f>HYPERLINK("https://klasma.github.io/Logging_0581/klagomål/A 19973-2025 FSC-klagomål.docx", "A 19973-2025")</f>
        <v/>
      </c>
      <c r="W57">
        <f>HYPERLINK("https://klasma.github.io/Logging_0581/klagomålsmail/A 19973-2025 FSC-klagomål mail.docx", "A 19973-2025")</f>
        <v/>
      </c>
      <c r="X57">
        <f>HYPERLINK("https://klasma.github.io/Logging_0581/tillsyn/A 19973-2025 tillsynsbegäran.docx", "A 19973-2025")</f>
        <v/>
      </c>
      <c r="Y57">
        <f>HYPERLINK("https://klasma.github.io/Logging_0581/tillsynsmail/A 19973-2025 tillsynsbegäran mail.docx", "A 19973-2025")</f>
        <v/>
      </c>
    </row>
    <row r="58" ht="15" customHeight="1">
      <c r="A58" t="inlineStr">
        <is>
          <t>A 44677-2025</t>
        </is>
      </c>
      <c r="B58" s="1" t="n">
        <v>45917</v>
      </c>
      <c r="C58" s="1" t="n">
        <v>46194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Motaggsvamp
Vedskivlav
Fällmossa</t>
        </is>
      </c>
      <c r="S58">
        <f>HYPERLINK("https://klasma.github.io/Logging_0581/artfynd/A 44677-2025 artfynd.xlsx", "A 44677-2025")</f>
        <v/>
      </c>
      <c r="T58">
        <f>HYPERLINK("https://klasma.github.io/Logging_0581/kartor/A 44677-2025 karta.png", "A 44677-2025")</f>
        <v/>
      </c>
      <c r="V58">
        <f>HYPERLINK("https://klasma.github.io/Logging_0581/klagomål/A 44677-2025 FSC-klagomål.docx", "A 44677-2025")</f>
        <v/>
      </c>
      <c r="W58">
        <f>HYPERLINK("https://klasma.github.io/Logging_0581/klagomålsmail/A 44677-2025 FSC-klagomål mail.docx", "A 44677-2025")</f>
        <v/>
      </c>
      <c r="X58">
        <f>HYPERLINK("https://klasma.github.io/Logging_0581/tillsyn/A 44677-2025 tillsynsbegäran.docx", "A 44677-2025")</f>
        <v/>
      </c>
      <c r="Y58">
        <f>HYPERLINK("https://klasma.github.io/Logging_0581/tillsynsmail/A 44677-2025 tillsynsbegäran mail.docx", "A 44677-2025")</f>
        <v/>
      </c>
    </row>
    <row r="59" ht="15" customHeight="1">
      <c r="A59" t="inlineStr">
        <is>
          <t>A 28062-2022</t>
        </is>
      </c>
      <c r="B59" s="1" t="n">
        <v>44746</v>
      </c>
      <c r="C59" s="1" t="n">
        <v>46194</v>
      </c>
      <c r="D59" t="inlineStr">
        <is>
          <t>ÖSTERGÖTLANDS LÄN</t>
        </is>
      </c>
      <c r="E59" t="inlineStr">
        <is>
          <t>NORRKÖPING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Slåtterfibbla
Svinrot
Mattlummer</t>
        </is>
      </c>
      <c r="S59">
        <f>HYPERLINK("https://klasma.github.io/Logging_0581/artfynd/A 28062-2022 artfynd.xlsx", "A 28062-2022")</f>
        <v/>
      </c>
      <c r="T59">
        <f>HYPERLINK("https://klasma.github.io/Logging_0581/kartor/A 28062-2022 karta.png", "A 28062-2022")</f>
        <v/>
      </c>
      <c r="V59">
        <f>HYPERLINK("https://klasma.github.io/Logging_0581/klagomål/A 28062-2022 FSC-klagomål.docx", "A 28062-2022")</f>
        <v/>
      </c>
      <c r="W59">
        <f>HYPERLINK("https://klasma.github.io/Logging_0581/klagomålsmail/A 28062-2022 FSC-klagomål mail.docx", "A 28062-2022")</f>
        <v/>
      </c>
      <c r="X59">
        <f>HYPERLINK("https://klasma.github.io/Logging_0581/tillsyn/A 28062-2022 tillsynsbegäran.docx", "A 28062-2022")</f>
        <v/>
      </c>
      <c r="Y59">
        <f>HYPERLINK("https://klasma.github.io/Logging_0581/tillsynsmail/A 28062-2022 tillsynsbegäran mail.docx", "A 28062-2022")</f>
        <v/>
      </c>
    </row>
    <row r="60" ht="15" customHeight="1">
      <c r="A60" t="inlineStr">
        <is>
          <t>A 23969-2025</t>
        </is>
      </c>
      <c r="B60" s="1" t="n">
        <v>45796</v>
      </c>
      <c r="C60" s="1" t="n">
        <v>46194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Crepis tectorum subsp. tectorum
Grönsångare
Tallticka</t>
        </is>
      </c>
      <c r="S60">
        <f>HYPERLINK("https://klasma.github.io/Logging_0581/artfynd/A 23969-2025 artfynd.xlsx", "A 23969-2025")</f>
        <v/>
      </c>
      <c r="T60">
        <f>HYPERLINK("https://klasma.github.io/Logging_0581/kartor/A 23969-2025 karta.png", "A 23969-2025")</f>
        <v/>
      </c>
      <c r="V60">
        <f>HYPERLINK("https://klasma.github.io/Logging_0581/klagomål/A 23969-2025 FSC-klagomål.docx", "A 23969-2025")</f>
        <v/>
      </c>
      <c r="W60">
        <f>HYPERLINK("https://klasma.github.io/Logging_0581/klagomålsmail/A 23969-2025 FSC-klagomål mail.docx", "A 23969-2025")</f>
        <v/>
      </c>
      <c r="X60">
        <f>HYPERLINK("https://klasma.github.io/Logging_0581/tillsyn/A 23969-2025 tillsynsbegäran.docx", "A 23969-2025")</f>
        <v/>
      </c>
      <c r="Y60">
        <f>HYPERLINK("https://klasma.github.io/Logging_0581/tillsynsmail/A 23969-2025 tillsynsbegäran mail.docx", "A 23969-2025")</f>
        <v/>
      </c>
      <c r="Z60">
        <f>HYPERLINK("https://klasma.github.io/Logging_0581/fåglar/A 23969-2025 prioriterade fågelarter.docx", "A 23969-2025")</f>
        <v/>
      </c>
    </row>
    <row r="61" ht="15" customHeight="1">
      <c r="A61" t="inlineStr">
        <is>
          <t>A 14646-2023</t>
        </is>
      </c>
      <c r="B61" s="1" t="n">
        <v>45013</v>
      </c>
      <c r="C61" s="1" t="n">
        <v>46194</v>
      </c>
      <c r="D61" t="inlineStr">
        <is>
          <t>ÖSTERGÖTLANDS LÄN</t>
        </is>
      </c>
      <c r="E61" t="inlineStr">
        <is>
          <t>NORRKÖPING</t>
        </is>
      </c>
      <c r="G61" t="n">
        <v>5.4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Skogsalm
Vanlig backsmörblomma
Fläcknycklar</t>
        </is>
      </c>
      <c r="S61">
        <f>HYPERLINK("https://klasma.github.io/Logging_0581/artfynd/A 14646-2023 artfynd.xlsx", "A 14646-2023")</f>
        <v/>
      </c>
      <c r="T61">
        <f>HYPERLINK("https://klasma.github.io/Logging_0581/kartor/A 14646-2023 karta.png", "A 14646-2023")</f>
        <v/>
      </c>
      <c r="V61">
        <f>HYPERLINK("https://klasma.github.io/Logging_0581/klagomål/A 14646-2023 FSC-klagomål.docx", "A 14646-2023")</f>
        <v/>
      </c>
      <c r="W61">
        <f>HYPERLINK("https://klasma.github.io/Logging_0581/klagomålsmail/A 14646-2023 FSC-klagomål mail.docx", "A 14646-2023")</f>
        <v/>
      </c>
      <c r="X61">
        <f>HYPERLINK("https://klasma.github.io/Logging_0581/tillsyn/A 14646-2023 tillsynsbegäran.docx", "A 14646-2023")</f>
        <v/>
      </c>
      <c r="Y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s="1" t="n">
        <v>44977</v>
      </c>
      <c r="C62" s="1" t="n">
        <v>46194</v>
      </c>
      <c r="D62" t="inlineStr">
        <is>
          <t>ÖSTERGÖTLANDS LÄN</t>
        </is>
      </c>
      <c r="E62" t="inlineStr">
        <is>
          <t>NORRKÖPING</t>
        </is>
      </c>
      <c r="G62" t="n">
        <v>6.7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Tallticka
Bronshjon
Blåsippa</t>
        </is>
      </c>
      <c r="S62">
        <f>HYPERLINK("https://klasma.github.io/Logging_0581/artfynd/A 8468-2023 artfynd.xlsx", "A 8468-2023")</f>
        <v/>
      </c>
      <c r="T62">
        <f>HYPERLINK("https://klasma.github.io/Logging_0581/kartor/A 8468-2023 karta.png", "A 8468-2023")</f>
        <v/>
      </c>
      <c r="V62">
        <f>HYPERLINK("https://klasma.github.io/Logging_0581/klagomål/A 8468-2023 FSC-klagomål.docx", "A 8468-2023")</f>
        <v/>
      </c>
      <c r="W62">
        <f>HYPERLINK("https://klasma.github.io/Logging_0581/klagomålsmail/A 8468-2023 FSC-klagomål mail.docx", "A 8468-2023")</f>
        <v/>
      </c>
      <c r="X62">
        <f>HYPERLINK("https://klasma.github.io/Logging_0581/tillsyn/A 8468-2023 tillsynsbegäran.docx", "A 8468-2023")</f>
        <v/>
      </c>
      <c r="Y62">
        <f>HYPERLINK("https://klasma.github.io/Logging_0581/tillsynsmail/A 8468-2023 tillsynsbegäran mail.docx", "A 8468-2023")</f>
        <v/>
      </c>
    </row>
    <row r="63" ht="15" customHeight="1">
      <c r="A63" t="inlineStr">
        <is>
          <t>A 35736-2025</t>
        </is>
      </c>
      <c r="B63" s="1" t="n">
        <v>45860</v>
      </c>
      <c r="C63" s="1" t="n">
        <v>46194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11.5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Dropptaggsvamp
Vedskivlav
Tjäder</t>
        </is>
      </c>
      <c r="S63">
        <f>HYPERLINK("https://klasma.github.io/Logging_0581/artfynd/A 35736-2025 artfynd.xlsx", "A 35736-2025")</f>
        <v/>
      </c>
      <c r="T63">
        <f>HYPERLINK("https://klasma.github.io/Logging_0581/kartor/A 35736-2025 karta.png", "A 35736-2025")</f>
        <v/>
      </c>
      <c r="V63">
        <f>HYPERLINK("https://klasma.github.io/Logging_0581/klagomål/A 35736-2025 FSC-klagomål.docx", "A 35736-2025")</f>
        <v/>
      </c>
      <c r="W63">
        <f>HYPERLINK("https://klasma.github.io/Logging_0581/klagomålsmail/A 35736-2025 FSC-klagomål mail.docx", "A 35736-2025")</f>
        <v/>
      </c>
      <c r="X63">
        <f>HYPERLINK("https://klasma.github.io/Logging_0581/tillsyn/A 35736-2025 tillsynsbegäran.docx", "A 35736-2025")</f>
        <v/>
      </c>
      <c r="Y63">
        <f>HYPERLINK("https://klasma.github.io/Logging_0581/tillsynsmail/A 35736-2025 tillsynsbegäran mail.docx", "A 35736-2025")</f>
        <v/>
      </c>
      <c r="Z63">
        <f>HYPERLINK("https://klasma.github.io/Logging_0581/fåglar/A 35736-2025 prioriterade fågelarter.docx", "A 35736-2025")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46194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46194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46194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46194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s="1" t="n">
        <v>46135</v>
      </c>
      <c r="C68" s="1" t="n">
        <v>46194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7.7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Blåmossa
Kungsfågel</t>
        </is>
      </c>
      <c r="S68">
        <f>HYPERLINK("https://klasma.github.io/Logging_0581/artfynd/A 19806-2026 artfynd.xlsx", "A 19806-2026")</f>
        <v/>
      </c>
      <c r="T68">
        <f>HYPERLINK("https://klasma.github.io/Logging_0581/kartor/A 19806-2026 karta.png", "A 19806-2026")</f>
        <v/>
      </c>
      <c r="V68">
        <f>HYPERLINK("https://klasma.github.io/Logging_0581/klagomål/A 19806-2026 FSC-klagomål.docx", "A 19806-2026")</f>
        <v/>
      </c>
      <c r="W68">
        <f>HYPERLINK("https://klasma.github.io/Logging_0581/klagomålsmail/A 19806-2026 FSC-klagomål mail.docx", "A 19806-2026")</f>
        <v/>
      </c>
      <c r="X68">
        <f>HYPERLINK("https://klasma.github.io/Logging_0581/tillsyn/A 19806-2026 tillsynsbegäran.docx", "A 19806-2026")</f>
        <v/>
      </c>
      <c r="Y68">
        <f>HYPERLINK("https://klasma.github.io/Logging_0581/tillsynsmail/A 19806-2026 tillsynsbegäran mail.docx", "A 19806-2026")</f>
        <v/>
      </c>
      <c r="Z68">
        <f>HYPERLINK("https://klasma.github.io/Logging_0581/fåglar/A 19806-2026 prioriterade fågelarter.docx", "A 19806-2026")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46194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20377-2023</t>
        </is>
      </c>
      <c r="B70" s="1" t="n">
        <v>45056</v>
      </c>
      <c r="C70" s="1" t="n">
        <v>46194</v>
      </c>
      <c r="D70" t="inlineStr">
        <is>
          <t>ÖSTERGÖTLANDS LÄN</t>
        </is>
      </c>
      <c r="E70" t="inlineStr">
        <is>
          <t>NORRKÖPING</t>
        </is>
      </c>
      <c r="G70" t="n">
        <v>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Kungsfågel</t>
        </is>
      </c>
      <c r="S70">
        <f>HYPERLINK("https://klasma.github.io/Logging_0581/artfynd/A 20377-2023 artfynd.xlsx", "A 20377-2023")</f>
        <v/>
      </c>
      <c r="T70">
        <f>HYPERLINK("https://klasma.github.io/Logging_0581/kartor/A 20377-2023 karta.png", "A 20377-2023")</f>
        <v/>
      </c>
      <c r="V70">
        <f>HYPERLINK("https://klasma.github.io/Logging_0581/klagomål/A 20377-2023 FSC-klagomål.docx", "A 20377-2023")</f>
        <v/>
      </c>
      <c r="W70">
        <f>HYPERLINK("https://klasma.github.io/Logging_0581/klagomålsmail/A 20377-2023 FSC-klagomål mail.docx", "A 20377-2023")</f>
        <v/>
      </c>
      <c r="X70">
        <f>HYPERLINK("https://klasma.github.io/Logging_0581/tillsyn/A 20377-2023 tillsynsbegäran.docx", "A 20377-2023")</f>
        <v/>
      </c>
      <c r="Y70">
        <f>HYPERLINK("https://klasma.github.io/Logging_0581/tillsynsmail/A 20377-2023 tillsynsbegäran mail.docx", "A 20377-2023")</f>
        <v/>
      </c>
      <c r="Z70">
        <f>HYPERLINK("https://klasma.github.io/Logging_0581/fåglar/A 20377-2023 prioriterade fågelarter.docx", "A 20377-2023")</f>
        <v/>
      </c>
    </row>
    <row r="71" ht="15" customHeight="1">
      <c r="A71" t="inlineStr">
        <is>
          <t>A 49366-2021</t>
        </is>
      </c>
      <c r="B71" s="1" t="n">
        <v>44454</v>
      </c>
      <c r="C71" s="1" t="n">
        <v>46194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Sårläka</t>
        </is>
      </c>
      <c r="S71">
        <f>HYPERLINK("https://klasma.github.io/Logging_0581/artfynd/A 49366-2021 artfynd.xlsx", "A 49366-2021")</f>
        <v/>
      </c>
      <c r="T71">
        <f>HYPERLINK("https://klasma.github.io/Logging_0581/kartor/A 49366-2021 karta.png", "A 49366-2021")</f>
        <v/>
      </c>
      <c r="U71">
        <f>HYPERLINK("https://klasma.github.io/Logging_0581/knärot/A 49366-2021 karta knärot.png", "A 49366-2021")</f>
        <v/>
      </c>
      <c r="V71">
        <f>HYPERLINK("https://klasma.github.io/Logging_0581/klagomål/A 49366-2021 FSC-klagomål.docx", "A 49366-2021")</f>
        <v/>
      </c>
      <c r="W71">
        <f>HYPERLINK("https://klasma.github.io/Logging_0581/klagomålsmail/A 49366-2021 FSC-klagomål mail.docx", "A 49366-2021")</f>
        <v/>
      </c>
      <c r="X71">
        <f>HYPERLINK("https://klasma.github.io/Logging_0581/tillsyn/A 49366-2021 tillsynsbegäran.docx", "A 49366-2021")</f>
        <v/>
      </c>
      <c r="Y71">
        <f>HYPERLINK("https://klasma.github.io/Logging_0581/tillsynsmail/A 49366-2021 tillsynsbegäran mail.docx", "A 49366-2021")</f>
        <v/>
      </c>
    </row>
    <row r="72" ht="15" customHeight="1">
      <c r="A72" t="inlineStr">
        <is>
          <t>A 25291-2023</t>
        </is>
      </c>
      <c r="B72" s="1" t="n">
        <v>45086</v>
      </c>
      <c r="C72" s="1" t="n">
        <v>46194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Svartvit flugsnappare</t>
        </is>
      </c>
      <c r="S72">
        <f>HYPERLINK("https://klasma.github.io/Logging_0581/artfynd/A 25291-2023 artfynd.xlsx", "A 25291-2023")</f>
        <v/>
      </c>
      <c r="T72">
        <f>HYPERLINK("https://klasma.github.io/Logging_0581/kartor/A 25291-2023 karta.png", "A 25291-2023")</f>
        <v/>
      </c>
      <c r="V72">
        <f>HYPERLINK("https://klasma.github.io/Logging_0581/klagomål/A 25291-2023 FSC-klagomål.docx", "A 25291-2023")</f>
        <v/>
      </c>
      <c r="W72">
        <f>HYPERLINK("https://klasma.github.io/Logging_0581/klagomålsmail/A 25291-2023 FSC-klagomål mail.docx", "A 25291-2023")</f>
        <v/>
      </c>
      <c r="X72">
        <f>HYPERLINK("https://klasma.github.io/Logging_0581/tillsyn/A 25291-2023 tillsynsbegäran.docx", "A 25291-2023")</f>
        <v/>
      </c>
      <c r="Y72">
        <f>HYPERLINK("https://klasma.github.io/Logging_0581/tillsynsmail/A 25291-2023 tillsynsbegäran mail.docx", "A 25291-2023")</f>
        <v/>
      </c>
      <c r="Z72">
        <f>HYPERLINK("https://klasma.github.io/Logging_0581/fåglar/A 25291-2023 prioriterade fågelarter.docx", "A 25291-2023")</f>
        <v/>
      </c>
    </row>
    <row r="73" ht="15" customHeight="1">
      <c r="A73" t="inlineStr">
        <is>
          <t>A 74113-2021</t>
        </is>
      </c>
      <c r="B73" s="1" t="n">
        <v>44557</v>
      </c>
      <c r="C73" s="1" t="n">
        <v>46194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Blåsippa
Mattlummer</t>
        </is>
      </c>
      <c r="S73">
        <f>HYPERLINK("https://klasma.github.io/Logging_0581/artfynd/A 74113-2021 artfynd.xlsx", "A 74113-2021")</f>
        <v/>
      </c>
      <c r="T73">
        <f>HYPERLINK("https://klasma.github.io/Logging_0581/kartor/A 74113-2021 karta.png", "A 74113-2021")</f>
        <v/>
      </c>
      <c r="V73">
        <f>HYPERLINK("https://klasma.github.io/Logging_0581/klagomål/A 74113-2021 FSC-klagomål.docx", "A 74113-2021")</f>
        <v/>
      </c>
      <c r="W73">
        <f>HYPERLINK("https://klasma.github.io/Logging_0581/klagomålsmail/A 74113-2021 FSC-klagomål mail.docx", "A 74113-2021")</f>
        <v/>
      </c>
      <c r="X73">
        <f>HYPERLINK("https://klasma.github.io/Logging_0581/tillsyn/A 74113-2021 tillsynsbegäran.docx", "A 74113-2021")</f>
        <v/>
      </c>
      <c r="Y73">
        <f>HYPERLINK("https://klasma.github.io/Logging_0581/tillsynsmail/A 74113-2021 tillsynsbegäran mail.docx", "A 74113-2021")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46194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Dropptaggsvamp
Sparvuggla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  <c r="Z74">
        <f>HYPERLINK("https://klasma.github.io/Logging_0581/fåglar/A 46955-2023 prioriterade fågelarter.docx", "A 46955-2023")</f>
        <v/>
      </c>
    </row>
    <row r="75" ht="15" customHeight="1">
      <c r="A75" t="inlineStr">
        <is>
          <t>A 8987-2023</t>
        </is>
      </c>
      <c r="B75" s="1" t="n">
        <v>44974</v>
      </c>
      <c r="C75" s="1" t="n">
        <v>46194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Vedskivlav
Grovticka</t>
        </is>
      </c>
      <c r="S75">
        <f>HYPERLINK("https://klasma.github.io/Logging_0581/artfynd/A 8987-2023 artfynd.xlsx", "A 8987-2023")</f>
        <v/>
      </c>
      <c r="T75">
        <f>HYPERLINK("https://klasma.github.io/Logging_0581/kartor/A 8987-2023 karta.png", "A 8987-2023")</f>
        <v/>
      </c>
      <c r="V75">
        <f>HYPERLINK("https://klasma.github.io/Logging_0581/klagomål/A 8987-2023 FSC-klagomål.docx", "A 8987-2023")</f>
        <v/>
      </c>
      <c r="W75">
        <f>HYPERLINK("https://klasma.github.io/Logging_0581/klagomålsmail/A 8987-2023 FSC-klagomål mail.docx", "A 8987-2023")</f>
        <v/>
      </c>
      <c r="X75">
        <f>HYPERLINK("https://klasma.github.io/Logging_0581/tillsyn/A 8987-2023 tillsynsbegäran.docx", "A 8987-2023")</f>
        <v/>
      </c>
      <c r="Y75">
        <f>HYPERLINK("https://klasma.github.io/Logging_0581/tillsynsmail/A 8987-2023 tillsynsbegäran mail.docx", "A 8987-2023")</f>
        <v/>
      </c>
    </row>
    <row r="76" ht="15" customHeight="1">
      <c r="A76" t="inlineStr">
        <is>
          <t>A 33659-2022</t>
        </is>
      </c>
      <c r="B76" s="1" t="n">
        <v>44789</v>
      </c>
      <c r="C76" s="1" t="n">
        <v>46194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Ask
Sotlav</t>
        </is>
      </c>
      <c r="S76">
        <f>HYPERLINK("https://klasma.github.io/Logging_0581/artfynd/A 33659-2022 artfynd.xlsx", "A 33659-2022")</f>
        <v/>
      </c>
      <c r="T76">
        <f>HYPERLINK("https://klasma.github.io/Logging_0581/kartor/A 33659-2022 karta.png", "A 33659-2022")</f>
        <v/>
      </c>
      <c r="V76">
        <f>HYPERLINK("https://klasma.github.io/Logging_0581/klagomål/A 33659-2022 FSC-klagomål.docx", "A 33659-2022")</f>
        <v/>
      </c>
      <c r="W76">
        <f>HYPERLINK("https://klasma.github.io/Logging_0581/klagomålsmail/A 33659-2022 FSC-klagomål mail.docx", "A 33659-2022")</f>
        <v/>
      </c>
      <c r="X76">
        <f>HYPERLINK("https://klasma.github.io/Logging_0581/tillsyn/A 33659-2022 tillsynsbegäran.docx", "A 33659-2022")</f>
        <v/>
      </c>
      <c r="Y76">
        <f>HYPERLINK("https://klasma.github.io/Logging_0581/tillsynsmail/A 33659-2022 tillsynsbegäran mail.docx", "A 33659-2022")</f>
        <v/>
      </c>
    </row>
    <row r="77" ht="15" customHeight="1">
      <c r="A77" t="inlineStr">
        <is>
          <t>A 10553-2025</t>
        </is>
      </c>
      <c r="B77" s="1" t="n">
        <v>45721</v>
      </c>
      <c r="C77" s="1" t="n">
        <v>46194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Ejder
Rosenfink</t>
        </is>
      </c>
      <c r="S77">
        <f>HYPERLINK("https://klasma.github.io/Logging_0581/artfynd/A 10553-2025 artfynd.xlsx", "A 10553-2025")</f>
        <v/>
      </c>
      <c r="T77">
        <f>HYPERLINK("https://klasma.github.io/Logging_0581/kartor/A 10553-2025 karta.png", "A 10553-2025")</f>
        <v/>
      </c>
      <c r="V77">
        <f>HYPERLINK("https://klasma.github.io/Logging_0581/klagomål/A 10553-2025 FSC-klagomål.docx", "A 10553-2025")</f>
        <v/>
      </c>
      <c r="W77">
        <f>HYPERLINK("https://klasma.github.io/Logging_0581/klagomålsmail/A 10553-2025 FSC-klagomål mail.docx", "A 10553-2025")</f>
        <v/>
      </c>
      <c r="X77">
        <f>HYPERLINK("https://klasma.github.io/Logging_0581/tillsyn/A 10553-2025 tillsynsbegäran.docx", "A 10553-2025")</f>
        <v/>
      </c>
      <c r="Y77">
        <f>HYPERLINK("https://klasma.github.io/Logging_0581/tillsynsmail/A 10553-2025 tillsynsbegäran mail.docx", "A 10553-2025")</f>
        <v/>
      </c>
      <c r="Z77">
        <f>HYPERLINK("https://klasma.github.io/Logging_0581/fåglar/A 10553-2025 prioriterade fågelarter.docx", "A 10553-2025")</f>
        <v/>
      </c>
    </row>
    <row r="78" ht="15" customHeight="1">
      <c r="A78" t="inlineStr">
        <is>
          <t>A 14459-2024</t>
        </is>
      </c>
      <c r="B78" s="1" t="n">
        <v>45394</v>
      </c>
      <c r="C78" s="1" t="n">
        <v>46194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Talltita</t>
        </is>
      </c>
      <c r="S78">
        <f>HYPERLINK("https://klasma.github.io/Logging_0581/artfynd/A 14459-2024 artfynd.xlsx", "A 14459-2024")</f>
        <v/>
      </c>
      <c r="T78">
        <f>HYPERLINK("https://klasma.github.io/Logging_0581/kartor/A 14459-2024 karta.png", "A 14459-2024")</f>
        <v/>
      </c>
      <c r="V78">
        <f>HYPERLINK("https://klasma.github.io/Logging_0581/klagomål/A 14459-2024 FSC-klagomål.docx", "A 14459-2024")</f>
        <v/>
      </c>
      <c r="W78">
        <f>HYPERLINK("https://klasma.github.io/Logging_0581/klagomålsmail/A 14459-2024 FSC-klagomål mail.docx", "A 14459-2024")</f>
        <v/>
      </c>
      <c r="X78">
        <f>HYPERLINK("https://klasma.github.io/Logging_0581/tillsyn/A 14459-2024 tillsynsbegäran.docx", "A 14459-2024")</f>
        <v/>
      </c>
      <c r="Y78">
        <f>HYPERLINK("https://klasma.github.io/Logging_0581/tillsynsmail/A 14459-2024 tillsynsbegäran mail.docx", "A 14459-2024")</f>
        <v/>
      </c>
      <c r="Z78">
        <f>HYPERLINK("https://klasma.github.io/Logging_0581/fåglar/A 14459-2024 prioriterade fågelarter.docx", "A 14459-2024")</f>
        <v/>
      </c>
    </row>
    <row r="79" ht="15" customHeight="1">
      <c r="A79" t="inlineStr">
        <is>
          <t>A 17248-2024</t>
        </is>
      </c>
      <c r="B79" s="1" t="n">
        <v>45414</v>
      </c>
      <c r="C79" s="1" t="n">
        <v>46194</v>
      </c>
      <c r="D79" t="inlineStr">
        <is>
          <t>ÖSTERGÖTLANDS LÄN</t>
        </is>
      </c>
      <c r="E79" t="inlineStr">
        <is>
          <t>NORRKÖPING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Vedticka</t>
        </is>
      </c>
      <c r="S79">
        <f>HYPERLINK("https://klasma.github.io/Logging_0581/artfynd/A 17248-2024 artfynd.xlsx", "A 17248-2024")</f>
        <v/>
      </c>
      <c r="T79">
        <f>HYPERLINK("https://klasma.github.io/Logging_0581/kartor/A 17248-2024 karta.png", "A 17248-2024")</f>
        <v/>
      </c>
      <c r="V79">
        <f>HYPERLINK("https://klasma.github.io/Logging_0581/klagomål/A 17248-2024 FSC-klagomål.docx", "A 17248-2024")</f>
        <v/>
      </c>
      <c r="W79">
        <f>HYPERLINK("https://klasma.github.io/Logging_0581/klagomålsmail/A 17248-2024 FSC-klagomål mail.docx", "A 17248-2024")</f>
        <v/>
      </c>
      <c r="X79">
        <f>HYPERLINK("https://klasma.github.io/Logging_0581/tillsyn/A 17248-2024 tillsynsbegäran.docx", "A 17248-2024")</f>
        <v/>
      </c>
      <c r="Y79">
        <f>HYPERLINK("https://klasma.github.io/Logging_0581/tillsynsmail/A 17248-2024 tillsynsbegäran mail.docx", "A 17248-2024")</f>
        <v/>
      </c>
    </row>
    <row r="80" ht="15" customHeight="1">
      <c r="A80" t="inlineStr">
        <is>
          <t>A 43306-2024</t>
        </is>
      </c>
      <c r="B80" s="1" t="n">
        <v>45568</v>
      </c>
      <c r="C80" s="1" t="n">
        <v>46194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Mindre märgborre</t>
        </is>
      </c>
      <c r="S80">
        <f>HYPERLINK("https://klasma.github.io/Logging_0581/artfynd/A 43306-2024 artfynd.xlsx", "A 43306-2024")</f>
        <v/>
      </c>
      <c r="T80">
        <f>HYPERLINK("https://klasma.github.io/Logging_0581/kartor/A 43306-2024 karta.png", "A 43306-2024")</f>
        <v/>
      </c>
      <c r="V80">
        <f>HYPERLINK("https://klasma.github.io/Logging_0581/klagomål/A 43306-2024 FSC-klagomål.docx", "A 43306-2024")</f>
        <v/>
      </c>
      <c r="W80">
        <f>HYPERLINK("https://klasma.github.io/Logging_0581/klagomålsmail/A 43306-2024 FSC-klagomål mail.docx", "A 43306-2024")</f>
        <v/>
      </c>
      <c r="X80">
        <f>HYPERLINK("https://klasma.github.io/Logging_0581/tillsyn/A 43306-2024 tillsynsbegäran.docx", "A 43306-2024")</f>
        <v/>
      </c>
      <c r="Y80">
        <f>HYPERLINK("https://klasma.github.io/Logging_0581/tillsynsmail/A 43306-2024 tillsynsbegäran mail.docx", "A 43306-2024")</f>
        <v/>
      </c>
    </row>
    <row r="81" ht="15" customHeight="1">
      <c r="A81" t="inlineStr">
        <is>
          <t>A 49869-2021</t>
        </is>
      </c>
      <c r="B81" s="1" t="n">
        <v>44455</v>
      </c>
      <c r="C81" s="1" t="n">
        <v>46194</v>
      </c>
      <c r="D81" t="inlineStr">
        <is>
          <t>ÖSTERGÖTLANDS LÄN</t>
        </is>
      </c>
      <c r="E81" t="inlineStr">
        <is>
          <t>NORRKÖPING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Jungfrulin
Knippnejlika</t>
        </is>
      </c>
      <c r="S81">
        <f>HYPERLINK("https://klasma.github.io/Logging_0581/artfynd/A 49869-2021 artfynd.xlsx", "A 49869-2021")</f>
        <v/>
      </c>
      <c r="T81">
        <f>HYPERLINK("https://klasma.github.io/Logging_0581/kartor/A 49869-2021 karta.png", "A 49869-2021")</f>
        <v/>
      </c>
      <c r="V81">
        <f>HYPERLINK("https://klasma.github.io/Logging_0581/klagomål/A 49869-2021 FSC-klagomål.docx", "A 49869-2021")</f>
        <v/>
      </c>
      <c r="W81">
        <f>HYPERLINK("https://klasma.github.io/Logging_0581/klagomålsmail/A 49869-2021 FSC-klagomål mail.docx", "A 49869-2021")</f>
        <v/>
      </c>
      <c r="X81">
        <f>HYPERLINK("https://klasma.github.io/Logging_0581/tillsyn/A 49869-2021 tillsynsbegäran.docx", "A 49869-2021")</f>
        <v/>
      </c>
      <c r="Y81">
        <f>HYPERLINK("https://klasma.github.io/Logging_0581/tillsynsmail/A 49869-2021 tillsynsbegäran mail.docx", "A 49869-2021")</f>
        <v/>
      </c>
    </row>
    <row r="82" ht="15" customHeight="1">
      <c r="A82" t="inlineStr">
        <is>
          <t>A 5572-2024</t>
        </is>
      </c>
      <c r="B82" s="1" t="n">
        <v>45334</v>
      </c>
      <c r="C82" s="1" t="n">
        <v>46194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0.6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Grov baronmossa
Platt fjädermossa</t>
        </is>
      </c>
      <c r="S82">
        <f>HYPERLINK("https://klasma.github.io/Logging_0581/artfynd/A 5572-2024 artfynd.xlsx", "A 5572-2024")</f>
        <v/>
      </c>
      <c r="T82">
        <f>HYPERLINK("https://klasma.github.io/Logging_0581/kartor/A 5572-2024 karta.png", "A 5572-2024")</f>
        <v/>
      </c>
      <c r="V82">
        <f>HYPERLINK("https://klasma.github.io/Logging_0581/klagomål/A 5572-2024 FSC-klagomål.docx", "A 5572-2024")</f>
        <v/>
      </c>
      <c r="W82">
        <f>HYPERLINK("https://klasma.github.io/Logging_0581/klagomålsmail/A 5572-2024 FSC-klagomål mail.docx", "A 5572-2024")</f>
        <v/>
      </c>
      <c r="X82">
        <f>HYPERLINK("https://klasma.github.io/Logging_0581/tillsyn/A 5572-2024 tillsynsbegäran.docx", "A 5572-2024")</f>
        <v/>
      </c>
      <c r="Y82">
        <f>HYPERLINK("https://klasma.github.io/Logging_0581/tillsynsmail/A 5572-2024 tillsynsbegäran mail.docx", "A 5572-2024")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46194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46194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Tallfingersvamp
Purpurknipprot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27503-2022</t>
        </is>
      </c>
      <c r="B85" s="1" t="n">
        <v>44742</v>
      </c>
      <c r="C85" s="1" t="n">
        <v>46194</v>
      </c>
      <c r="D85" t="inlineStr">
        <is>
          <t>ÖSTERGÖTLANDS LÄN</t>
        </is>
      </c>
      <c r="E85" t="inlineStr">
        <is>
          <t>NORRKÖPING</t>
        </is>
      </c>
      <c r="G85" t="n">
        <v>2.9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Svinrot
Ängsskära</t>
        </is>
      </c>
      <c r="S85">
        <f>HYPERLINK("https://klasma.github.io/Logging_0581/artfynd/A 27503-2022 artfynd.xlsx", "A 27503-2022")</f>
        <v/>
      </c>
      <c r="T85">
        <f>HYPERLINK("https://klasma.github.io/Logging_0581/kartor/A 27503-2022 karta.png", "A 27503-2022")</f>
        <v/>
      </c>
      <c r="V85">
        <f>HYPERLINK("https://klasma.github.io/Logging_0581/klagomål/A 27503-2022 FSC-klagomål.docx", "A 27503-2022")</f>
        <v/>
      </c>
      <c r="W85">
        <f>HYPERLINK("https://klasma.github.io/Logging_0581/klagomålsmail/A 27503-2022 FSC-klagomål mail.docx", "A 27503-2022")</f>
        <v/>
      </c>
      <c r="X85">
        <f>HYPERLINK("https://klasma.github.io/Logging_0581/tillsyn/A 27503-2022 tillsynsbegäran.docx", "A 27503-2022")</f>
        <v/>
      </c>
      <c r="Y85">
        <f>HYPERLINK("https://klasma.github.io/Logging_0581/tillsynsmail/A 27503-2022 tillsynsbegäran mail.docx", "A 27503-2022")</f>
        <v/>
      </c>
    </row>
    <row r="86" ht="15" customHeight="1">
      <c r="A86" t="inlineStr">
        <is>
          <t>A 5809-2025</t>
        </is>
      </c>
      <c r="B86" s="1" t="n">
        <v>45694</v>
      </c>
      <c r="C86" s="1" t="n">
        <v>46194</v>
      </c>
      <c r="D86" t="inlineStr">
        <is>
          <t>ÖSTERGÖTLANDS LÄN</t>
        </is>
      </c>
      <c r="E86" t="inlineStr">
        <is>
          <t>NORRKÖPING</t>
        </is>
      </c>
      <c r="G86" t="n">
        <v>3.7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Blåsippa
Vanlig padda</t>
        </is>
      </c>
      <c r="S86">
        <f>HYPERLINK("https://klasma.github.io/Logging_0581/artfynd/A 5809-2025 artfynd.xlsx", "A 5809-2025")</f>
        <v/>
      </c>
      <c r="T86">
        <f>HYPERLINK("https://klasma.github.io/Logging_0581/kartor/A 5809-2025 karta.png", "A 5809-2025")</f>
        <v/>
      </c>
      <c r="V86">
        <f>HYPERLINK("https://klasma.github.io/Logging_0581/klagomål/A 5809-2025 FSC-klagomål.docx", "A 5809-2025")</f>
        <v/>
      </c>
      <c r="W86">
        <f>HYPERLINK("https://klasma.github.io/Logging_0581/klagomålsmail/A 5809-2025 FSC-klagomål mail.docx", "A 5809-2025")</f>
        <v/>
      </c>
      <c r="X86">
        <f>HYPERLINK("https://klasma.github.io/Logging_0581/tillsyn/A 5809-2025 tillsynsbegäran.docx", "A 5809-2025")</f>
        <v/>
      </c>
      <c r="Y86">
        <f>HYPERLINK("https://klasma.github.io/Logging_0581/tillsynsmail/A 5809-2025 tillsynsbegäran mail.docx", "A 5809-2025")</f>
        <v/>
      </c>
    </row>
    <row r="87" ht="15" customHeight="1">
      <c r="A87" t="inlineStr">
        <is>
          <t>A 24233-2025</t>
        </is>
      </c>
      <c r="B87" s="1" t="n">
        <v>45797</v>
      </c>
      <c r="C87" s="1" t="n">
        <v>46194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5.4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Tallticka
Granbarkgnagare</t>
        </is>
      </c>
      <c r="S87">
        <f>HYPERLINK("https://klasma.github.io/Logging_0581/artfynd/A 24233-2025 artfynd.xlsx", "A 24233-2025")</f>
        <v/>
      </c>
      <c r="T87">
        <f>HYPERLINK("https://klasma.github.io/Logging_0581/kartor/A 24233-2025 karta.png", "A 24233-2025")</f>
        <v/>
      </c>
      <c r="V87">
        <f>HYPERLINK("https://klasma.github.io/Logging_0581/klagomål/A 24233-2025 FSC-klagomål.docx", "A 24233-2025")</f>
        <v/>
      </c>
      <c r="W87">
        <f>HYPERLINK("https://klasma.github.io/Logging_0581/klagomålsmail/A 24233-2025 FSC-klagomål mail.docx", "A 24233-2025")</f>
        <v/>
      </c>
      <c r="X87">
        <f>HYPERLINK("https://klasma.github.io/Logging_0581/tillsyn/A 24233-2025 tillsynsbegäran.docx", "A 24233-2025")</f>
        <v/>
      </c>
      <c r="Y87">
        <f>HYPERLINK("https://klasma.github.io/Logging_0581/tillsynsmail/A 24233-2025 tillsynsbegäran mail.docx", "A 24233-2025")</f>
        <v/>
      </c>
    </row>
    <row r="88" ht="15" customHeight="1">
      <c r="A88" t="inlineStr">
        <is>
          <t>A 18682-2025</t>
        </is>
      </c>
      <c r="B88" s="1" t="n">
        <v>45763</v>
      </c>
      <c r="C88" s="1" t="n">
        <v>46194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Jungfrulin
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53852-2022</t>
        </is>
      </c>
      <c r="B89" s="1" t="n">
        <v>44880</v>
      </c>
      <c r="C89" s="1" t="n">
        <v>46194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Blåsippa</t>
        </is>
      </c>
      <c r="S89">
        <f>HYPERLINK("https://klasma.github.io/Logging_0581/artfynd/A 53852-2022 artfynd.xlsx", "A 53852-2022")</f>
        <v/>
      </c>
      <c r="T89">
        <f>HYPERLINK("https://klasma.github.io/Logging_0581/kartor/A 53852-2022 karta.png", "A 53852-2022")</f>
        <v/>
      </c>
      <c r="V89">
        <f>HYPERLINK("https://klasma.github.io/Logging_0581/klagomål/A 53852-2022 FSC-klagomål.docx", "A 53852-2022")</f>
        <v/>
      </c>
      <c r="W89">
        <f>HYPERLINK("https://klasma.github.io/Logging_0581/klagomålsmail/A 53852-2022 FSC-klagomål mail.docx", "A 53852-2022")</f>
        <v/>
      </c>
      <c r="X89">
        <f>HYPERLINK("https://klasma.github.io/Logging_0581/tillsyn/A 53852-2022 tillsynsbegäran.docx", "A 53852-2022")</f>
        <v/>
      </c>
      <c r="Y89">
        <f>HYPERLINK("https://klasma.github.io/Logging_0581/tillsynsmail/A 53852-2022 tillsynsbegäran mail.docx", "A 53852-2022")</f>
        <v/>
      </c>
    </row>
    <row r="90" ht="15" customHeight="1">
      <c r="A90" t="inlineStr">
        <is>
          <t>A 21799-2025</t>
        </is>
      </c>
      <c r="B90" s="1" t="n">
        <v>45783</v>
      </c>
      <c r="C90" s="1" t="n">
        <v>46194</v>
      </c>
      <c r="D90" t="inlineStr">
        <is>
          <t>ÖSTERGÖTLANDS LÄN</t>
        </is>
      </c>
      <c r="E90" t="inlineStr">
        <is>
          <t>NORRKÖPING</t>
        </is>
      </c>
      <c r="G90" t="n">
        <v>3.5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Blåmossa
Revlummer</t>
        </is>
      </c>
      <c r="S90">
        <f>HYPERLINK("https://klasma.github.io/Logging_0581/artfynd/A 21799-2025 artfynd.xlsx", "A 21799-2025")</f>
        <v/>
      </c>
      <c r="T90">
        <f>HYPERLINK("https://klasma.github.io/Logging_0581/kartor/A 21799-2025 karta.png", "A 21799-2025")</f>
        <v/>
      </c>
      <c r="V90">
        <f>HYPERLINK("https://klasma.github.io/Logging_0581/klagomål/A 21799-2025 FSC-klagomål.docx", "A 21799-2025")</f>
        <v/>
      </c>
      <c r="W90">
        <f>HYPERLINK("https://klasma.github.io/Logging_0581/klagomålsmail/A 21799-2025 FSC-klagomål mail.docx", "A 21799-2025")</f>
        <v/>
      </c>
      <c r="X90">
        <f>HYPERLINK("https://klasma.github.io/Logging_0581/tillsyn/A 21799-2025 tillsynsbegäran.docx", "A 21799-2025")</f>
        <v/>
      </c>
      <c r="Y90">
        <f>HYPERLINK("https://klasma.github.io/Logging_0581/tillsynsmail/A 21799-2025 tillsynsbegäran mail.docx", "A 21799-2025")</f>
        <v/>
      </c>
    </row>
    <row r="91" ht="15" customHeight="1">
      <c r="A91" t="inlineStr">
        <is>
          <t>A 14636-2025</t>
        </is>
      </c>
      <c r="B91" s="1" t="n">
        <v>45742</v>
      </c>
      <c r="C91" s="1" t="n">
        <v>46194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Tjäder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s="1" t="n">
        <v>45758</v>
      </c>
      <c r="C92" s="1" t="n">
        <v>46194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6.7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Huggorm</t>
        </is>
      </c>
      <c r="S92">
        <f>HYPERLINK("https://klasma.github.io/Logging_0581/artfynd/A 17793-2025 artfynd.xlsx", "A 17793-2025")</f>
        <v/>
      </c>
      <c r="T92">
        <f>HYPERLINK("https://klasma.github.io/Logging_0581/kartor/A 17793-2025 karta.png", "A 17793-2025")</f>
        <v/>
      </c>
      <c r="V92">
        <f>HYPERLINK("https://klasma.github.io/Logging_0581/klagomål/A 17793-2025 FSC-klagomål.docx", "A 17793-2025")</f>
        <v/>
      </c>
      <c r="W92">
        <f>HYPERLINK("https://klasma.github.io/Logging_0581/klagomålsmail/A 17793-2025 FSC-klagomål mail.docx", "A 17793-2025")</f>
        <v/>
      </c>
      <c r="X92">
        <f>HYPERLINK("https://klasma.github.io/Logging_0581/tillsyn/A 17793-2025 tillsynsbegäran.docx", "A 17793-2025")</f>
        <v/>
      </c>
      <c r="Y92">
        <f>HYPERLINK("https://klasma.github.io/Logging_0581/tillsynsmail/A 17793-2025 tillsynsbegäran mail.docx", "A 17793-2025")</f>
        <v/>
      </c>
    </row>
    <row r="93" ht="15" customHeight="1">
      <c r="A93" t="inlineStr">
        <is>
          <t>A 48735-2025</t>
        </is>
      </c>
      <c r="B93" s="1" t="n">
        <v>45936</v>
      </c>
      <c r="C93" s="1" t="n">
        <v>46194</v>
      </c>
      <c r="D93" t="inlineStr">
        <is>
          <t>ÖSTERGÖTLANDS LÄN</t>
        </is>
      </c>
      <c r="E93" t="inlineStr">
        <is>
          <t>NORRKÖPING</t>
        </is>
      </c>
      <c r="G93" t="n">
        <v>3.6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Ekoxe
Stuplav</t>
        </is>
      </c>
      <c r="S93">
        <f>HYPERLINK("https://klasma.github.io/Logging_0581/artfynd/A 48735-2025 artfynd.xlsx", "A 48735-2025")</f>
        <v/>
      </c>
      <c r="T93">
        <f>HYPERLINK("https://klasma.github.io/Logging_0581/kartor/A 48735-2025 karta.png", "A 48735-2025")</f>
        <v/>
      </c>
      <c r="V93">
        <f>HYPERLINK("https://klasma.github.io/Logging_0581/klagomål/A 48735-2025 FSC-klagomål.docx", "A 48735-2025")</f>
        <v/>
      </c>
      <c r="W93">
        <f>HYPERLINK("https://klasma.github.io/Logging_0581/klagomålsmail/A 48735-2025 FSC-klagomål mail.docx", "A 48735-2025")</f>
        <v/>
      </c>
      <c r="X93">
        <f>HYPERLINK("https://klasma.github.io/Logging_0581/tillsyn/A 48735-2025 tillsynsbegäran.docx", "A 48735-2025")</f>
        <v/>
      </c>
      <c r="Y93">
        <f>HYPERLINK("https://klasma.github.io/Logging_0581/tillsynsmail/A 48735-2025 tillsynsbegäran mail.docx", "A 48735-2025")</f>
        <v/>
      </c>
    </row>
    <row r="94" ht="15" customHeight="1">
      <c r="A94" t="inlineStr">
        <is>
          <t>A 42365-2025</t>
        </is>
      </c>
      <c r="B94" s="1" t="n">
        <v>45905</v>
      </c>
      <c r="C94" s="1" t="n">
        <v>46194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Svinrot
Tibast</t>
        </is>
      </c>
      <c r="S94">
        <f>HYPERLINK("https://klasma.github.io/Logging_0581/artfynd/A 42365-2025 artfynd.xlsx", "A 42365-2025")</f>
        <v/>
      </c>
      <c r="T94">
        <f>HYPERLINK("https://klasma.github.io/Logging_0581/kartor/A 42365-2025 karta.png", "A 42365-2025")</f>
        <v/>
      </c>
      <c r="V94">
        <f>HYPERLINK("https://klasma.github.io/Logging_0581/klagomål/A 42365-2025 FSC-klagomål.docx", "A 42365-2025")</f>
        <v/>
      </c>
      <c r="W94">
        <f>HYPERLINK("https://klasma.github.io/Logging_0581/klagomålsmail/A 42365-2025 FSC-klagomål mail.docx", "A 42365-2025")</f>
        <v/>
      </c>
      <c r="X94">
        <f>HYPERLINK("https://klasma.github.io/Logging_0581/tillsyn/A 42365-2025 tillsynsbegäran.docx", "A 42365-2025")</f>
        <v/>
      </c>
      <c r="Y94">
        <f>HYPERLINK("https://klasma.github.io/Logging_0581/tillsynsmail/A 42365-2025 tillsynsbegäran mail.docx", "A 42365-2025")</f>
        <v/>
      </c>
    </row>
    <row r="95" ht="15" customHeight="1">
      <c r="A95" t="inlineStr">
        <is>
          <t>A 46692-2024</t>
        </is>
      </c>
      <c r="B95" s="1" t="n">
        <v>45583</v>
      </c>
      <c r="C95" s="1" t="n">
        <v>46194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Dvärgbägarlav
Flagellkvastmossa</t>
        </is>
      </c>
      <c r="S95">
        <f>HYPERLINK("https://klasma.github.io/Logging_0581/artfynd/A 46692-2024 artfynd.xlsx", "A 46692-2024")</f>
        <v/>
      </c>
      <c r="T95">
        <f>HYPERLINK("https://klasma.github.io/Logging_0581/kartor/A 46692-2024 karta.png", "A 46692-2024")</f>
        <v/>
      </c>
      <c r="V95">
        <f>HYPERLINK("https://klasma.github.io/Logging_0581/klagomål/A 46692-2024 FSC-klagomål.docx", "A 46692-2024")</f>
        <v/>
      </c>
      <c r="W95">
        <f>HYPERLINK("https://klasma.github.io/Logging_0581/klagomålsmail/A 46692-2024 FSC-klagomål mail.docx", "A 46692-2024")</f>
        <v/>
      </c>
      <c r="X95">
        <f>HYPERLINK("https://klasma.github.io/Logging_0581/tillsyn/A 46692-2024 tillsynsbegäran.docx", "A 46692-2024")</f>
        <v/>
      </c>
      <c r="Y95">
        <f>HYPERLINK("https://klasma.github.io/Logging_0581/tillsynsmail/A 46692-2024 tillsynsbegäran mail.docx", "A 46692-2024")</f>
        <v/>
      </c>
    </row>
    <row r="96" ht="15" customHeight="1">
      <c r="A96" t="inlineStr">
        <is>
          <t>A 56971-2025</t>
        </is>
      </c>
      <c r="B96" s="1" t="n">
        <v>45978</v>
      </c>
      <c r="C96" s="1" t="n">
        <v>46194</v>
      </c>
      <c r="D96" t="inlineStr">
        <is>
          <t>ÖSTERGÖTLANDS LÄN</t>
        </is>
      </c>
      <c r="E96" t="inlineStr">
        <is>
          <t>NORRKÖPING</t>
        </is>
      </c>
      <c r="G96" t="n">
        <v>9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Tallticka</t>
        </is>
      </c>
      <c r="S96">
        <f>HYPERLINK("https://klasma.github.io/Logging_0581/artfynd/A 56971-2025 artfynd.xlsx", "A 56971-2025")</f>
        <v/>
      </c>
      <c r="T96">
        <f>HYPERLINK("https://klasma.github.io/Logging_0581/kartor/A 56971-2025 karta.png", "A 56971-2025")</f>
        <v/>
      </c>
      <c r="U96">
        <f>HYPERLINK("https://klasma.github.io/Logging_0581/knärot/A 56971-2025 karta knärot.png", "A 56971-2025")</f>
        <v/>
      </c>
      <c r="V96">
        <f>HYPERLINK("https://klasma.github.io/Logging_0581/klagomål/A 56971-2025 FSC-klagomål.docx", "A 56971-2025")</f>
        <v/>
      </c>
      <c r="W96">
        <f>HYPERLINK("https://klasma.github.io/Logging_0581/klagomålsmail/A 56971-2025 FSC-klagomål mail.docx", "A 56971-2025")</f>
        <v/>
      </c>
      <c r="X96">
        <f>HYPERLINK("https://klasma.github.io/Logging_0581/tillsyn/A 56971-2025 tillsynsbegäran.docx", "A 56971-2025")</f>
        <v/>
      </c>
      <c r="Y96">
        <f>HYPERLINK("https://klasma.github.io/Logging_0581/tillsynsmail/A 56971-2025 tillsynsbegäran mail.docx", "A 56971-2025")</f>
        <v/>
      </c>
    </row>
    <row r="97" ht="15" customHeight="1">
      <c r="A97" t="inlineStr">
        <is>
          <t>A 58380-2025</t>
        </is>
      </c>
      <c r="B97" s="1" t="n">
        <v>45985</v>
      </c>
      <c r="C97" s="1" t="n">
        <v>46194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Tallticka</t>
        </is>
      </c>
      <c r="S97">
        <f>HYPERLINK("https://klasma.github.io/Logging_0581/artfynd/A 58380-2025 artfynd.xlsx", "A 58380-2025")</f>
        <v/>
      </c>
      <c r="T97">
        <f>HYPERLINK("https://klasma.github.io/Logging_0581/kartor/A 58380-2025 karta.png", "A 58380-2025")</f>
        <v/>
      </c>
      <c r="U97">
        <f>HYPERLINK("https://klasma.github.io/Logging_0581/knärot/A 58380-2025 karta knärot.png", "A 58380-2025")</f>
        <v/>
      </c>
      <c r="V97">
        <f>HYPERLINK("https://klasma.github.io/Logging_0581/klagomål/A 58380-2025 FSC-klagomål.docx", "A 58380-2025")</f>
        <v/>
      </c>
      <c r="W97">
        <f>HYPERLINK("https://klasma.github.io/Logging_0581/klagomålsmail/A 58380-2025 FSC-klagomål mail.docx", "A 58380-2025")</f>
        <v/>
      </c>
      <c r="X97">
        <f>HYPERLINK("https://klasma.github.io/Logging_0581/tillsyn/A 58380-2025 tillsynsbegäran.docx", "A 58380-2025")</f>
        <v/>
      </c>
      <c r="Y97">
        <f>HYPERLINK("https://klasma.github.io/Logging_0581/tillsynsmail/A 58380-2025 tillsynsbegäran mail.docx", "A 58380-2025")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46194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Tjäder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9722-2025</t>
        </is>
      </c>
      <c r="B99" s="1" t="n">
        <v>45716</v>
      </c>
      <c r="C99" s="1" t="n">
        <v>46194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Blåsippa</t>
        </is>
      </c>
      <c r="S99">
        <f>HYPERLINK("https://klasma.github.io/Logging_0581/artfynd/A 9722-2025 artfynd.xlsx", "A 9722-2025")</f>
        <v/>
      </c>
      <c r="T99">
        <f>HYPERLINK("https://klasma.github.io/Logging_0581/kartor/A 9722-2025 karta.png", "A 9722-2025")</f>
        <v/>
      </c>
      <c r="V99">
        <f>HYPERLINK("https://klasma.github.io/Logging_0581/klagomål/A 9722-2025 FSC-klagomål.docx", "A 9722-2025")</f>
        <v/>
      </c>
      <c r="W99">
        <f>HYPERLINK("https://klasma.github.io/Logging_0581/klagomålsmail/A 9722-2025 FSC-klagomål mail.docx", "A 9722-2025")</f>
        <v/>
      </c>
      <c r="X99">
        <f>HYPERLINK("https://klasma.github.io/Logging_0581/tillsyn/A 9722-2025 tillsynsbegäran.docx", "A 9722-2025")</f>
        <v/>
      </c>
      <c r="Y99">
        <f>HYPERLINK("https://klasma.github.io/Logging_0581/tillsynsmail/A 9722-2025 tillsynsbegäran mail.docx", "A 9722-2025")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46194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9746-2025</t>
        </is>
      </c>
      <c r="B101" s="1" t="n">
        <v>45716</v>
      </c>
      <c r="C101" s="1" t="n">
        <v>46194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Ask
Blåsippa</t>
        </is>
      </c>
      <c r="S101">
        <f>HYPERLINK("https://klasma.github.io/Logging_0581/artfynd/A 9746-2025 artfynd.xlsx", "A 9746-2025")</f>
        <v/>
      </c>
      <c r="T101">
        <f>HYPERLINK("https://klasma.github.io/Logging_0581/kartor/A 9746-2025 karta.png", "A 9746-2025")</f>
        <v/>
      </c>
      <c r="V101">
        <f>HYPERLINK("https://klasma.github.io/Logging_0581/klagomål/A 9746-2025 FSC-klagomål.docx", "A 9746-2025")</f>
        <v/>
      </c>
      <c r="W101">
        <f>HYPERLINK("https://klasma.github.io/Logging_0581/klagomålsmail/A 9746-2025 FSC-klagomål mail.docx", "A 9746-2025")</f>
        <v/>
      </c>
      <c r="X101">
        <f>HYPERLINK("https://klasma.github.io/Logging_0581/tillsyn/A 9746-2025 tillsynsbegäran.docx", "A 9746-2025")</f>
        <v/>
      </c>
      <c r="Y101">
        <f>HYPERLINK("https://klasma.github.io/Logging_0581/tillsynsmail/A 9746-2025 tillsynsbegäran mail.docx", "A 9746-2025")</f>
        <v/>
      </c>
    </row>
    <row r="102" ht="15" customHeight="1">
      <c r="A102" t="inlineStr">
        <is>
          <t>A 19182-2025</t>
        </is>
      </c>
      <c r="B102" s="1" t="n">
        <v>45769</v>
      </c>
      <c r="C102" s="1" t="n">
        <v>46194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Ullticka</t>
        </is>
      </c>
      <c r="S102">
        <f>HYPERLINK("https://klasma.github.io/Logging_0581/artfynd/A 19182-2025 artfynd.xlsx", "A 19182-2025")</f>
        <v/>
      </c>
      <c r="T102">
        <f>HYPERLINK("https://klasma.github.io/Logging_0581/kartor/A 19182-2025 karta.png", "A 19182-2025")</f>
        <v/>
      </c>
      <c r="U102">
        <f>HYPERLINK("https://klasma.github.io/Logging_0581/knärot/A 19182-2025 karta knärot.png", "A 19182-2025")</f>
        <v/>
      </c>
      <c r="V102">
        <f>HYPERLINK("https://klasma.github.io/Logging_0581/klagomål/A 19182-2025 FSC-klagomål.docx", "A 19182-2025")</f>
        <v/>
      </c>
      <c r="W102">
        <f>HYPERLINK("https://klasma.github.io/Logging_0581/klagomålsmail/A 19182-2025 FSC-klagomål mail.docx", "A 19182-2025")</f>
        <v/>
      </c>
      <c r="X102">
        <f>HYPERLINK("https://klasma.github.io/Logging_0581/tillsyn/A 19182-2025 tillsynsbegäran.docx", "A 19182-2025")</f>
        <v/>
      </c>
      <c r="Y102">
        <f>HYPERLINK("https://klasma.github.io/Logging_0581/tillsynsmail/A 19182-2025 tillsynsbegäran mail.docx", "A 19182-2025")</f>
        <v/>
      </c>
    </row>
    <row r="103" ht="15" customHeight="1">
      <c r="A103" t="inlineStr">
        <is>
          <t>A 12188-2026</t>
        </is>
      </c>
      <c r="B103" s="1" t="n">
        <v>46086</v>
      </c>
      <c r="C103" s="1" t="n">
        <v>46194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7.8</v>
      </c>
      <c r="H103" t="n">
        <v>1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Korallrot</t>
        </is>
      </c>
      <c r="S103">
        <f>HYPERLINK("https://klasma.github.io/Logging_0581/artfynd/A 12188-2026 artfynd.xlsx", "A 12188-2026")</f>
        <v/>
      </c>
      <c r="T103">
        <f>HYPERLINK("https://klasma.github.io/Logging_0581/kartor/A 12188-2026 karta.png", "A 12188-2026")</f>
        <v/>
      </c>
      <c r="V103">
        <f>HYPERLINK("https://klasma.github.io/Logging_0581/klagomål/A 12188-2026 FSC-klagomål.docx", "A 12188-2026")</f>
        <v/>
      </c>
      <c r="W103">
        <f>HYPERLINK("https://klasma.github.io/Logging_0581/klagomålsmail/A 12188-2026 FSC-klagomål mail.docx", "A 12188-2026")</f>
        <v/>
      </c>
      <c r="X103">
        <f>HYPERLINK("https://klasma.github.io/Logging_0581/tillsyn/A 12188-2026 tillsynsbegäran.docx", "A 12188-2026")</f>
        <v/>
      </c>
      <c r="Y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4826-2023</t>
        </is>
      </c>
      <c r="B104" s="1" t="n">
        <v>44957</v>
      </c>
      <c r="C104" s="1" t="n">
        <v>46194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5.1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Bårdlav
Havsörn</t>
        </is>
      </c>
      <c r="S104">
        <f>HYPERLINK("https://klasma.github.io/Logging_0581/artfynd/A 4826-2023 artfynd.xlsx", "A 4826-2023")</f>
        <v/>
      </c>
      <c r="T104">
        <f>HYPERLINK("https://klasma.github.io/Logging_0581/kartor/A 4826-2023 karta.png", "A 4826-2023")</f>
        <v/>
      </c>
      <c r="V104">
        <f>HYPERLINK("https://klasma.github.io/Logging_0581/klagomål/A 4826-2023 FSC-klagomål.docx", "A 4826-2023")</f>
        <v/>
      </c>
      <c r="W104">
        <f>HYPERLINK("https://klasma.github.io/Logging_0581/klagomålsmail/A 4826-2023 FSC-klagomål mail.docx", "A 4826-2023")</f>
        <v/>
      </c>
      <c r="X104">
        <f>HYPERLINK("https://klasma.github.io/Logging_0581/tillsyn/A 4826-2023 tillsynsbegäran.docx", "A 4826-2023")</f>
        <v/>
      </c>
      <c r="Y104">
        <f>HYPERLINK("https://klasma.github.io/Logging_0581/tillsynsmail/A 4826-2023 tillsynsbegäran mail.docx", "A 4826-2023")</f>
        <v/>
      </c>
      <c r="Z104">
        <f>HYPERLINK("https://klasma.github.io/Logging_0581/fåglar/A 4826-2023 prioriterade fågelarter.docx", "A 4826-2023")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46194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46194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46194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46194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9941-2024</t>
        </is>
      </c>
      <c r="B113" s="1" t="n">
        <v>45363</v>
      </c>
      <c r="C113" s="1" t="n">
        <v>46194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Purpurknipprot</t>
        </is>
      </c>
      <c r="S113">
        <f>HYPERLINK("https://klasma.github.io/Logging_0581/artfynd/A 9941-2024 artfynd.xlsx", "A 9941-2024")</f>
        <v/>
      </c>
      <c r="T113">
        <f>HYPERLINK("https://klasma.github.io/Logging_0581/kartor/A 9941-2024 karta.png", "A 9941-2024")</f>
        <v/>
      </c>
      <c r="V113">
        <f>HYPERLINK("https://klasma.github.io/Logging_0581/klagomål/A 9941-2024 FSC-klagomål.docx", "A 9941-2024")</f>
        <v/>
      </c>
      <c r="W113">
        <f>HYPERLINK("https://klasma.github.io/Logging_0581/klagomålsmail/A 9941-2024 FSC-klagomål mail.docx", "A 9941-2024")</f>
        <v/>
      </c>
      <c r="X113">
        <f>HYPERLINK("https://klasma.github.io/Logging_0581/tillsyn/A 9941-2024 tillsynsbegäran.docx", "A 9941-2024")</f>
        <v/>
      </c>
      <c r="Y113">
        <f>HYPERLINK("https://klasma.github.io/Logging_0581/tillsynsmail/A 9941-2024 tillsynsbegäran mail.docx", "A 9941-2024")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46194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15124-2025</t>
        </is>
      </c>
      <c r="B115" s="1" t="n">
        <v>45744</v>
      </c>
      <c r="C115" s="1" t="n">
        <v>46194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15124-2025 artfynd.xlsx", "A 15124-2025")</f>
        <v/>
      </c>
      <c r="T115">
        <f>HYPERLINK("https://klasma.github.io/Logging_0581/kartor/A 15124-2025 karta.png", "A 15124-2025")</f>
        <v/>
      </c>
      <c r="V115">
        <f>HYPERLINK("https://klasma.github.io/Logging_0581/klagomål/A 15124-2025 FSC-klagomål.docx", "A 15124-2025")</f>
        <v/>
      </c>
      <c r="W115">
        <f>HYPERLINK("https://klasma.github.io/Logging_0581/klagomålsmail/A 15124-2025 FSC-klagomål mail.docx", "A 15124-2025")</f>
        <v/>
      </c>
      <c r="X115">
        <f>HYPERLINK("https://klasma.github.io/Logging_0581/tillsyn/A 15124-2025 tillsynsbegäran.docx", "A 15124-2025")</f>
        <v/>
      </c>
      <c r="Y115">
        <f>HYPERLINK("https://klasma.github.io/Logging_0581/tillsynsmail/A 15124-2025 tillsynsbegäran mail.docx", "A 15124-2025")</f>
        <v/>
      </c>
    </row>
    <row r="116" ht="15" customHeight="1">
      <c r="A116" t="inlineStr">
        <is>
          <t>A 15143-2025</t>
        </is>
      </c>
      <c r="B116" s="1" t="n">
        <v>45744</v>
      </c>
      <c r="C116" s="1" t="n">
        <v>46194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HYPERLINK("https://klasma.github.io/Logging_0581/artfynd/A 15143-2025 artfynd.xlsx", "A 15143-2025")</f>
        <v/>
      </c>
      <c r="T116">
        <f>HYPERLINK("https://klasma.github.io/Logging_0581/kartor/A 15143-2025 karta.png", "A 15143-2025")</f>
        <v/>
      </c>
      <c r="V116">
        <f>HYPERLINK("https://klasma.github.io/Logging_0581/klagomål/A 15143-2025 FSC-klagomål.docx", "A 15143-2025")</f>
        <v/>
      </c>
      <c r="W116">
        <f>HYPERLINK("https://klasma.github.io/Logging_0581/klagomålsmail/A 15143-2025 FSC-klagomål mail.docx", "A 15143-2025")</f>
        <v/>
      </c>
      <c r="X116">
        <f>HYPERLINK("https://klasma.github.io/Logging_0581/tillsyn/A 15143-2025 tillsynsbegäran.docx", "A 15143-2025")</f>
        <v/>
      </c>
      <c r="Y116">
        <f>HYPERLINK("https://klasma.github.io/Logging_0581/tillsynsmail/A 15143-2025 tillsynsbegäran mail.docx", "A 15143-2025")</f>
        <v/>
      </c>
    </row>
    <row r="117" ht="15" customHeight="1">
      <c r="A117" t="inlineStr">
        <is>
          <t>A 2545-2023</t>
        </is>
      </c>
      <c r="B117" s="1" t="n">
        <v>44943</v>
      </c>
      <c r="C117" s="1" t="n">
        <v>46194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Hasselticka</t>
        </is>
      </c>
      <c r="S117">
        <f>HYPERLINK("https://klasma.github.io/Logging_0581/artfynd/A 2545-2023 artfynd.xlsx", "A 2545-2023")</f>
        <v/>
      </c>
      <c r="T117">
        <f>HYPERLINK("https://klasma.github.io/Logging_0581/kartor/A 2545-2023 karta.png", "A 2545-2023")</f>
        <v/>
      </c>
      <c r="V117">
        <f>HYPERLINK("https://klasma.github.io/Logging_0581/klagomål/A 2545-2023 FSC-klagomål.docx", "A 2545-2023")</f>
        <v/>
      </c>
      <c r="W117">
        <f>HYPERLINK("https://klasma.github.io/Logging_0581/klagomålsmail/A 2545-2023 FSC-klagomål mail.docx", "A 2545-2023")</f>
        <v/>
      </c>
      <c r="X117">
        <f>HYPERLINK("https://klasma.github.io/Logging_0581/tillsyn/A 2545-2023 tillsynsbegäran.docx", "A 2545-2023")</f>
        <v/>
      </c>
      <c r="Y117">
        <f>HYPERLINK("https://klasma.github.io/Logging_0581/tillsynsmail/A 2545-2023 tillsynsbegäran mail.docx", "A 2545-2023")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46194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3247-2024</t>
        </is>
      </c>
      <c r="B119" s="1" t="n">
        <v>45317</v>
      </c>
      <c r="C119" s="1" t="n">
        <v>46194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HYPERLINK("https://klasma.github.io/Logging_0581/artfynd/A 3247-2024 artfynd.xlsx", "A 3247-2024")</f>
        <v/>
      </c>
      <c r="T119">
        <f>HYPERLINK("https://klasma.github.io/Logging_0581/kartor/A 3247-2024 karta.png", "A 3247-2024")</f>
        <v/>
      </c>
      <c r="V119">
        <f>HYPERLINK("https://klasma.github.io/Logging_0581/klagomål/A 3247-2024 FSC-klagomål.docx", "A 3247-2024")</f>
        <v/>
      </c>
      <c r="W119">
        <f>HYPERLINK("https://klasma.github.io/Logging_0581/klagomålsmail/A 3247-2024 FSC-klagomål mail.docx", "A 3247-2024")</f>
        <v/>
      </c>
      <c r="X119">
        <f>HYPERLINK("https://klasma.github.io/Logging_0581/tillsyn/A 3247-2024 tillsynsbegäran.docx", "A 3247-2024")</f>
        <v/>
      </c>
      <c r="Y119">
        <f>HYPERLINK("https://klasma.github.io/Logging_0581/tillsynsmail/A 3247-2024 tillsynsbegäran mail.docx", "A 3247-2024")</f>
        <v/>
      </c>
      <c r="Z119">
        <f>HYPERLINK("https://klasma.github.io/Logging_0581/fåglar/A 3247-2024 prioriterade fågelarter.docx", "A 3247-2024")</f>
        <v/>
      </c>
    </row>
    <row r="120" ht="15" customHeight="1">
      <c r="A120" t="inlineStr">
        <is>
          <t>A 14044-2023</t>
        </is>
      </c>
      <c r="B120" s="1" t="n">
        <v>45008</v>
      </c>
      <c r="C120" s="1" t="n">
        <v>46194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HYPERLINK("https://klasma.github.io/Logging_0581/artfynd/A 14044-2023 artfynd.xlsx", "A 14044-2023")</f>
        <v/>
      </c>
      <c r="T120">
        <f>HYPERLINK("https://klasma.github.io/Logging_0581/kartor/A 14044-2023 karta.png", "A 14044-2023")</f>
        <v/>
      </c>
      <c r="V120">
        <f>HYPERLINK("https://klasma.github.io/Logging_0581/klagomål/A 14044-2023 FSC-klagomål.docx", "A 14044-2023")</f>
        <v/>
      </c>
      <c r="W120">
        <f>HYPERLINK("https://klasma.github.io/Logging_0581/klagomålsmail/A 14044-2023 FSC-klagomål mail.docx", "A 14044-2023")</f>
        <v/>
      </c>
      <c r="X120">
        <f>HYPERLINK("https://klasma.github.io/Logging_0581/tillsyn/A 14044-2023 tillsynsbegäran.docx", "A 14044-2023")</f>
        <v/>
      </c>
      <c r="Y120">
        <f>HYPERLINK("https://klasma.github.io/Logging_0581/tillsynsmail/A 14044-2023 tillsynsbegäran mail.docx", "A 14044-2023")</f>
        <v/>
      </c>
      <c r="Z120">
        <f>HYPERLINK("https://klasma.github.io/Logging_0581/fåglar/A 14044-2023 prioriterade fågelarter.docx", "A 14044-2023")</f>
        <v/>
      </c>
    </row>
    <row r="121" ht="15" customHeight="1">
      <c r="A121" t="inlineStr">
        <is>
          <t>A 46806-2024</t>
        </is>
      </c>
      <c r="B121" s="1" t="n">
        <v>45583</v>
      </c>
      <c r="C121" s="1" t="n">
        <v>46194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HYPERLINK("https://klasma.github.io/Logging_0581/artfynd/A 46806-2024 artfynd.xlsx", "A 46806-2024")</f>
        <v/>
      </c>
      <c r="T121">
        <f>HYPERLINK("https://klasma.github.io/Logging_0581/kartor/A 46806-2024 karta.png", "A 46806-2024")</f>
        <v/>
      </c>
      <c r="V121">
        <f>HYPERLINK("https://klasma.github.io/Logging_0581/klagomål/A 46806-2024 FSC-klagomål.docx", "A 46806-2024")</f>
        <v/>
      </c>
      <c r="W121">
        <f>HYPERLINK("https://klasma.github.io/Logging_0581/klagomålsmail/A 46806-2024 FSC-klagomål mail.docx", "A 46806-2024")</f>
        <v/>
      </c>
      <c r="X121">
        <f>HYPERLINK("https://klasma.github.io/Logging_0581/tillsyn/A 46806-2024 tillsynsbegäran.docx", "A 46806-2024")</f>
        <v/>
      </c>
      <c r="Y121">
        <f>HYPERLINK("https://klasma.github.io/Logging_0581/tillsynsmail/A 46806-2024 tillsynsbegäran mail.docx", "A 46806-2024")</f>
        <v/>
      </c>
    </row>
    <row r="122" ht="15" customHeight="1">
      <c r="A122" t="inlineStr">
        <is>
          <t>A 45953-2024</t>
        </is>
      </c>
      <c r="B122" s="1" t="n">
        <v>45580</v>
      </c>
      <c r="C122" s="1" t="n">
        <v>46194</v>
      </c>
      <c r="D122" t="inlineStr">
        <is>
          <t>ÖSTERGÖTLANDS LÄN</t>
        </is>
      </c>
      <c r="E122" t="inlineStr">
        <is>
          <t>NORRKÖPING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Ekoxe</t>
        </is>
      </c>
      <c r="S122">
        <f>HYPERLINK("https://klasma.github.io/Logging_0581/artfynd/A 45953-2024 artfynd.xlsx", "A 45953-2024")</f>
        <v/>
      </c>
      <c r="T122">
        <f>HYPERLINK("https://klasma.github.io/Logging_0581/kartor/A 45953-2024 karta.png", "A 45953-2024")</f>
        <v/>
      </c>
      <c r="V122">
        <f>HYPERLINK("https://klasma.github.io/Logging_0581/klagomål/A 45953-2024 FSC-klagomål.docx", "A 45953-2024")</f>
        <v/>
      </c>
      <c r="W122">
        <f>HYPERLINK("https://klasma.github.io/Logging_0581/klagomålsmail/A 45953-2024 FSC-klagomål mail.docx", "A 45953-2024")</f>
        <v/>
      </c>
      <c r="X122">
        <f>HYPERLINK("https://klasma.github.io/Logging_0581/tillsyn/A 45953-2024 tillsynsbegäran.docx", "A 45953-2024")</f>
        <v/>
      </c>
      <c r="Y122">
        <f>HYPERLINK("https://klasma.github.io/Logging_0581/tillsynsmail/A 45953-2024 tillsynsbegäran mail.docx", "A 45953-2024")</f>
        <v/>
      </c>
    </row>
    <row r="123" ht="15" customHeight="1">
      <c r="A123" t="inlineStr">
        <is>
          <t>A 31582-2023</t>
        </is>
      </c>
      <c r="B123" s="1" t="n">
        <v>45117</v>
      </c>
      <c r="C123" s="1" t="n">
        <v>46194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HYPERLINK("https://klasma.github.io/Logging_0581/artfynd/A 31582-2023 artfynd.xlsx", "A 31582-2023")</f>
        <v/>
      </c>
      <c r="T123">
        <f>HYPERLINK("https://klasma.github.io/Logging_0581/kartor/A 31582-2023 karta.png", "A 31582-2023")</f>
        <v/>
      </c>
      <c r="V123">
        <f>HYPERLINK("https://klasma.github.io/Logging_0581/klagomål/A 31582-2023 FSC-klagomål.docx", "A 31582-2023")</f>
        <v/>
      </c>
      <c r="W123">
        <f>HYPERLINK("https://klasma.github.io/Logging_0581/klagomålsmail/A 31582-2023 FSC-klagomål mail.docx", "A 31582-2023")</f>
        <v/>
      </c>
      <c r="X123">
        <f>HYPERLINK("https://klasma.github.io/Logging_0581/tillsyn/A 31582-2023 tillsynsbegäran.docx", "A 31582-2023")</f>
        <v/>
      </c>
      <c r="Y123">
        <f>HYPERLINK("https://klasma.github.io/Logging_0581/tillsynsmail/A 31582-2023 tillsynsbegäran mail.docx", "A 31582-2023")</f>
        <v/>
      </c>
      <c r="Z123">
        <f>HYPERLINK("https://klasma.github.io/Logging_0581/fåglar/A 31582-2023 prioriterade fågelarter.docx", "A 31582-2023")</f>
        <v/>
      </c>
    </row>
    <row r="124" ht="15" customHeight="1">
      <c r="A124" t="inlineStr">
        <is>
          <t>A 1077-2023</t>
        </is>
      </c>
      <c r="B124" s="1" t="n">
        <v>44935</v>
      </c>
      <c r="C124" s="1" t="n">
        <v>46194</v>
      </c>
      <c r="D124" t="inlineStr">
        <is>
          <t>ÖSTERGÖTLANDS LÄN</t>
        </is>
      </c>
      <c r="E124" t="inlineStr">
        <is>
          <t>NORRKÖPING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Äkta lopplummer</t>
        </is>
      </c>
      <c r="S124">
        <f>HYPERLINK("https://klasma.github.io/Logging_0581/artfynd/A 1077-2023 artfynd.xlsx", "A 1077-2023")</f>
        <v/>
      </c>
      <c r="T124">
        <f>HYPERLINK("https://klasma.github.io/Logging_0581/kartor/A 1077-2023 karta.png", "A 1077-2023")</f>
        <v/>
      </c>
      <c r="V124">
        <f>HYPERLINK("https://klasma.github.io/Logging_0581/klagomål/A 1077-2023 FSC-klagomål.docx", "A 1077-2023")</f>
        <v/>
      </c>
      <c r="W124">
        <f>HYPERLINK("https://klasma.github.io/Logging_0581/klagomålsmail/A 1077-2023 FSC-klagomål mail.docx", "A 1077-2023")</f>
        <v/>
      </c>
      <c r="X124">
        <f>HYPERLINK("https://klasma.github.io/Logging_0581/tillsyn/A 1077-2023 tillsynsbegäran.docx", "A 1077-2023")</f>
        <v/>
      </c>
      <c r="Y124">
        <f>HYPERLINK("https://klasma.github.io/Logging_0581/tillsynsmail/A 1077-2023 tillsynsbegäran mail.docx", "A 1077-2023")</f>
        <v/>
      </c>
    </row>
    <row r="125" ht="15" customHeight="1">
      <c r="A125" t="inlineStr">
        <is>
          <t>A 60899-2024</t>
        </is>
      </c>
      <c r="B125" s="1" t="n">
        <v>45645</v>
      </c>
      <c r="C125" s="1" t="n">
        <v>46194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HYPERLINK("https://klasma.github.io/Logging_0581/artfynd/A 60899-2024 artfynd.xlsx", "A 60899-2024")</f>
        <v/>
      </c>
      <c r="T125">
        <f>HYPERLINK("https://klasma.github.io/Logging_0581/kartor/A 60899-2024 karta.png", "A 60899-2024")</f>
        <v/>
      </c>
      <c r="V125">
        <f>HYPERLINK("https://klasma.github.io/Logging_0581/klagomål/A 60899-2024 FSC-klagomål.docx", "A 60899-2024")</f>
        <v/>
      </c>
      <c r="W125">
        <f>HYPERLINK("https://klasma.github.io/Logging_0581/klagomålsmail/A 60899-2024 FSC-klagomål mail.docx", "A 60899-2024")</f>
        <v/>
      </c>
      <c r="X125">
        <f>HYPERLINK("https://klasma.github.io/Logging_0581/tillsyn/A 60899-2024 tillsynsbegäran.docx", "A 60899-2024")</f>
        <v/>
      </c>
      <c r="Y125">
        <f>HYPERLINK("https://klasma.github.io/Logging_0581/tillsynsmail/A 60899-2024 tillsynsbegäran mail.docx", "A 60899-2024")</f>
        <v/>
      </c>
    </row>
    <row r="126" ht="15" customHeight="1">
      <c r="A126" t="inlineStr">
        <is>
          <t>A 27236-2023</t>
        </is>
      </c>
      <c r="B126" s="1" t="n">
        <v>45096</v>
      </c>
      <c r="C126" s="1" t="n">
        <v>46194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HYPERLINK("https://klasma.github.io/Logging_0581/artfynd/A 27236-2023 artfynd.xlsx", "A 27236-2023")</f>
        <v/>
      </c>
      <c r="T126">
        <f>HYPERLINK("https://klasma.github.io/Logging_0581/kartor/A 27236-2023 karta.png", "A 27236-2023")</f>
        <v/>
      </c>
      <c r="V126">
        <f>HYPERLINK("https://klasma.github.io/Logging_0581/klagomål/A 27236-2023 FSC-klagomål.docx", "A 27236-2023")</f>
        <v/>
      </c>
      <c r="W126">
        <f>HYPERLINK("https://klasma.github.io/Logging_0581/klagomålsmail/A 27236-2023 FSC-klagomål mail.docx", "A 27236-2023")</f>
        <v/>
      </c>
      <c r="X126">
        <f>HYPERLINK("https://klasma.github.io/Logging_0581/tillsyn/A 27236-2023 tillsynsbegäran.docx", "A 27236-2023")</f>
        <v/>
      </c>
      <c r="Y126">
        <f>HYPERLINK("https://klasma.github.io/Logging_0581/tillsynsmail/A 27236-2023 tillsynsbegäran mail.docx", "A 27236-2023")</f>
        <v/>
      </c>
    </row>
    <row r="127" ht="15" customHeight="1">
      <c r="A127" t="inlineStr">
        <is>
          <t>A 31659-2023</t>
        </is>
      </c>
      <c r="B127" s="1" t="n">
        <v>45117</v>
      </c>
      <c r="C127" s="1" t="n">
        <v>46194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HYPERLINK("https://klasma.github.io/Logging_0581/artfynd/A 31659-2023 artfynd.xlsx", "A 31659-2023")</f>
        <v/>
      </c>
      <c r="T127">
        <f>HYPERLINK("https://klasma.github.io/Logging_0581/kartor/A 31659-2023 karta.png", "A 31659-2023")</f>
        <v/>
      </c>
      <c r="V127">
        <f>HYPERLINK("https://klasma.github.io/Logging_0581/klagomål/A 31659-2023 FSC-klagomål.docx", "A 31659-2023")</f>
        <v/>
      </c>
      <c r="W127">
        <f>HYPERLINK("https://klasma.github.io/Logging_0581/klagomålsmail/A 31659-2023 FSC-klagomål mail.docx", "A 31659-2023")</f>
        <v/>
      </c>
      <c r="X127">
        <f>HYPERLINK("https://klasma.github.io/Logging_0581/tillsyn/A 31659-2023 tillsynsbegäran.docx", "A 31659-2023")</f>
        <v/>
      </c>
      <c r="Y127">
        <f>HYPERLINK("https://klasma.github.io/Logging_0581/tillsynsmail/A 31659-2023 tillsynsbegäran mail.docx", "A 31659-2023")</f>
        <v/>
      </c>
      <c r="Z127">
        <f>HYPERLINK("https://klasma.github.io/Logging_0581/fåglar/A 31659-2023 prioriterade fågelarter.docx", "A 31659-2023")</f>
        <v/>
      </c>
    </row>
    <row r="128" ht="15" customHeight="1">
      <c r="A128" t="inlineStr">
        <is>
          <t>A 40053-2025</t>
        </is>
      </c>
      <c r="B128" s="1" t="n">
        <v>45894</v>
      </c>
      <c r="C128" s="1" t="n">
        <v>46194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HYPERLINK("https://klasma.github.io/Logging_0581/artfynd/A 40053-2025 artfynd.xlsx", "A 40053-2025")</f>
        <v/>
      </c>
      <c r="T128">
        <f>HYPERLINK("https://klasma.github.io/Logging_0581/kartor/A 40053-2025 karta.png", "A 40053-2025")</f>
        <v/>
      </c>
      <c r="V128">
        <f>HYPERLINK("https://klasma.github.io/Logging_0581/klagomål/A 40053-2025 FSC-klagomål.docx", "A 40053-2025")</f>
        <v/>
      </c>
      <c r="W128">
        <f>HYPERLINK("https://klasma.github.io/Logging_0581/klagomålsmail/A 40053-2025 FSC-klagomål mail.docx", "A 40053-2025")</f>
        <v/>
      </c>
      <c r="X128">
        <f>HYPERLINK("https://klasma.github.io/Logging_0581/tillsyn/A 40053-2025 tillsynsbegäran.docx", "A 40053-2025")</f>
        <v/>
      </c>
      <c r="Y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s="1" t="n">
        <v>45894</v>
      </c>
      <c r="C129" s="1" t="n">
        <v>46194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HYPERLINK("https://klasma.github.io/Logging_0581/artfynd/A 40095-2025 artfynd.xlsx", "A 40095-2025")</f>
        <v/>
      </c>
      <c r="T129">
        <f>HYPERLINK("https://klasma.github.io/Logging_0581/kartor/A 40095-2025 karta.png", "A 40095-2025")</f>
        <v/>
      </c>
      <c r="V129">
        <f>HYPERLINK("https://klasma.github.io/Logging_0581/klagomål/A 40095-2025 FSC-klagomål.docx", "A 40095-2025")</f>
        <v/>
      </c>
      <c r="W129">
        <f>HYPERLINK("https://klasma.github.io/Logging_0581/klagomålsmail/A 40095-2025 FSC-klagomål mail.docx", "A 40095-2025")</f>
        <v/>
      </c>
      <c r="X129">
        <f>HYPERLINK("https://klasma.github.io/Logging_0581/tillsyn/A 40095-2025 tillsynsbegäran.docx", "A 40095-2025")</f>
        <v/>
      </c>
      <c r="Y129">
        <f>HYPERLINK("https://klasma.github.io/Logging_0581/tillsynsmail/A 40095-2025 tillsynsbegäran mail.docx", "A 40095-2025")</f>
        <v/>
      </c>
      <c r="Z129">
        <f>HYPERLINK("https://klasma.github.io/Logging_0581/fåglar/A 40095-2025 prioriterade fågelarter.docx", "A 40095-2025")</f>
        <v/>
      </c>
    </row>
    <row r="130" ht="15" customHeight="1">
      <c r="A130" t="inlineStr">
        <is>
          <t>A 40315-2025</t>
        </is>
      </c>
      <c r="B130" s="1" t="n">
        <v>45895</v>
      </c>
      <c r="C130" s="1" t="n">
        <v>46194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8.699999999999999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40315-2025 artfynd.xlsx", "A 40315-2025")</f>
        <v/>
      </c>
      <c r="T130">
        <f>HYPERLINK("https://klasma.github.io/Logging_0581/kartor/A 40315-2025 karta.png", "A 40315-2025")</f>
        <v/>
      </c>
      <c r="V130">
        <f>HYPERLINK("https://klasma.github.io/Logging_0581/klagomål/A 40315-2025 FSC-klagomål.docx", "A 40315-2025")</f>
        <v/>
      </c>
      <c r="W130">
        <f>HYPERLINK("https://klasma.github.io/Logging_0581/klagomålsmail/A 40315-2025 FSC-klagomål mail.docx", "A 40315-2025")</f>
        <v/>
      </c>
      <c r="X130">
        <f>HYPERLINK("https://klasma.github.io/Logging_0581/tillsyn/A 40315-2025 tillsynsbegäran.docx", "A 40315-2025")</f>
        <v/>
      </c>
      <c r="Y130">
        <f>HYPERLINK("https://klasma.github.io/Logging_0581/tillsynsmail/A 40315-2025 tillsynsbegäran mail.docx", "A 40315-2025")</f>
        <v/>
      </c>
    </row>
    <row r="131" ht="15" customHeight="1">
      <c r="A131" t="inlineStr">
        <is>
          <t>A 42233-2025</t>
        </is>
      </c>
      <c r="B131" s="1" t="n">
        <v>45904</v>
      </c>
      <c r="C131" s="1" t="n">
        <v>46194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Jungfrulin</t>
        </is>
      </c>
      <c r="S131">
        <f>HYPERLINK("https://klasma.github.io/Logging_0581/artfynd/A 42233-2025 artfynd.xlsx", "A 42233-2025")</f>
        <v/>
      </c>
      <c r="T131">
        <f>HYPERLINK("https://klasma.github.io/Logging_0581/kartor/A 42233-2025 karta.png", "A 42233-2025")</f>
        <v/>
      </c>
      <c r="V131">
        <f>HYPERLINK("https://klasma.github.io/Logging_0581/klagomål/A 42233-2025 FSC-klagomål.docx", "A 42233-2025")</f>
        <v/>
      </c>
      <c r="W131">
        <f>HYPERLINK("https://klasma.github.io/Logging_0581/klagomålsmail/A 42233-2025 FSC-klagomål mail.docx", "A 42233-2025")</f>
        <v/>
      </c>
      <c r="X131">
        <f>HYPERLINK("https://klasma.github.io/Logging_0581/tillsyn/A 42233-2025 tillsynsbegäran.docx", "A 42233-2025")</f>
        <v/>
      </c>
      <c r="Y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s="1" t="n">
        <v>45905</v>
      </c>
      <c r="C132" s="1" t="n">
        <v>46194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Kattfotslav</t>
        </is>
      </c>
      <c r="S132">
        <f>HYPERLINK("https://klasma.github.io/Logging_0581/artfynd/A 42548-2025 artfynd.xlsx", "A 42548-2025")</f>
        <v/>
      </c>
      <c r="T132">
        <f>HYPERLINK("https://klasma.github.io/Logging_0581/kartor/A 42548-2025 karta.png", "A 42548-2025")</f>
        <v/>
      </c>
      <c r="V132">
        <f>HYPERLINK("https://klasma.github.io/Logging_0581/klagomål/A 42548-2025 FSC-klagomål.docx", "A 42548-2025")</f>
        <v/>
      </c>
      <c r="W132">
        <f>HYPERLINK("https://klasma.github.io/Logging_0581/klagomålsmail/A 42548-2025 FSC-klagomål mail.docx", "A 42548-2025")</f>
        <v/>
      </c>
      <c r="X132">
        <f>HYPERLINK("https://klasma.github.io/Logging_0581/tillsyn/A 42548-2025 tillsynsbegäran.docx", "A 42548-2025")</f>
        <v/>
      </c>
      <c r="Y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58318-2023</t>
        </is>
      </c>
      <c r="B133" s="1" t="n">
        <v>45250</v>
      </c>
      <c r="C133" s="1" t="n">
        <v>46194</v>
      </c>
      <c r="D133" t="inlineStr">
        <is>
          <t>ÖSTERGÖTLANDS LÄN</t>
        </is>
      </c>
      <c r="E133" t="inlineStr">
        <is>
          <t>NORRKÖPING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HYPERLINK("https://klasma.github.io/Logging_0581/artfynd/A 58318-2023 artfynd.xlsx", "A 58318-2023")</f>
        <v/>
      </c>
      <c r="T133">
        <f>HYPERLINK("https://klasma.github.io/Logging_0581/kartor/A 58318-2023 karta.png", "A 58318-2023")</f>
        <v/>
      </c>
      <c r="V133">
        <f>HYPERLINK("https://klasma.github.io/Logging_0581/klagomål/A 58318-2023 FSC-klagomål.docx", "A 58318-2023")</f>
        <v/>
      </c>
      <c r="W133">
        <f>HYPERLINK("https://klasma.github.io/Logging_0581/klagomålsmail/A 58318-2023 FSC-klagomål mail.docx", "A 58318-2023")</f>
        <v/>
      </c>
      <c r="X133">
        <f>HYPERLINK("https://klasma.github.io/Logging_0581/tillsyn/A 58318-2023 tillsynsbegäran.docx", "A 58318-2023")</f>
        <v/>
      </c>
      <c r="Y133">
        <f>HYPERLINK("https://klasma.github.io/Logging_0581/tillsynsmail/A 58318-2023 tillsynsbegäran mail.docx", "A 58318-2023")</f>
        <v/>
      </c>
      <c r="Z133">
        <f>HYPERLINK("https://klasma.github.io/Logging_0581/fåglar/A 58318-2023 prioriterade fågelarter.docx", "A 58318-2023")</f>
        <v/>
      </c>
    </row>
    <row r="134" ht="15" customHeight="1">
      <c r="A134" t="inlineStr">
        <is>
          <t>A 15870-2024</t>
        </is>
      </c>
      <c r="B134" s="1" t="n">
        <v>45405</v>
      </c>
      <c r="C134" s="1" t="n">
        <v>46194</v>
      </c>
      <c r="D134" t="inlineStr">
        <is>
          <t>ÖSTERGÖTLANDS LÄN</t>
        </is>
      </c>
      <c r="E134" t="inlineStr">
        <is>
          <t>NORRKÖPING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dunört</t>
        </is>
      </c>
      <c r="S134">
        <f>HYPERLINK("https://klasma.github.io/Logging_0581/artfynd/A 15870-2024 artfynd.xlsx", "A 15870-2024")</f>
        <v/>
      </c>
      <c r="T134">
        <f>HYPERLINK("https://klasma.github.io/Logging_0581/kartor/A 15870-2024 karta.png", "A 15870-2024")</f>
        <v/>
      </c>
      <c r="V134">
        <f>HYPERLINK("https://klasma.github.io/Logging_0581/klagomål/A 15870-2024 FSC-klagomål.docx", "A 15870-2024")</f>
        <v/>
      </c>
      <c r="W134">
        <f>HYPERLINK("https://klasma.github.io/Logging_0581/klagomålsmail/A 15870-2024 FSC-klagomål mail.docx", "A 15870-2024")</f>
        <v/>
      </c>
      <c r="X134">
        <f>HYPERLINK("https://klasma.github.io/Logging_0581/tillsyn/A 15870-2024 tillsynsbegäran.docx", "A 15870-2024")</f>
        <v/>
      </c>
      <c r="Y134">
        <f>HYPERLINK("https://klasma.github.io/Logging_0581/tillsynsmail/A 15870-2024 tillsynsbegäran mail.docx", "A 15870-2024")</f>
        <v/>
      </c>
    </row>
    <row r="135" ht="15" customHeight="1">
      <c r="A135" t="inlineStr">
        <is>
          <t>A 7317-2025</t>
        </is>
      </c>
      <c r="B135" s="1" t="n">
        <v>45702</v>
      </c>
      <c r="C135" s="1" t="n">
        <v>46194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Backklöver</t>
        </is>
      </c>
      <c r="S135">
        <f>HYPERLINK("https://klasma.github.io/Logging_0581/artfynd/A 7317-2025 artfynd.xlsx", "A 7317-2025")</f>
        <v/>
      </c>
      <c r="T135">
        <f>HYPERLINK("https://klasma.github.io/Logging_0581/kartor/A 7317-2025 karta.png", "A 7317-2025")</f>
        <v/>
      </c>
      <c r="V135">
        <f>HYPERLINK("https://klasma.github.io/Logging_0581/klagomål/A 7317-2025 FSC-klagomål.docx", "A 7317-2025")</f>
        <v/>
      </c>
      <c r="W135">
        <f>HYPERLINK("https://klasma.github.io/Logging_0581/klagomålsmail/A 7317-2025 FSC-klagomål mail.docx", "A 7317-2025")</f>
        <v/>
      </c>
      <c r="X135">
        <f>HYPERLINK("https://klasma.github.io/Logging_0581/tillsyn/A 7317-2025 tillsynsbegäran.docx", "A 7317-2025")</f>
        <v/>
      </c>
      <c r="Y135">
        <f>HYPERLINK("https://klasma.github.io/Logging_0581/tillsynsmail/A 7317-2025 tillsynsbegäran mail.docx", "A 7317-2025")</f>
        <v/>
      </c>
    </row>
    <row r="136" ht="15" customHeight="1">
      <c r="A136" t="inlineStr">
        <is>
          <t>A 19995-2025</t>
        </is>
      </c>
      <c r="B136" s="1" t="n">
        <v>45771</v>
      </c>
      <c r="C136" s="1" t="n">
        <v>46194</v>
      </c>
      <c r="D136" t="inlineStr">
        <is>
          <t>ÖSTERGÖTLANDS LÄN</t>
        </is>
      </c>
      <c r="E136" t="inlineStr">
        <is>
          <t>NORRKÖPING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Blomkålssvamp</t>
        </is>
      </c>
      <c r="S136">
        <f>HYPERLINK("https://klasma.github.io/Logging_0581/artfynd/A 19995-2025 artfynd.xlsx", "A 19995-2025")</f>
        <v/>
      </c>
      <c r="T136">
        <f>HYPERLINK("https://klasma.github.io/Logging_0581/kartor/A 19995-2025 karta.png", "A 19995-2025")</f>
        <v/>
      </c>
      <c r="V136">
        <f>HYPERLINK("https://klasma.github.io/Logging_0581/klagomål/A 19995-2025 FSC-klagomål.docx", "A 19995-2025")</f>
        <v/>
      </c>
      <c r="W136">
        <f>HYPERLINK("https://klasma.github.io/Logging_0581/klagomålsmail/A 19995-2025 FSC-klagomål mail.docx", "A 19995-2025")</f>
        <v/>
      </c>
      <c r="X136">
        <f>HYPERLINK("https://klasma.github.io/Logging_0581/tillsyn/A 19995-2025 tillsynsbegäran.docx", "A 19995-2025")</f>
        <v/>
      </c>
      <c r="Y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20170-2026</t>
        </is>
      </c>
      <c r="B137" s="1" t="n">
        <v>46139</v>
      </c>
      <c r="C137" s="1" t="n">
        <v>46194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Igelkott</t>
        </is>
      </c>
      <c r="S137">
        <f>HYPERLINK("https://klasma.github.io/Logging_0581/artfynd/A 20170-2026 artfynd.xlsx", "A 20170-2026")</f>
        <v/>
      </c>
      <c r="T137">
        <f>HYPERLINK("https://klasma.github.io/Logging_0581/kartor/A 20170-2026 karta.png", "A 20170-2026")</f>
        <v/>
      </c>
      <c r="V137">
        <f>HYPERLINK("https://klasma.github.io/Logging_0581/klagomål/A 20170-2026 FSC-klagomål.docx", "A 20170-2026")</f>
        <v/>
      </c>
      <c r="W137">
        <f>HYPERLINK("https://klasma.github.io/Logging_0581/klagomålsmail/A 20170-2026 FSC-klagomål mail.docx", "A 20170-2026")</f>
        <v/>
      </c>
      <c r="X137">
        <f>HYPERLINK("https://klasma.github.io/Logging_0581/tillsyn/A 20170-2026 tillsynsbegäran.docx", "A 20170-2026")</f>
        <v/>
      </c>
      <c r="Y137">
        <f>HYPERLINK("https://klasma.github.io/Logging_0581/tillsynsmail/A 20170-2026 tillsynsbegäran mail.docx", "A 20170-2026")</f>
        <v/>
      </c>
    </row>
    <row r="138" ht="15" customHeight="1">
      <c r="A138" t="inlineStr">
        <is>
          <t>A 11520-2025</t>
        </is>
      </c>
      <c r="B138" s="1" t="n">
        <v>45726</v>
      </c>
      <c r="C138" s="1" t="n">
        <v>46194</v>
      </c>
      <c r="D138" t="inlineStr">
        <is>
          <t>ÖSTERGÖTLANDS LÄN</t>
        </is>
      </c>
      <c r="E138" t="inlineStr">
        <is>
          <t>NORRKÖPING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Myskbock</t>
        </is>
      </c>
      <c r="S138">
        <f>HYPERLINK("https://klasma.github.io/Logging_0581/artfynd/A 11520-2025 artfynd.xlsx", "A 11520-2025")</f>
        <v/>
      </c>
      <c r="T138">
        <f>HYPERLINK("https://klasma.github.io/Logging_0581/kartor/A 11520-2025 karta.png", "A 11520-2025")</f>
        <v/>
      </c>
      <c r="V138">
        <f>HYPERLINK("https://klasma.github.io/Logging_0581/klagomål/A 11520-2025 FSC-klagomål.docx", "A 11520-2025")</f>
        <v/>
      </c>
      <c r="W138">
        <f>HYPERLINK("https://klasma.github.io/Logging_0581/klagomålsmail/A 11520-2025 FSC-klagomål mail.docx", "A 11520-2025")</f>
        <v/>
      </c>
      <c r="X138">
        <f>HYPERLINK("https://klasma.github.io/Logging_0581/tillsyn/A 11520-2025 tillsynsbegäran.docx", "A 11520-2025")</f>
        <v/>
      </c>
      <c r="Y138">
        <f>HYPERLINK("https://klasma.github.io/Logging_0581/tillsynsmail/A 11520-2025 tillsynsbegäran mail.docx", "A 11520-2025")</f>
        <v/>
      </c>
    </row>
    <row r="139" ht="15" customHeight="1">
      <c r="A139" t="inlineStr">
        <is>
          <t>A 46201-2025</t>
        </is>
      </c>
      <c r="B139" s="1" t="n">
        <v>45924</v>
      </c>
      <c r="C139" s="1" t="n">
        <v>46194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Hasselticka</t>
        </is>
      </c>
      <c r="S139">
        <f>HYPERLINK("https://klasma.github.io/Logging_0581/artfynd/A 46201-2025 artfynd.xlsx", "A 46201-2025")</f>
        <v/>
      </c>
      <c r="T139">
        <f>HYPERLINK("https://klasma.github.io/Logging_0581/kartor/A 46201-2025 karta.png", "A 46201-2025")</f>
        <v/>
      </c>
      <c r="V139">
        <f>HYPERLINK("https://klasma.github.io/Logging_0581/klagomål/A 46201-2025 FSC-klagomål.docx", "A 46201-2025")</f>
        <v/>
      </c>
      <c r="W139">
        <f>HYPERLINK("https://klasma.github.io/Logging_0581/klagomålsmail/A 46201-2025 FSC-klagomål mail.docx", "A 46201-2025")</f>
        <v/>
      </c>
      <c r="X139">
        <f>HYPERLINK("https://klasma.github.io/Logging_0581/tillsyn/A 46201-2025 tillsynsbegäran.docx", "A 46201-2025")</f>
        <v/>
      </c>
      <c r="Y139">
        <f>HYPERLINK("https://klasma.github.io/Logging_0581/tillsynsmail/A 46201-2025 tillsynsbegäran mail.docx", "A 46201-2025")</f>
        <v/>
      </c>
    </row>
    <row r="140" ht="15" customHeight="1">
      <c r="A140" t="inlineStr">
        <is>
          <t>A 12682-2025</t>
        </is>
      </c>
      <c r="B140" s="1" t="n">
        <v>45733</v>
      </c>
      <c r="C140" s="1" t="n">
        <v>46194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HYPERLINK("https://klasma.github.io/Logging_0581/artfynd/A 12682-2025 artfynd.xlsx", "A 12682-2025")</f>
        <v/>
      </c>
      <c r="T140">
        <f>HYPERLINK("https://klasma.github.io/Logging_0581/kartor/A 12682-2025 karta.png", "A 12682-2025")</f>
        <v/>
      </c>
      <c r="U140">
        <f>HYPERLINK("https://klasma.github.io/Logging_0581/knärot/A 12682-2025 karta knärot.png", "A 12682-2025")</f>
        <v/>
      </c>
      <c r="V140">
        <f>HYPERLINK("https://klasma.github.io/Logging_0581/klagomål/A 12682-2025 FSC-klagomål.docx", "A 12682-2025")</f>
        <v/>
      </c>
      <c r="W140">
        <f>HYPERLINK("https://klasma.github.io/Logging_0581/klagomålsmail/A 12682-2025 FSC-klagomål mail.docx", "A 12682-2025")</f>
        <v/>
      </c>
      <c r="X140">
        <f>HYPERLINK("https://klasma.github.io/Logging_0581/tillsyn/A 12682-2025 tillsynsbegäran.docx", "A 12682-2025")</f>
        <v/>
      </c>
      <c r="Y140">
        <f>HYPERLINK("https://klasma.github.io/Logging_0581/tillsynsmail/A 12682-2025 tillsynsbegäran mail.docx", "A 12682-2025")</f>
        <v/>
      </c>
      <c r="Z140">
        <f>HYPERLINK("https://klasma.github.io/Logging_0581/fåglar/A 12682-2025 prioriterade fågelarter.docx", "A 12682-2025")</f>
        <v/>
      </c>
    </row>
    <row r="141" ht="15" customHeight="1">
      <c r="A141" t="inlineStr">
        <is>
          <t>A 25982-2023</t>
        </is>
      </c>
      <c r="B141" s="1" t="n">
        <v>45090</v>
      </c>
      <c r="C141" s="1" t="n">
        <v>46194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Linmåra/småsnärjmåra</t>
        </is>
      </c>
      <c r="S141">
        <f>HYPERLINK("https://klasma.github.io/Logging_0581/artfynd/A 25982-2023 artfynd.xlsx", "A 25982-2023")</f>
        <v/>
      </c>
      <c r="T141">
        <f>HYPERLINK("https://klasma.github.io/Logging_0581/kartor/A 25982-2023 karta.png", "A 25982-2023")</f>
        <v/>
      </c>
      <c r="V141">
        <f>HYPERLINK("https://klasma.github.io/Logging_0581/klagomål/A 25982-2023 FSC-klagomål.docx", "A 25982-2023")</f>
        <v/>
      </c>
      <c r="W141">
        <f>HYPERLINK("https://klasma.github.io/Logging_0581/klagomålsmail/A 25982-2023 FSC-klagomål mail.docx", "A 25982-2023")</f>
        <v/>
      </c>
      <c r="X141">
        <f>HYPERLINK("https://klasma.github.io/Logging_0581/tillsyn/A 25982-2023 tillsynsbegäran.docx", "A 25982-2023")</f>
        <v/>
      </c>
      <c r="Y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46671-2024</t>
        </is>
      </c>
      <c r="B142" s="1" t="n">
        <v>45583</v>
      </c>
      <c r="C142" s="1" t="n">
        <v>46194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Kattfotslav</t>
        </is>
      </c>
      <c r="S142">
        <f>HYPERLINK("https://klasma.github.io/Logging_0581/artfynd/A 46671-2024 artfynd.xlsx", "A 46671-2024")</f>
        <v/>
      </c>
      <c r="T142">
        <f>HYPERLINK("https://klasma.github.io/Logging_0581/kartor/A 46671-2024 karta.png", "A 46671-2024")</f>
        <v/>
      </c>
      <c r="V142">
        <f>HYPERLINK("https://klasma.github.io/Logging_0581/klagomål/A 46671-2024 FSC-klagomål.docx", "A 46671-2024")</f>
        <v/>
      </c>
      <c r="W142">
        <f>HYPERLINK("https://klasma.github.io/Logging_0581/klagomålsmail/A 46671-2024 FSC-klagomål mail.docx", "A 46671-2024")</f>
        <v/>
      </c>
      <c r="X142">
        <f>HYPERLINK("https://klasma.github.io/Logging_0581/tillsyn/A 46671-2024 tillsynsbegäran.docx", "A 46671-2024")</f>
        <v/>
      </c>
      <c r="Y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16610-2024</t>
        </is>
      </c>
      <c r="B143" s="1" t="n">
        <v>45408</v>
      </c>
      <c r="C143" s="1" t="n">
        <v>46194</v>
      </c>
      <c r="D143" t="inlineStr">
        <is>
          <t>ÖSTERGÖTLANDS LÄN</t>
        </is>
      </c>
      <c r="E143" t="inlineStr">
        <is>
          <t>NORRKÖPING</t>
        </is>
      </c>
      <c r="G143" t="n">
        <v>5.8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HYPERLINK("https://klasma.github.io/Logging_0581/artfynd/A 16610-2024 artfynd.xlsx", "A 16610-2024")</f>
        <v/>
      </c>
      <c r="T143">
        <f>HYPERLINK("https://klasma.github.io/Logging_0581/kartor/A 16610-2024 karta.png", "A 16610-2024")</f>
        <v/>
      </c>
      <c r="U143">
        <f>HYPERLINK("https://klasma.github.io/Logging_0581/knärot/A 16610-2024 karta knärot.png", "A 16610-2024")</f>
        <v/>
      </c>
      <c r="V143">
        <f>HYPERLINK("https://klasma.github.io/Logging_0581/klagomål/A 16610-2024 FSC-klagomål.docx", "A 16610-2024")</f>
        <v/>
      </c>
      <c r="W143">
        <f>HYPERLINK("https://klasma.github.io/Logging_0581/klagomålsmail/A 16610-2024 FSC-klagomål mail.docx", "A 16610-2024")</f>
        <v/>
      </c>
      <c r="X143">
        <f>HYPERLINK("https://klasma.github.io/Logging_0581/tillsyn/A 16610-2024 tillsynsbegäran.docx", "A 16610-2024")</f>
        <v/>
      </c>
      <c r="Y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31320-2025</t>
        </is>
      </c>
      <c r="B144" s="1" t="n">
        <v>45833</v>
      </c>
      <c r="C144" s="1" t="n">
        <v>46194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HYPERLINK("https://klasma.github.io/Logging_0581/artfynd/A 31320-2025 artfynd.xlsx", "A 31320-2025")</f>
        <v/>
      </c>
      <c r="T144">
        <f>HYPERLINK("https://klasma.github.io/Logging_0581/kartor/A 31320-2025 karta.png", "A 31320-2025")</f>
        <v/>
      </c>
      <c r="V144">
        <f>HYPERLINK("https://klasma.github.io/Logging_0581/klagomål/A 31320-2025 FSC-klagomål.docx", "A 31320-2025")</f>
        <v/>
      </c>
      <c r="W144">
        <f>HYPERLINK("https://klasma.github.io/Logging_0581/klagomålsmail/A 31320-2025 FSC-klagomål mail.docx", "A 31320-2025")</f>
        <v/>
      </c>
      <c r="X144">
        <f>HYPERLINK("https://klasma.github.io/Logging_0581/tillsyn/A 31320-2025 tillsynsbegäran.docx", "A 31320-2025")</f>
        <v/>
      </c>
      <c r="Y144">
        <f>HYPERLINK("https://klasma.github.io/Logging_0581/tillsynsmail/A 31320-2025 tillsynsbegäran mail.docx", "A 31320-2025")</f>
        <v/>
      </c>
    </row>
    <row r="145" ht="15" customHeight="1">
      <c r="A145" t="inlineStr">
        <is>
          <t>A 62973-2021</t>
        </is>
      </c>
      <c r="B145" s="1" t="n">
        <v>44504</v>
      </c>
      <c r="C145" s="1" t="n">
        <v>46194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Krusfrö</t>
        </is>
      </c>
      <c r="S145">
        <f>HYPERLINK("https://klasma.github.io/Logging_0581/artfynd/A 62973-2021 artfynd.xlsx", "A 62973-2021")</f>
        <v/>
      </c>
      <c r="T145">
        <f>HYPERLINK("https://klasma.github.io/Logging_0581/kartor/A 62973-2021 karta.png", "A 62973-2021")</f>
        <v/>
      </c>
      <c r="V145">
        <f>HYPERLINK("https://klasma.github.io/Logging_0581/klagomål/A 62973-2021 FSC-klagomål.docx", "A 62973-2021")</f>
        <v/>
      </c>
      <c r="W145">
        <f>HYPERLINK("https://klasma.github.io/Logging_0581/klagomålsmail/A 62973-2021 FSC-klagomål mail.docx", "A 62973-2021")</f>
        <v/>
      </c>
      <c r="X145">
        <f>HYPERLINK("https://klasma.github.io/Logging_0581/tillsyn/A 62973-2021 tillsynsbegäran.docx", "A 62973-2021")</f>
        <v/>
      </c>
      <c r="Y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12145-2024</t>
        </is>
      </c>
      <c r="B146" s="1" t="n">
        <v>45376</v>
      </c>
      <c r="C146" s="1" t="n">
        <v>46194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10.4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HYPERLINK("https://klasma.github.io/Logging_0581/artfynd/A 12145-2024 artfynd.xlsx", "A 12145-2024")</f>
        <v/>
      </c>
      <c r="T146">
        <f>HYPERLINK("https://klasma.github.io/Logging_0581/kartor/A 12145-2024 karta.png", "A 12145-2024")</f>
        <v/>
      </c>
      <c r="V146">
        <f>HYPERLINK("https://klasma.github.io/Logging_0581/klagomål/A 12145-2024 FSC-klagomål.docx", "A 12145-2024")</f>
        <v/>
      </c>
      <c r="W146">
        <f>HYPERLINK("https://klasma.github.io/Logging_0581/klagomålsmail/A 12145-2024 FSC-klagomål mail.docx", "A 12145-2024")</f>
        <v/>
      </c>
      <c r="X146">
        <f>HYPERLINK("https://klasma.github.io/Logging_0581/tillsyn/A 12145-2024 tillsynsbegäran.docx", "A 12145-2024")</f>
        <v/>
      </c>
      <c r="Y146">
        <f>HYPERLINK("https://klasma.github.io/Logging_0581/tillsynsmail/A 12145-2024 tillsynsbegäran mail.docx", "A 12145-2024")</f>
        <v/>
      </c>
    </row>
    <row r="147" ht="15" customHeight="1">
      <c r="A147" t="inlineStr">
        <is>
          <t>A 9790-2024</t>
        </is>
      </c>
      <c r="B147" s="1" t="n">
        <v>45362</v>
      </c>
      <c r="C147" s="1" t="n">
        <v>46194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HYPERLINK("https://klasma.github.io/Logging_0581/artfynd/A 9790-2024 artfynd.xlsx", "A 9790-2024")</f>
        <v/>
      </c>
      <c r="T147">
        <f>HYPERLINK("https://klasma.github.io/Logging_0581/kartor/A 9790-2024 karta.png", "A 9790-2024")</f>
        <v/>
      </c>
      <c r="V147">
        <f>HYPERLINK("https://klasma.github.io/Logging_0581/klagomål/A 9790-2024 FSC-klagomål.docx", "A 9790-2024")</f>
        <v/>
      </c>
      <c r="W147">
        <f>HYPERLINK("https://klasma.github.io/Logging_0581/klagomålsmail/A 9790-2024 FSC-klagomål mail.docx", "A 9790-2024")</f>
        <v/>
      </c>
      <c r="X147">
        <f>HYPERLINK("https://klasma.github.io/Logging_0581/tillsyn/A 9790-2024 tillsynsbegäran.docx", "A 9790-2024")</f>
        <v/>
      </c>
      <c r="Y147">
        <f>HYPERLINK("https://klasma.github.io/Logging_0581/tillsynsmail/A 9790-2024 tillsynsbegäran mail.docx", "A 9790-2024")</f>
        <v/>
      </c>
    </row>
    <row r="148" ht="15" customHeight="1">
      <c r="A148" t="inlineStr">
        <is>
          <t>A 34078-2025</t>
        </is>
      </c>
      <c r="B148" s="1" t="n">
        <v>45845</v>
      </c>
      <c r="C148" s="1" t="n">
        <v>46194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HYPERLINK("https://klasma.github.io/Logging_0581/artfynd/A 34078-2025 artfynd.xlsx", "A 34078-2025")</f>
        <v/>
      </c>
      <c r="T148">
        <f>HYPERLINK("https://klasma.github.io/Logging_0581/kartor/A 34078-2025 karta.png", "A 34078-2025")</f>
        <v/>
      </c>
      <c r="V148">
        <f>HYPERLINK("https://klasma.github.io/Logging_0581/klagomål/A 34078-2025 FSC-klagomål.docx", "A 34078-2025")</f>
        <v/>
      </c>
      <c r="W148">
        <f>HYPERLINK("https://klasma.github.io/Logging_0581/klagomålsmail/A 34078-2025 FSC-klagomål mail.docx", "A 34078-2025")</f>
        <v/>
      </c>
      <c r="X148">
        <f>HYPERLINK("https://klasma.github.io/Logging_0581/tillsyn/A 34078-2025 tillsynsbegäran.docx", "A 34078-2025")</f>
        <v/>
      </c>
      <c r="Y148">
        <f>HYPERLINK("https://klasma.github.io/Logging_0581/tillsynsmail/A 34078-2025 tillsynsbegäran mail.docx", "A 34078-2025")</f>
        <v/>
      </c>
      <c r="Z148">
        <f>HYPERLINK("https://klasma.github.io/Logging_0581/fåglar/A 34078-2025 prioriterade fågelarter.docx", "A 34078-2025")</f>
        <v/>
      </c>
    </row>
    <row r="149" ht="15" customHeight="1">
      <c r="A149" t="inlineStr">
        <is>
          <t>A 24629-2025</t>
        </is>
      </c>
      <c r="B149" s="1" t="n">
        <v>45798</v>
      </c>
      <c r="C149" s="1" t="n">
        <v>46194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Kråka</t>
        </is>
      </c>
      <c r="S149">
        <f>HYPERLINK("https://klasma.github.io/Logging_0581/artfynd/A 24629-2025 artfynd.xlsx", "A 24629-2025")</f>
        <v/>
      </c>
      <c r="T149">
        <f>HYPERLINK("https://klasma.github.io/Logging_0581/kartor/A 24629-2025 karta.png", "A 24629-2025")</f>
        <v/>
      </c>
      <c r="V149">
        <f>HYPERLINK("https://klasma.github.io/Logging_0581/klagomål/A 24629-2025 FSC-klagomål.docx", "A 24629-2025")</f>
        <v/>
      </c>
      <c r="W149">
        <f>HYPERLINK("https://klasma.github.io/Logging_0581/klagomålsmail/A 24629-2025 FSC-klagomål mail.docx", "A 24629-2025")</f>
        <v/>
      </c>
      <c r="X149">
        <f>HYPERLINK("https://klasma.github.io/Logging_0581/tillsyn/A 24629-2025 tillsynsbegäran.docx", "A 24629-2025")</f>
        <v/>
      </c>
      <c r="Y149">
        <f>HYPERLINK("https://klasma.github.io/Logging_0581/tillsynsmail/A 24629-2025 tillsynsbegäran mail.docx", "A 24629-2025")</f>
        <v/>
      </c>
      <c r="Z149">
        <f>HYPERLINK("https://klasma.github.io/Logging_0581/fåglar/A 24629-2025 prioriterade fågelarter.docx", "A 24629-2025")</f>
        <v/>
      </c>
    </row>
    <row r="150" ht="15" customHeight="1">
      <c r="A150" t="inlineStr">
        <is>
          <t>A 46957-2023</t>
        </is>
      </c>
      <c r="B150" s="1" t="n">
        <v>45201</v>
      </c>
      <c r="C150" s="1" t="n">
        <v>46194</v>
      </c>
      <c r="D150" t="inlineStr">
        <is>
          <t>ÖSTERGÖTLANDS LÄN</t>
        </is>
      </c>
      <c r="E150" t="inlineStr">
        <is>
          <t>NORRKÖPING</t>
        </is>
      </c>
      <c r="G150" t="n">
        <v>1.8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HYPERLINK("https://klasma.github.io/Logging_0581/artfynd/A 46957-2023 artfynd.xlsx", "A 46957-2023")</f>
        <v/>
      </c>
      <c r="T150">
        <f>HYPERLINK("https://klasma.github.io/Logging_0581/kartor/A 46957-2023 karta.png", "A 46957-2023")</f>
        <v/>
      </c>
      <c r="V150">
        <f>HYPERLINK("https://klasma.github.io/Logging_0581/klagomål/A 46957-2023 FSC-klagomål.docx", "A 46957-2023")</f>
        <v/>
      </c>
      <c r="W150">
        <f>HYPERLINK("https://klasma.github.io/Logging_0581/klagomålsmail/A 46957-2023 FSC-klagomål mail.docx", "A 46957-2023")</f>
        <v/>
      </c>
      <c r="X150">
        <f>HYPERLINK("https://klasma.github.io/Logging_0581/tillsyn/A 46957-2023 tillsynsbegäran.docx", "A 46957-2023")</f>
        <v/>
      </c>
      <c r="Y150">
        <f>HYPERLINK("https://klasma.github.io/Logging_0581/tillsynsmail/A 46957-2023 tillsynsbegäran mail.docx", "A 46957-2023")</f>
        <v/>
      </c>
    </row>
    <row r="151" ht="15" customHeight="1">
      <c r="A151" t="inlineStr">
        <is>
          <t>A 27107-2023</t>
        </is>
      </c>
      <c r="B151" s="1" t="n">
        <v>45096</v>
      </c>
      <c r="C151" s="1" t="n">
        <v>46194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Svartvit flugsnappare</t>
        </is>
      </c>
      <c r="S151">
        <f>HYPERLINK("https://klasma.github.io/Logging_0581/artfynd/A 27107-2023 artfynd.xlsx", "A 27107-2023")</f>
        <v/>
      </c>
      <c r="T151">
        <f>HYPERLINK("https://klasma.github.io/Logging_0581/kartor/A 27107-2023 karta.png", "A 27107-2023")</f>
        <v/>
      </c>
      <c r="V151">
        <f>HYPERLINK("https://klasma.github.io/Logging_0581/klagomål/A 27107-2023 FSC-klagomål.docx", "A 27107-2023")</f>
        <v/>
      </c>
      <c r="W151">
        <f>HYPERLINK("https://klasma.github.io/Logging_0581/klagomålsmail/A 27107-2023 FSC-klagomål mail.docx", "A 27107-2023")</f>
        <v/>
      </c>
      <c r="X151">
        <f>HYPERLINK("https://klasma.github.io/Logging_0581/tillsyn/A 27107-2023 tillsynsbegäran.docx", "A 27107-2023")</f>
        <v/>
      </c>
      <c r="Y151">
        <f>HYPERLINK("https://klasma.github.io/Logging_0581/tillsynsmail/A 27107-2023 tillsynsbegäran mail.docx", "A 27107-2023")</f>
        <v/>
      </c>
      <c r="Z151">
        <f>HYPERLINK("https://klasma.github.io/Logging_0581/fåglar/A 27107-2023 prioriterade fågelarter.docx", "A 27107-2023")</f>
        <v/>
      </c>
    </row>
    <row r="152" ht="15" customHeight="1">
      <c r="A152" t="inlineStr">
        <is>
          <t>A 2832-2026</t>
        </is>
      </c>
      <c r="B152" s="1" t="n">
        <v>46038</v>
      </c>
      <c r="C152" s="1" t="n">
        <v>46194</v>
      </c>
      <c r="D152" t="inlineStr">
        <is>
          <t>ÖSTERGÖTLANDS LÄN</t>
        </is>
      </c>
      <c r="E152" t="inlineStr">
        <is>
          <t>NORRKÖPING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HYPERLINK("https://klasma.github.io/Logging_0581/artfynd/A 2832-2026 artfynd.xlsx", "A 2832-2026")</f>
        <v/>
      </c>
      <c r="T152">
        <f>HYPERLINK("https://klasma.github.io/Logging_0581/kartor/A 2832-2026 karta.png", "A 2832-2026")</f>
        <v/>
      </c>
      <c r="V152">
        <f>HYPERLINK("https://klasma.github.io/Logging_0581/klagomål/A 2832-2026 FSC-klagomål.docx", "A 2832-2026")</f>
        <v/>
      </c>
      <c r="W152">
        <f>HYPERLINK("https://klasma.github.io/Logging_0581/klagomålsmail/A 2832-2026 FSC-klagomål mail.docx", "A 2832-2026")</f>
        <v/>
      </c>
      <c r="X152">
        <f>HYPERLINK("https://klasma.github.io/Logging_0581/tillsyn/A 2832-2026 tillsynsbegäran.docx", "A 2832-2026")</f>
        <v/>
      </c>
      <c r="Y152">
        <f>HYPERLINK("https://klasma.github.io/Logging_0581/tillsynsmail/A 2832-2026 tillsynsbegäran mail.docx", "A 2832-2026")</f>
        <v/>
      </c>
    </row>
    <row r="153" ht="15" customHeight="1">
      <c r="A153" t="inlineStr">
        <is>
          <t>A 8245-2023</t>
        </is>
      </c>
      <c r="B153" s="1" t="n">
        <v>44974</v>
      </c>
      <c r="C153" s="1" t="n">
        <v>46194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Svedjenäva</t>
        </is>
      </c>
      <c r="S153">
        <f>HYPERLINK("https://klasma.github.io/Logging_0581/artfynd/A 8245-2023 artfynd.xlsx", "A 8245-2023")</f>
        <v/>
      </c>
      <c r="T153">
        <f>HYPERLINK("https://klasma.github.io/Logging_0581/kartor/A 8245-2023 karta.png", "A 8245-2023")</f>
        <v/>
      </c>
      <c r="V153">
        <f>HYPERLINK("https://klasma.github.io/Logging_0581/klagomål/A 8245-2023 FSC-klagomål.docx", "A 8245-2023")</f>
        <v/>
      </c>
      <c r="W153">
        <f>HYPERLINK("https://klasma.github.io/Logging_0581/klagomålsmail/A 8245-2023 FSC-klagomål mail.docx", "A 8245-2023")</f>
        <v/>
      </c>
      <c r="X153">
        <f>HYPERLINK("https://klasma.github.io/Logging_0581/tillsyn/A 8245-2023 tillsynsbegäran.docx", "A 8245-2023")</f>
        <v/>
      </c>
      <c r="Y153">
        <f>HYPERLINK("https://klasma.github.io/Logging_0581/tillsynsmail/A 8245-2023 tillsynsbegäran mail.docx", "A 8245-2023")</f>
        <v/>
      </c>
    </row>
    <row r="154" ht="15" customHeight="1">
      <c r="A154" t="inlineStr">
        <is>
          <t>A 31897-2022</t>
        </is>
      </c>
      <c r="B154" s="1" t="n">
        <v>44777</v>
      </c>
      <c r="C154" s="1" t="n">
        <v>46194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HYPERLINK("https://klasma.github.io/Logging_0581/artfynd/A 31897-2022 artfynd.xlsx", "A 31897-2022")</f>
        <v/>
      </c>
      <c r="T154">
        <f>HYPERLINK("https://klasma.github.io/Logging_0581/kartor/A 31897-2022 karta.png", "A 31897-2022")</f>
        <v/>
      </c>
      <c r="V154">
        <f>HYPERLINK("https://klasma.github.io/Logging_0581/klagomål/A 31897-2022 FSC-klagomål.docx", "A 31897-2022")</f>
        <v/>
      </c>
      <c r="W154">
        <f>HYPERLINK("https://klasma.github.io/Logging_0581/klagomålsmail/A 31897-2022 FSC-klagomål mail.docx", "A 31897-2022")</f>
        <v/>
      </c>
      <c r="X154">
        <f>HYPERLINK("https://klasma.github.io/Logging_0581/tillsyn/A 31897-2022 tillsynsbegäran.docx", "A 31897-2022")</f>
        <v/>
      </c>
      <c r="Y154">
        <f>HYPERLINK("https://klasma.github.io/Logging_0581/tillsynsmail/A 31897-2022 tillsynsbegäran mail.docx", "A 31897-2022")</f>
        <v/>
      </c>
    </row>
    <row r="155" ht="15" customHeight="1">
      <c r="A155" t="inlineStr">
        <is>
          <t>A 11714-2026</t>
        </is>
      </c>
      <c r="B155" s="1" t="n">
        <v>46084</v>
      </c>
      <c r="C155" s="1" t="n">
        <v>46194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Gulsparv</t>
        </is>
      </c>
      <c r="S155">
        <f>HYPERLINK("https://klasma.github.io/Logging_0581/artfynd/A 11714-2026 artfynd.xlsx", "A 11714-2026")</f>
        <v/>
      </c>
      <c r="T155">
        <f>HYPERLINK("https://klasma.github.io/Logging_0581/kartor/A 11714-2026 karta.png", "A 11714-2026")</f>
        <v/>
      </c>
      <c r="V155">
        <f>HYPERLINK("https://klasma.github.io/Logging_0581/klagomål/A 11714-2026 FSC-klagomål.docx", "A 11714-2026")</f>
        <v/>
      </c>
      <c r="W155">
        <f>HYPERLINK("https://klasma.github.io/Logging_0581/klagomålsmail/A 11714-2026 FSC-klagomål mail.docx", "A 11714-2026")</f>
        <v/>
      </c>
      <c r="X155">
        <f>HYPERLINK("https://klasma.github.io/Logging_0581/tillsyn/A 11714-2026 tillsynsbegäran.docx", "A 11714-2026")</f>
        <v/>
      </c>
      <c r="Y155">
        <f>HYPERLINK("https://klasma.github.io/Logging_0581/tillsynsmail/A 11714-2026 tillsynsbegäran mail.docx", "A 11714-2026")</f>
        <v/>
      </c>
      <c r="Z155">
        <f>HYPERLINK("https://klasma.github.io/Logging_0581/fåglar/A 11714-2026 prioriterade fågelarter.docx", "A 11714-2026")</f>
        <v/>
      </c>
    </row>
    <row r="156" ht="15" customHeight="1">
      <c r="A156" t="inlineStr">
        <is>
          <t>A 57772-2022</t>
        </is>
      </c>
      <c r="B156" s="1" t="n">
        <v>44897</v>
      </c>
      <c r="C156" s="1" t="n">
        <v>46194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Fällmossa</t>
        </is>
      </c>
      <c r="S156">
        <f>HYPERLINK("https://klasma.github.io/Logging_0581/artfynd/A 57772-2022 artfynd.xlsx", "A 57772-2022")</f>
        <v/>
      </c>
      <c r="T156">
        <f>HYPERLINK("https://klasma.github.io/Logging_0581/kartor/A 57772-2022 karta.png", "A 57772-2022")</f>
        <v/>
      </c>
      <c r="V156">
        <f>HYPERLINK("https://klasma.github.io/Logging_0581/klagomål/A 57772-2022 FSC-klagomål.docx", "A 57772-2022")</f>
        <v/>
      </c>
      <c r="W156">
        <f>HYPERLINK("https://klasma.github.io/Logging_0581/klagomålsmail/A 57772-2022 FSC-klagomål mail.docx", "A 57772-2022")</f>
        <v/>
      </c>
      <c r="X156">
        <f>HYPERLINK("https://klasma.github.io/Logging_0581/tillsyn/A 57772-2022 tillsynsbegäran.docx", "A 57772-2022")</f>
        <v/>
      </c>
      <c r="Y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41369-2023</t>
        </is>
      </c>
      <c r="B157" s="1" t="n">
        <v>45174</v>
      </c>
      <c r="C157" s="1" t="n">
        <v>46194</v>
      </c>
      <c r="D157" t="inlineStr">
        <is>
          <t>ÖSTERGÖTLANDS LÄN</t>
        </is>
      </c>
      <c r="E157" t="inlineStr">
        <is>
          <t>NORRKÖPING</t>
        </is>
      </c>
      <c r="G157" t="n">
        <v>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HYPERLINK("https://klasma.github.io/Logging_0581/artfynd/A 41369-2023 artfynd.xlsx", "A 41369-2023")</f>
        <v/>
      </c>
      <c r="T157">
        <f>HYPERLINK("https://klasma.github.io/Logging_0581/kartor/A 41369-2023 karta.png", "A 41369-2023")</f>
        <v/>
      </c>
      <c r="V157">
        <f>HYPERLINK("https://klasma.github.io/Logging_0581/klagomål/A 41369-2023 FSC-klagomål.docx", "A 41369-2023")</f>
        <v/>
      </c>
      <c r="W157">
        <f>HYPERLINK("https://klasma.github.io/Logging_0581/klagomålsmail/A 41369-2023 FSC-klagomål mail.docx", "A 41369-2023")</f>
        <v/>
      </c>
      <c r="X157">
        <f>HYPERLINK("https://klasma.github.io/Logging_0581/tillsyn/A 41369-2023 tillsynsbegäran.docx", "A 41369-2023")</f>
        <v/>
      </c>
      <c r="Y157">
        <f>HYPERLINK("https://klasma.github.io/Logging_0581/tillsynsmail/A 41369-2023 tillsynsbegäran mail.docx", "A 41369-2023")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46194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62406-2021</t>
        </is>
      </c>
      <c r="B162" s="1" t="n">
        <v>44502</v>
      </c>
      <c r="C162" s="1" t="n">
        <v>46194</v>
      </c>
      <c r="D162" t="inlineStr">
        <is>
          <t>ÖSTERGÖTLANDS LÄN</t>
        </is>
      </c>
      <c r="E162" t="inlineStr">
        <is>
          <t>NORRKÖPING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71093-2021</t>
        </is>
      </c>
      <c r="B163" s="1" t="n">
        <v>44537</v>
      </c>
      <c r="C163" s="1" t="n">
        <v>46194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46194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46194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46194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31253-2021</t>
        </is>
      </c>
      <c r="B167" s="1" t="n">
        <v>44368</v>
      </c>
      <c r="C167" s="1" t="n">
        <v>46194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32000-2021</t>
        </is>
      </c>
      <c r="B168" s="1" t="n">
        <v>44370</v>
      </c>
      <c r="C168" s="1" t="n">
        <v>46194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46194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62771-2021</t>
        </is>
      </c>
      <c r="B170" s="1" t="n">
        <v>44503</v>
      </c>
      <c r="C170" s="1" t="n">
        <v>46194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47899-2021</t>
        </is>
      </c>
      <c r="B171" s="1" t="n">
        <v>44448</v>
      </c>
      <c r="C171" s="1" t="n">
        <v>46194</v>
      </c>
      <c r="D171" t="inlineStr">
        <is>
          <t>ÖSTERGÖTLANDS LÄN</t>
        </is>
      </c>
      <c r="E171" t="inlineStr">
        <is>
          <t>NORRKÖPING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31269-2021</t>
        </is>
      </c>
      <c r="B172" s="1" t="n">
        <v>44368</v>
      </c>
      <c r="C172" s="1" t="n">
        <v>46194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45956-2021</t>
        </is>
      </c>
      <c r="B173" s="1" t="n">
        <v>44441</v>
      </c>
      <c r="C173" s="1" t="n">
        <v>46194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50212-2022</t>
        </is>
      </c>
      <c r="B174" s="1" t="n">
        <v>44865</v>
      </c>
      <c r="C174" s="1" t="n">
        <v>46194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67631-2021</t>
        </is>
      </c>
      <c r="B175" s="1" t="n">
        <v>44524</v>
      </c>
      <c r="C175" s="1" t="n">
        <v>46194</v>
      </c>
      <c r="D175" t="inlineStr">
        <is>
          <t>ÖSTERGÖTLANDS LÄN</t>
        </is>
      </c>
      <c r="E175" t="inlineStr">
        <is>
          <t>NORRKÖPING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19837-2022</t>
        </is>
      </c>
      <c r="B176" s="1" t="n">
        <v>44696</v>
      </c>
      <c r="C176" s="1" t="n">
        <v>46194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36281-2021</t>
        </is>
      </c>
      <c r="B177" s="1" t="n">
        <v>44390</v>
      </c>
      <c r="C177" s="1" t="n">
        <v>46194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43459-2021</t>
        </is>
      </c>
      <c r="B178" s="1" t="n">
        <v>44432</v>
      </c>
      <c r="C178" s="1" t="n">
        <v>46194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43502-2021</t>
        </is>
      </c>
      <c r="B179" s="1" t="n">
        <v>44433</v>
      </c>
      <c r="C179" s="1" t="n">
        <v>46194</v>
      </c>
      <c r="D179" t="inlineStr">
        <is>
          <t>ÖSTERGÖTLANDS LÄN</t>
        </is>
      </c>
      <c r="E179" t="inlineStr">
        <is>
          <t>NORRKÖPING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46194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47257-2021</t>
        </is>
      </c>
      <c r="B181" s="1" t="n">
        <v>44447</v>
      </c>
      <c r="C181" s="1" t="n">
        <v>46194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31303-2021</t>
        </is>
      </c>
      <c r="B182" s="1" t="n">
        <v>44368</v>
      </c>
      <c r="C182" s="1" t="n">
        <v>46194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22463-2022</t>
        </is>
      </c>
      <c r="B183" s="1" t="n">
        <v>44713</v>
      </c>
      <c r="C183" s="1" t="n">
        <v>46194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46194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69065-2021</t>
        </is>
      </c>
      <c r="B185" s="1" t="n">
        <v>44530</v>
      </c>
      <c r="C185" s="1" t="n">
        <v>46194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65336-2021</t>
        </is>
      </c>
      <c r="B186" s="1" t="n">
        <v>44515</v>
      </c>
      <c r="C186" s="1" t="n">
        <v>46194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1041-2022</t>
        </is>
      </c>
      <c r="B187" s="1" t="n">
        <v>44571</v>
      </c>
      <c r="C187" s="1" t="n">
        <v>46194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46332-2021</t>
        </is>
      </c>
      <c r="B188" s="1" t="n">
        <v>44442</v>
      </c>
      <c r="C188" s="1" t="n">
        <v>46194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55488-2021</t>
        </is>
      </c>
      <c r="B189" s="1" t="n">
        <v>44475</v>
      </c>
      <c r="C189" s="1" t="n">
        <v>46194</v>
      </c>
      <c r="D189" t="inlineStr">
        <is>
          <t>ÖSTERGÖTLANDS LÄN</t>
        </is>
      </c>
      <c r="E189" t="inlineStr">
        <is>
          <t>NORRKÖPING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55494-2021</t>
        </is>
      </c>
      <c r="B190" s="1" t="n">
        <v>44475</v>
      </c>
      <c r="C190" s="1" t="n">
        <v>46194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11347-2022</t>
        </is>
      </c>
      <c r="B191" s="1" t="n">
        <v>44630</v>
      </c>
      <c r="C191" s="1" t="n">
        <v>46194</v>
      </c>
      <c r="D191" t="inlineStr">
        <is>
          <t>ÖSTERGÖTLANDS LÄN</t>
        </is>
      </c>
      <c r="E191" t="inlineStr">
        <is>
          <t>NORRKÖPING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32177-2021</t>
        </is>
      </c>
      <c r="B192" s="1" t="n">
        <v>44371</v>
      </c>
      <c r="C192" s="1" t="n">
        <v>46194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36898-2021</t>
        </is>
      </c>
      <c r="B193" s="1" t="n">
        <v>44393</v>
      </c>
      <c r="C193" s="1" t="n">
        <v>46194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47252-2021</t>
        </is>
      </c>
      <c r="B194" s="1" t="n">
        <v>44447</v>
      </c>
      <c r="C194" s="1" t="n">
        <v>46194</v>
      </c>
      <c r="D194" t="inlineStr">
        <is>
          <t>ÖSTERGÖTLANDS LÄN</t>
        </is>
      </c>
      <c r="E194" t="inlineStr">
        <is>
          <t>NORRKÖPING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69038-2021</t>
        </is>
      </c>
      <c r="B195" s="1" t="n">
        <v>44530</v>
      </c>
      <c r="C195" s="1" t="n">
        <v>46194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62574-2021</t>
        </is>
      </c>
      <c r="B196" s="1" t="n">
        <v>44503</v>
      </c>
      <c r="C196" s="1" t="n">
        <v>46194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50558-2021</t>
        </is>
      </c>
      <c r="B197" s="1" t="n">
        <v>44459</v>
      </c>
      <c r="C197" s="1" t="n">
        <v>46194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47125-2021</t>
        </is>
      </c>
      <c r="B198" s="1" t="n">
        <v>44446</v>
      </c>
      <c r="C198" s="1" t="n">
        <v>46194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53366-2022</t>
        </is>
      </c>
      <c r="B199" s="1" t="n">
        <v>44879</v>
      </c>
      <c r="C199" s="1" t="n">
        <v>46194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50306-2021</t>
        </is>
      </c>
      <c r="B200" s="1" t="n">
        <v>44459</v>
      </c>
      <c r="C200" s="1" t="n">
        <v>46194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55429-2021</t>
        </is>
      </c>
      <c r="B201" s="1" t="n">
        <v>44475</v>
      </c>
      <c r="C201" s="1" t="n">
        <v>46194</v>
      </c>
      <c r="D201" t="inlineStr">
        <is>
          <t>ÖSTERGÖTLANDS LÄN</t>
        </is>
      </c>
      <c r="E201" t="inlineStr">
        <is>
          <t>NORRKÖPING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46194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46194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46194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</v>
      </c>
      <c r="C205" s="1" t="n">
        <v>46194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46194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46194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40975-2022</t>
        </is>
      </c>
      <c r="B208" s="1" t="n">
        <v>44825</v>
      </c>
      <c r="C208" s="1" t="n">
        <v>46194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46194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27179-2022</t>
        </is>
      </c>
      <c r="B210" s="1" t="n">
        <v>44741</v>
      </c>
      <c r="C210" s="1" t="n">
        <v>46194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25280-2022</t>
        </is>
      </c>
      <c r="B211" s="1" t="n">
        <v>44730</v>
      </c>
      <c r="C211" s="1" t="n">
        <v>46194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46194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</v>
      </c>
      <c r="C213" s="1" t="n">
        <v>46194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48230-2021</t>
        </is>
      </c>
      <c r="B214" s="1" t="n">
        <v>44449</v>
      </c>
      <c r="C214" s="1" t="n">
        <v>46194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43270-2021</t>
        </is>
      </c>
      <c r="B215" s="1" t="n">
        <v>44432</v>
      </c>
      <c r="C215" s="1" t="n">
        <v>46194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46194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56331-2022</t>
        </is>
      </c>
      <c r="B218" s="1" t="n">
        <v>44890</v>
      </c>
      <c r="C218" s="1" t="n">
        <v>46194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14901-2023</t>
        </is>
      </c>
      <c r="B219" s="1" t="n">
        <v>45014</v>
      </c>
      <c r="C219" s="1" t="n">
        <v>46194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46194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57495-2023</t>
        </is>
      </c>
      <c r="B221" s="1" t="n">
        <v>45246</v>
      </c>
      <c r="C221" s="1" t="n">
        <v>46194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17327-2024</t>
        </is>
      </c>
      <c r="B222" s="1" t="n">
        <v>45414</v>
      </c>
      <c r="C222" s="1" t="n">
        <v>46194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5725-2022</t>
        </is>
      </c>
      <c r="B223" s="1" t="n">
        <v>44596</v>
      </c>
      <c r="C223" s="1" t="n">
        <v>46194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53444-2021</t>
        </is>
      </c>
      <c r="B224" s="1" t="n">
        <v>44468</v>
      </c>
      <c r="C224" s="1" t="n">
        <v>46194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15843-2023</t>
        </is>
      </c>
      <c r="B225" s="1" t="n">
        <v>45022</v>
      </c>
      <c r="C225" s="1" t="n">
        <v>46194</v>
      </c>
      <c r="D225" t="inlineStr">
        <is>
          <t>ÖSTERGÖTLANDS LÄN</t>
        </is>
      </c>
      <c r="E225" t="inlineStr">
        <is>
          <t>NORRKÖPING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25981-2023</t>
        </is>
      </c>
      <c r="B226" s="1" t="n">
        <v>45090</v>
      </c>
      <c r="C226" s="1" t="n">
        <v>46194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32574-2022</t>
        </is>
      </c>
      <c r="B227" s="1" t="n">
        <v>44783</v>
      </c>
      <c r="C227" s="1" t="n">
        <v>46194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53500-2022</t>
        </is>
      </c>
      <c r="B228" s="1" t="n">
        <v>44874</v>
      </c>
      <c r="C228" s="1" t="n">
        <v>46194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3116-2022</t>
        </is>
      </c>
      <c r="B229" s="1" t="n">
        <v>44582</v>
      </c>
      <c r="C229" s="1" t="n">
        <v>46194</v>
      </c>
      <c r="D229" t="inlineStr">
        <is>
          <t>ÖSTERGÖTLANDS LÄN</t>
        </is>
      </c>
      <c r="E229" t="inlineStr">
        <is>
          <t>NORRKÖPING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11404-2022</t>
        </is>
      </c>
      <c r="B230" s="1" t="n">
        <v>44630</v>
      </c>
      <c r="C230" s="1" t="n">
        <v>46194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8815-2024</t>
        </is>
      </c>
      <c r="B231" s="1" t="n">
        <v>45356</v>
      </c>
      <c r="C231" s="1" t="n">
        <v>46194</v>
      </c>
      <c r="D231" t="inlineStr">
        <is>
          <t>ÖSTERGÖTLANDS LÄN</t>
        </is>
      </c>
      <c r="E231" t="inlineStr">
        <is>
          <t>NORRKÖPING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18664-2023</t>
        </is>
      </c>
      <c r="B232" s="1" t="n">
        <v>45043</v>
      </c>
      <c r="C232" s="1" t="n">
        <v>46194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47345-2023</t>
        </is>
      </c>
      <c r="B233" s="1" t="n">
        <v>45202</v>
      </c>
      <c r="C233" s="1" t="n">
        <v>46194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46580-2021</t>
        </is>
      </c>
      <c r="B234" s="1" t="n">
        <v>44445</v>
      </c>
      <c r="C234" s="1" t="n">
        <v>46194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10393-2024</t>
        </is>
      </c>
      <c r="B235" s="1" t="n">
        <v>45365</v>
      </c>
      <c r="C235" s="1" t="n">
        <v>46194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6566-2025</t>
        </is>
      </c>
      <c r="B236" s="1" t="n">
        <v>45699</v>
      </c>
      <c r="C236" s="1" t="n">
        <v>46194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20356-2024</t>
        </is>
      </c>
      <c r="B237" s="1" t="n">
        <v>45435</v>
      </c>
      <c r="C237" s="1" t="n">
        <v>46194</v>
      </c>
      <c r="D237" t="inlineStr">
        <is>
          <t>ÖSTERGÖTLANDS LÄN</t>
        </is>
      </c>
      <c r="E237" t="inlineStr">
        <is>
          <t>NORRKÖPING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51419-2022</t>
        </is>
      </c>
      <c r="B238" s="1" t="n">
        <v>44869</v>
      </c>
      <c r="C238" s="1" t="n">
        <v>46194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21767-2024</t>
        </is>
      </c>
      <c r="B239" s="1" t="n">
        <v>45442</v>
      </c>
      <c r="C239" s="1" t="n">
        <v>46194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1923-2023</t>
        </is>
      </c>
      <c r="B240" s="1" t="n">
        <v>44936</v>
      </c>
      <c r="C240" s="1" t="n">
        <v>46194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38874-2024</t>
        </is>
      </c>
      <c r="B241" s="1" t="n">
        <v>45547</v>
      </c>
      <c r="C241" s="1" t="n">
        <v>46194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2975-2025</t>
        </is>
      </c>
      <c r="B242" s="1" t="n">
        <v>45678</v>
      </c>
      <c r="C242" s="1" t="n">
        <v>46194</v>
      </c>
      <c r="D242" t="inlineStr">
        <is>
          <t>ÖSTERGÖTLANDS LÄN</t>
        </is>
      </c>
      <c r="E242" t="inlineStr">
        <is>
          <t>NORRKÖPING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25287-2023</t>
        </is>
      </c>
      <c r="B243" s="1" t="n">
        <v>45086</v>
      </c>
      <c r="C243" s="1" t="n">
        <v>46194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58884-2024</t>
        </is>
      </c>
      <c r="B244" s="1" t="n">
        <v>45636</v>
      </c>
      <c r="C244" s="1" t="n">
        <v>46194</v>
      </c>
      <c r="D244" t="inlineStr">
        <is>
          <t>ÖSTERGÖTLANDS LÄN</t>
        </is>
      </c>
      <c r="E244" t="inlineStr">
        <is>
          <t>NORRKÖPING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45947-2021</t>
        </is>
      </c>
      <c r="B245" s="1" t="n">
        <v>44441</v>
      </c>
      <c r="C245" s="1" t="n">
        <v>46194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8426-2025</t>
        </is>
      </c>
      <c r="B246" s="1" t="n">
        <v>45709</v>
      </c>
      <c r="C246" s="1" t="n">
        <v>46194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16689-2023</t>
        </is>
      </c>
      <c r="B247" s="1" t="n">
        <v>45030</v>
      </c>
      <c r="C247" s="1" t="n">
        <v>46194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55941-2022</t>
        </is>
      </c>
      <c r="B248" s="1" t="n">
        <v>44889</v>
      </c>
      <c r="C248" s="1" t="n">
        <v>46194</v>
      </c>
      <c r="D248" t="inlineStr">
        <is>
          <t>ÖSTERGÖTLANDS LÄN</t>
        </is>
      </c>
      <c r="E248" t="inlineStr">
        <is>
          <t>NORRKÖPING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22651-2023</t>
        </is>
      </c>
      <c r="B249" s="1" t="n">
        <v>45071</v>
      </c>
      <c r="C249" s="1" t="n">
        <v>46194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48591-2021</t>
        </is>
      </c>
      <c r="B250" s="1" t="n">
        <v>44452</v>
      </c>
      <c r="C250" s="1" t="n">
        <v>46194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15869-2024</t>
        </is>
      </c>
      <c r="B251" s="1" t="n">
        <v>45405</v>
      </c>
      <c r="C251" s="1" t="n">
        <v>46194</v>
      </c>
      <c r="D251" t="inlineStr">
        <is>
          <t>ÖSTERGÖTLANDS LÄN</t>
        </is>
      </c>
      <c r="E251" t="inlineStr">
        <is>
          <t>NORRKÖPING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16253-2023</t>
        </is>
      </c>
      <c r="B252" s="1" t="n">
        <v>45028</v>
      </c>
      <c r="C252" s="1" t="n">
        <v>46194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60233-2022</t>
        </is>
      </c>
      <c r="B253" s="1" t="n">
        <v>44910</v>
      </c>
      <c r="C253" s="1" t="n">
        <v>46194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29010-2023</t>
        </is>
      </c>
      <c r="B254" s="1" t="n">
        <v>45096</v>
      </c>
      <c r="C254" s="1" t="n">
        <v>46194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62475-2023</t>
        </is>
      </c>
      <c r="B255" s="1" t="n">
        <v>45268</v>
      </c>
      <c r="C255" s="1" t="n">
        <v>46194</v>
      </c>
      <c r="D255" t="inlineStr">
        <is>
          <t>ÖSTERGÖTLANDS LÄN</t>
        </is>
      </c>
      <c r="E255" t="inlineStr">
        <is>
          <t>NORRKÖPING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31850-2023</t>
        </is>
      </c>
      <c r="B256" s="1" t="n">
        <v>45106</v>
      </c>
      <c r="C256" s="1" t="n">
        <v>46194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18650-2023</t>
        </is>
      </c>
      <c r="B257" s="1" t="n">
        <v>45043</v>
      </c>
      <c r="C257" s="1" t="n">
        <v>46194</v>
      </c>
      <c r="D257" t="inlineStr">
        <is>
          <t>ÖSTERGÖTLANDS LÄN</t>
        </is>
      </c>
      <c r="E257" t="inlineStr">
        <is>
          <t>NORRKÖPING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46696-2024</t>
        </is>
      </c>
      <c r="B258" s="1" t="n">
        <v>45583</v>
      </c>
      <c r="C258" s="1" t="n">
        <v>46194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50117-2023</t>
        </is>
      </c>
      <c r="B259" s="1" t="n">
        <v>45215</v>
      </c>
      <c r="C259" s="1" t="n">
        <v>46194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36542-2023</t>
        </is>
      </c>
      <c r="B260" s="1" t="n">
        <v>45153</v>
      </c>
      <c r="C260" s="1" t="n">
        <v>46194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31668-2023</t>
        </is>
      </c>
      <c r="B261" s="1" t="n">
        <v>45117</v>
      </c>
      <c r="C261" s="1" t="n">
        <v>46194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17582-2025</t>
        </is>
      </c>
      <c r="B262" s="1" t="n">
        <v>45757</v>
      </c>
      <c r="C262" s="1" t="n">
        <v>46194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41083-2022</t>
        </is>
      </c>
      <c r="B263" s="1" t="n">
        <v>44825</v>
      </c>
      <c r="C263" s="1" t="n">
        <v>46194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50157-2022</t>
        </is>
      </c>
      <c r="B264" s="1" t="n">
        <v>44865</v>
      </c>
      <c r="C264" s="1" t="n">
        <v>46194</v>
      </c>
      <c r="D264" t="inlineStr">
        <is>
          <t>ÖSTERGÖTLANDS LÄN</t>
        </is>
      </c>
      <c r="E264" t="inlineStr">
        <is>
          <t>NORRKÖPING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26832-2023</t>
        </is>
      </c>
      <c r="B265" s="1" t="n">
        <v>45093</v>
      </c>
      <c r="C265" s="1" t="n">
        <v>46194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47090-2023</t>
        </is>
      </c>
      <c r="B266" s="1" t="n">
        <v>45201</v>
      </c>
      <c r="C266" s="1" t="n">
        <v>46194</v>
      </c>
      <c r="D266" t="inlineStr">
        <is>
          <t>ÖSTERGÖTLANDS LÄN</t>
        </is>
      </c>
      <c r="E266" t="inlineStr">
        <is>
          <t>NORRKÖPING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22956-2023</t>
        </is>
      </c>
      <c r="B267" s="1" t="n">
        <v>45072</v>
      </c>
      <c r="C267" s="1" t="n">
        <v>46194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49799-2022</t>
        </is>
      </c>
      <c r="B268" s="1" t="n">
        <v>44862</v>
      </c>
      <c r="C268" s="1" t="n">
        <v>46194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9206-2023</t>
        </is>
      </c>
      <c r="B269" s="1" t="n">
        <v>44980</v>
      </c>
      <c r="C269" s="1" t="n">
        <v>46194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6636-2023</t>
        </is>
      </c>
      <c r="B270" s="1" t="n">
        <v>44966</v>
      </c>
      <c r="C270" s="1" t="n">
        <v>46194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16705-2023</t>
        </is>
      </c>
      <c r="B271" s="1" t="n">
        <v>45030</v>
      </c>
      <c r="C271" s="1" t="n">
        <v>46194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18667-2023</t>
        </is>
      </c>
      <c r="B272" s="1" t="n">
        <v>45043</v>
      </c>
      <c r="C272" s="1" t="n">
        <v>46194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42390-2021</t>
        </is>
      </c>
      <c r="B273" s="1" t="n">
        <v>44427</v>
      </c>
      <c r="C273" s="1" t="n">
        <v>46194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28601-2024</t>
        </is>
      </c>
      <c r="B274" s="1" t="n">
        <v>45478</v>
      </c>
      <c r="C274" s="1" t="n">
        <v>46194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47435-2023</t>
        </is>
      </c>
      <c r="B275" s="1" t="n">
        <v>45202</v>
      </c>
      <c r="C275" s="1" t="n">
        <v>46194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46194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10796-2024</t>
        </is>
      </c>
      <c r="B277" s="1" t="n">
        <v>45369</v>
      </c>
      <c r="C277" s="1" t="n">
        <v>46194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46194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3020-2025</t>
        </is>
      </c>
      <c r="B279" s="1" t="n">
        <v>45678</v>
      </c>
      <c r="C279" s="1" t="n">
        <v>46194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1286-2023</t>
        </is>
      </c>
      <c r="B280" s="1" t="n">
        <v>44936</v>
      </c>
      <c r="C280" s="1" t="n">
        <v>46194</v>
      </c>
      <c r="D280" t="inlineStr">
        <is>
          <t>ÖSTERGÖTLANDS LÄN</t>
        </is>
      </c>
      <c r="E280" t="inlineStr">
        <is>
          <t>NORRKÖPING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8517-2023</t>
        </is>
      </c>
      <c r="B281" s="1" t="n">
        <v>44977</v>
      </c>
      <c r="C281" s="1" t="n">
        <v>46194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8292-2023</t>
        </is>
      </c>
      <c r="B282" s="1" t="n">
        <v>44974</v>
      </c>
      <c r="C282" s="1" t="n">
        <v>46194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43559-2021</t>
        </is>
      </c>
      <c r="B283" s="1" t="n">
        <v>44433</v>
      </c>
      <c r="C283" s="1" t="n">
        <v>46194</v>
      </c>
      <c r="D283" t="inlineStr">
        <is>
          <t>ÖSTERGÖTLANDS LÄN</t>
        </is>
      </c>
      <c r="E283" t="inlineStr">
        <is>
          <t>NORRKÖPING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13173-2022</t>
        </is>
      </c>
      <c r="B284" s="1" t="n">
        <v>44644</v>
      </c>
      <c r="C284" s="1" t="n">
        <v>46194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14485-2023</t>
        </is>
      </c>
      <c r="B285" s="1" t="n">
        <v>45012</v>
      </c>
      <c r="C285" s="1" t="n">
        <v>46194</v>
      </c>
      <c r="D285" t="inlineStr">
        <is>
          <t>ÖSTERGÖTLANDS LÄN</t>
        </is>
      </c>
      <c r="E285" t="inlineStr">
        <is>
          <t>NORRKÖPING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2501-2023</t>
        </is>
      </c>
      <c r="B286" s="1" t="n">
        <v>44943</v>
      </c>
      <c r="C286" s="1" t="n">
        <v>46194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46194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46194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36954-2022</t>
        </is>
      </c>
      <c r="B289" s="1" t="n">
        <v>44805</v>
      </c>
      <c r="C289" s="1" t="n">
        <v>46194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47895-2021</t>
        </is>
      </c>
      <c r="B290" s="1" t="n">
        <v>44448</v>
      </c>
      <c r="C290" s="1" t="n">
        <v>46194</v>
      </c>
      <c r="D290" t="inlineStr">
        <is>
          <t>ÖSTERGÖTLANDS LÄN</t>
        </is>
      </c>
      <c r="E290" t="inlineStr">
        <is>
          <t>NORRKÖPING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23462-2023</t>
        </is>
      </c>
      <c r="B291" s="1" t="n">
        <v>45076</v>
      </c>
      <c r="C291" s="1" t="n">
        <v>46194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31882-2023</t>
        </is>
      </c>
      <c r="B292" s="1" t="n">
        <v>45118</v>
      </c>
      <c r="C292" s="1" t="n">
        <v>46194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10798-2024</t>
        </is>
      </c>
      <c r="B293" s="1" t="n">
        <v>45369</v>
      </c>
      <c r="C293" s="1" t="n">
        <v>46194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5938-2024</t>
        </is>
      </c>
      <c r="B294" s="1" t="n">
        <v>45336</v>
      </c>
      <c r="C294" s="1" t="n">
        <v>46194</v>
      </c>
      <c r="D294" t="inlineStr">
        <is>
          <t>ÖSTERGÖTLANDS LÄN</t>
        </is>
      </c>
      <c r="E294" t="inlineStr">
        <is>
          <t>NORRKÖPING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38404-2025</t>
        </is>
      </c>
      <c r="B295" s="1" t="n">
        <v>45883</v>
      </c>
      <c r="C295" s="1" t="n">
        <v>46194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38463-2025</t>
        </is>
      </c>
      <c r="B296" s="1" t="n">
        <v>45883</v>
      </c>
      <c r="C296" s="1" t="n">
        <v>46194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26388-2023</t>
        </is>
      </c>
      <c r="B297" s="1" t="n">
        <v>45092</v>
      </c>
      <c r="C297" s="1" t="n">
        <v>46194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17714-2023</t>
        </is>
      </c>
      <c r="B298" s="1" t="n">
        <v>45037</v>
      </c>
      <c r="C298" s="1" t="n">
        <v>46194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45362-2021</t>
        </is>
      </c>
      <c r="B299" s="1" t="n">
        <v>44439</v>
      </c>
      <c r="C299" s="1" t="n">
        <v>46194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7750-2025</t>
        </is>
      </c>
      <c r="B300" s="1" t="n">
        <v>45706</v>
      </c>
      <c r="C300" s="1" t="n">
        <v>46194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23349-2024</t>
        </is>
      </c>
      <c r="B301" s="1" t="n">
        <v>45453</v>
      </c>
      <c r="C301" s="1" t="n">
        <v>46194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38455-2025</t>
        </is>
      </c>
      <c r="B302" s="1" t="n">
        <v>45883</v>
      </c>
      <c r="C302" s="1" t="n">
        <v>46194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55359-2023</t>
        </is>
      </c>
      <c r="B303" s="1" t="n">
        <v>45238</v>
      </c>
      <c r="C303" s="1" t="n">
        <v>46194</v>
      </c>
      <c r="D303" t="inlineStr">
        <is>
          <t>ÖSTERGÖTLANDS LÄN</t>
        </is>
      </c>
      <c r="E303" t="inlineStr">
        <is>
          <t>NORRKÖPING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19114-2023</t>
        </is>
      </c>
      <c r="B304" s="1" t="n">
        <v>45048</v>
      </c>
      <c r="C304" s="1" t="n">
        <v>46194</v>
      </c>
      <c r="D304" t="inlineStr">
        <is>
          <t>ÖSTERGÖTLANDS LÄN</t>
        </is>
      </c>
      <c r="E304" t="inlineStr">
        <is>
          <t>NORRKÖPING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32617-2023</t>
        </is>
      </c>
      <c r="B305" s="1" t="n">
        <v>45121</v>
      </c>
      <c r="C305" s="1" t="n">
        <v>46194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49617-2022</t>
        </is>
      </c>
      <c r="B306" s="1" t="n">
        <v>44862</v>
      </c>
      <c r="C306" s="1" t="n">
        <v>46194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49062-2022</t>
        </is>
      </c>
      <c r="B307" s="1" t="n">
        <v>44860</v>
      </c>
      <c r="C307" s="1" t="n">
        <v>46194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19334-2023</t>
        </is>
      </c>
      <c r="B308" s="1" t="n">
        <v>45049</v>
      </c>
      <c r="C308" s="1" t="n">
        <v>46194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38431-2025</t>
        </is>
      </c>
      <c r="B309" s="1" t="n">
        <v>45883</v>
      </c>
      <c r="C309" s="1" t="n">
        <v>46194</v>
      </c>
      <c r="D309" t="inlineStr">
        <is>
          <t>ÖSTERGÖTLANDS LÄN</t>
        </is>
      </c>
      <c r="E309" t="inlineStr">
        <is>
          <t>NORRKÖPING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36258-2022</t>
        </is>
      </c>
      <c r="B310" s="1" t="n">
        <v>44803</v>
      </c>
      <c r="C310" s="1" t="n">
        <v>46194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39401-2021</t>
        </is>
      </c>
      <c r="B311" s="1" t="n">
        <v>44414</v>
      </c>
      <c r="C311" s="1" t="n">
        <v>46194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13146-2024</t>
        </is>
      </c>
      <c r="B312" s="1" t="n">
        <v>45386</v>
      </c>
      <c r="C312" s="1" t="n">
        <v>46194</v>
      </c>
      <c r="D312" t="inlineStr">
        <is>
          <t>ÖSTERGÖTLANDS LÄN</t>
        </is>
      </c>
      <c r="E312" t="inlineStr">
        <is>
          <t>NORRKÖPING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51877-2021</t>
        </is>
      </c>
      <c r="B313" s="1" t="n">
        <v>44462</v>
      </c>
      <c r="C313" s="1" t="n">
        <v>46194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26977-2023</t>
        </is>
      </c>
      <c r="B314" s="1" t="n">
        <v>45091</v>
      </c>
      <c r="C314" s="1" t="n">
        <v>46194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30784-2023</t>
        </is>
      </c>
      <c r="B315" s="1" t="n">
        <v>45112</v>
      </c>
      <c r="C315" s="1" t="n">
        <v>46194</v>
      </c>
      <c r="D315" t="inlineStr">
        <is>
          <t>ÖSTERGÖTLANDS LÄN</t>
        </is>
      </c>
      <c r="E315" t="inlineStr">
        <is>
          <t>NORRKÖPING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19191-2025</t>
        </is>
      </c>
      <c r="B316" s="1" t="n">
        <v>45769</v>
      </c>
      <c r="C316" s="1" t="n">
        <v>46194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43773-2021</t>
        </is>
      </c>
      <c r="B317" s="1" t="n">
        <v>44433</v>
      </c>
      <c r="C317" s="1" t="n">
        <v>46194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17138-2022</t>
        </is>
      </c>
      <c r="B318" s="1" t="n">
        <v>44677</v>
      </c>
      <c r="C318" s="1" t="n">
        <v>46194</v>
      </c>
      <c r="D318" t="inlineStr">
        <is>
          <t>ÖSTERGÖTLANDS LÄN</t>
        </is>
      </c>
      <c r="E318" t="inlineStr">
        <is>
          <t>NORRKÖPING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3329-2024</t>
        </is>
      </c>
      <c r="B319" s="1" t="n">
        <v>45317</v>
      </c>
      <c r="C319" s="1" t="n">
        <v>46194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56876-2024</t>
        </is>
      </c>
      <c r="B320" s="1" t="n">
        <v>45628</v>
      </c>
      <c r="C320" s="1" t="n">
        <v>46194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20583-2024</t>
        </is>
      </c>
      <c r="B321" s="1" t="n">
        <v>45436</v>
      </c>
      <c r="C321" s="1" t="n">
        <v>46194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17852-2025</t>
        </is>
      </c>
      <c r="B322" s="1" t="n">
        <v>45758</v>
      </c>
      <c r="C322" s="1" t="n">
        <v>46194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9528-2024</t>
        </is>
      </c>
      <c r="B323" s="1" t="n">
        <v>45359</v>
      </c>
      <c r="C323" s="1" t="n">
        <v>46194</v>
      </c>
      <c r="D323" t="inlineStr">
        <is>
          <t>ÖSTERGÖTLANDS LÄN</t>
        </is>
      </c>
      <c r="E323" t="inlineStr">
        <is>
          <t>NORRKÖPING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33341-2023</t>
        </is>
      </c>
      <c r="B324" s="1" t="n">
        <v>45128</v>
      </c>
      <c r="C324" s="1" t="n">
        <v>46194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43322-2022</t>
        </is>
      </c>
      <c r="B325" s="1" t="n">
        <v>44834</v>
      </c>
      <c r="C325" s="1" t="n">
        <v>46194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49456-2022</t>
        </is>
      </c>
      <c r="B326" s="1" t="n">
        <v>44861</v>
      </c>
      <c r="C326" s="1" t="n">
        <v>46194</v>
      </c>
      <c r="D326" t="inlineStr">
        <is>
          <t>ÖSTERGÖTLANDS LÄN</t>
        </is>
      </c>
      <c r="E326" t="inlineStr">
        <is>
          <t>NORRKÖPING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19739-2024</t>
        </is>
      </c>
      <c r="B327" s="1" t="n">
        <v>45432</v>
      </c>
      <c r="C327" s="1" t="n">
        <v>46194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18592-2024</t>
        </is>
      </c>
      <c r="B328" s="1" t="n">
        <v>45425</v>
      </c>
      <c r="C328" s="1" t="n">
        <v>46194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27040-2022</t>
        </is>
      </c>
      <c r="B329" s="1" t="n">
        <v>44741</v>
      </c>
      <c r="C329" s="1" t="n">
        <v>46194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53747-2022</t>
        </is>
      </c>
      <c r="B330" s="1" t="n">
        <v>44880</v>
      </c>
      <c r="C330" s="1" t="n">
        <v>46194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26407-2023</t>
        </is>
      </c>
      <c r="B331" s="1" t="n">
        <v>45092</v>
      </c>
      <c r="C331" s="1" t="n">
        <v>46194</v>
      </c>
      <c r="D331" t="inlineStr">
        <is>
          <t>ÖSTERGÖTLANDS LÄN</t>
        </is>
      </c>
      <c r="E331" t="inlineStr">
        <is>
          <t>NORRKÖPING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3325-2024</t>
        </is>
      </c>
      <c r="B332" s="1" t="n">
        <v>45317</v>
      </c>
      <c r="C332" s="1" t="n">
        <v>46194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39155-2025</t>
        </is>
      </c>
      <c r="B333" s="1" t="n">
        <v>45888</v>
      </c>
      <c r="C333" s="1" t="n">
        <v>46194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46194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6261-2023</t>
        </is>
      </c>
      <c r="B335" s="1" t="n">
        <v>44965</v>
      </c>
      <c r="C335" s="1" t="n">
        <v>46194</v>
      </c>
      <c r="D335" t="inlineStr">
        <is>
          <t>ÖSTERGÖTLANDS LÄN</t>
        </is>
      </c>
      <c r="E335" t="inlineStr">
        <is>
          <t>NORRKÖPING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11641-2024</t>
        </is>
      </c>
      <c r="B336" s="1" t="n">
        <v>45373</v>
      </c>
      <c r="C336" s="1" t="n">
        <v>46194</v>
      </c>
      <c r="D336" t="inlineStr">
        <is>
          <t>ÖSTERGÖTLANDS LÄN</t>
        </is>
      </c>
      <c r="E336" t="inlineStr">
        <is>
          <t>NORRKÖPING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1914-2023</t>
        </is>
      </c>
      <c r="B337" s="1" t="n">
        <v>44939</v>
      </c>
      <c r="C337" s="1" t="n">
        <v>46194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Naturvårdsverket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14899-2023</t>
        </is>
      </c>
      <c r="B338" s="1" t="n">
        <v>45014</v>
      </c>
      <c r="C338" s="1" t="n">
        <v>46194</v>
      </c>
      <c r="D338" t="inlineStr">
        <is>
          <t>ÖSTERGÖTLANDS LÄN</t>
        </is>
      </c>
      <c r="E338" t="inlineStr">
        <is>
          <t>NORRKÖPING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63961-2023</t>
        </is>
      </c>
      <c r="B339" s="1" t="n">
        <v>45278</v>
      </c>
      <c r="C339" s="1" t="n">
        <v>46194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48462-2022</t>
        </is>
      </c>
      <c r="B340" s="1" t="n">
        <v>44858</v>
      </c>
      <c r="C340" s="1" t="n">
        <v>46194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4494-2023</t>
        </is>
      </c>
      <c r="B341" s="1" t="n">
        <v>44956</v>
      </c>
      <c r="C341" s="1" t="n">
        <v>46194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8805-2024</t>
        </is>
      </c>
      <c r="B342" s="1" t="n">
        <v>45356</v>
      </c>
      <c r="C342" s="1" t="n">
        <v>46194</v>
      </c>
      <c r="D342" t="inlineStr">
        <is>
          <t>ÖSTERGÖTLANDS LÄN</t>
        </is>
      </c>
      <c r="E342" t="inlineStr">
        <is>
          <t>NORRKÖPING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38913-2025</t>
        </is>
      </c>
      <c r="B343" s="1" t="n">
        <v>45887</v>
      </c>
      <c r="C343" s="1" t="n">
        <v>46194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58889-2024</t>
        </is>
      </c>
      <c r="B344" s="1" t="n">
        <v>45636</v>
      </c>
      <c r="C344" s="1" t="n">
        <v>46194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39067-2025</t>
        </is>
      </c>
      <c r="B345" s="1" t="n">
        <v>45888</v>
      </c>
      <c r="C345" s="1" t="n">
        <v>46194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51124-2023</t>
        </is>
      </c>
      <c r="B346" s="1" t="n">
        <v>45219</v>
      </c>
      <c r="C346" s="1" t="n">
        <v>46194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5116-2024</t>
        </is>
      </c>
      <c r="B347" s="1" t="n">
        <v>45330</v>
      </c>
      <c r="C347" s="1" t="n">
        <v>46194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13133-2024</t>
        </is>
      </c>
      <c r="B348" s="1" t="n">
        <v>45386</v>
      </c>
      <c r="C348" s="1" t="n">
        <v>46194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23051-2022</t>
        </is>
      </c>
      <c r="B349" s="1" t="n">
        <v>44719</v>
      </c>
      <c r="C349" s="1" t="n">
        <v>46194</v>
      </c>
      <c r="D349" t="inlineStr">
        <is>
          <t>ÖSTERGÖTLANDS LÄN</t>
        </is>
      </c>
      <c r="E349" t="inlineStr">
        <is>
          <t>NORRKÖPING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38740-2025</t>
        </is>
      </c>
      <c r="B350" s="1" t="n">
        <v>45887</v>
      </c>
      <c r="C350" s="1" t="n">
        <v>46194</v>
      </c>
      <c r="D350" t="inlineStr">
        <is>
          <t>ÖSTERGÖTLANDS LÄN</t>
        </is>
      </c>
      <c r="E350" t="inlineStr">
        <is>
          <t>NORRKÖPING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46270-2024</t>
        </is>
      </c>
      <c r="B351" s="1" t="n">
        <v>45581</v>
      </c>
      <c r="C351" s="1" t="n">
        <v>46194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27579-2023</t>
        </is>
      </c>
      <c r="B352" s="1" t="n">
        <v>45093</v>
      </c>
      <c r="C352" s="1" t="n">
        <v>46194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1383-2022</t>
        </is>
      </c>
      <c r="B353" s="1" t="n">
        <v>44573</v>
      </c>
      <c r="C353" s="1" t="n">
        <v>46194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11144-2025</t>
        </is>
      </c>
      <c r="B354" s="1" t="n">
        <v>45723</v>
      </c>
      <c r="C354" s="1" t="n">
        <v>46194</v>
      </c>
      <c r="D354" t="inlineStr">
        <is>
          <t>ÖSTERGÖTLANDS LÄN</t>
        </is>
      </c>
      <c r="E354" t="inlineStr">
        <is>
          <t>NORRKÖPING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17249-2024</t>
        </is>
      </c>
      <c r="B355" s="1" t="n">
        <v>45414</v>
      </c>
      <c r="C355" s="1" t="n">
        <v>46194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16594-2023</t>
        </is>
      </c>
      <c r="B356" s="1" t="n">
        <v>45027</v>
      </c>
      <c r="C356" s="1" t="n">
        <v>46194</v>
      </c>
      <c r="D356" t="inlineStr">
        <is>
          <t>ÖSTERGÖTLANDS LÄN</t>
        </is>
      </c>
      <c r="E356" t="inlineStr">
        <is>
          <t>NORRKÖPING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11737-2024</t>
        </is>
      </c>
      <c r="B357" s="1" t="n">
        <v>45373</v>
      </c>
      <c r="C357" s="1" t="n">
        <v>46194</v>
      </c>
      <c r="D357" t="inlineStr">
        <is>
          <t>ÖSTERGÖTLANDS LÄN</t>
        </is>
      </c>
      <c r="E357" t="inlineStr">
        <is>
          <t>NORRKÖPING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40816-2024</t>
        </is>
      </c>
      <c r="B358" s="1" t="n">
        <v>45558</v>
      </c>
      <c r="C358" s="1" t="n">
        <v>46194</v>
      </c>
      <c r="D358" t="inlineStr">
        <is>
          <t>ÖSTERGÖTLANDS LÄN</t>
        </is>
      </c>
      <c r="E358" t="inlineStr">
        <is>
          <t>NORRKÖPING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1115-2023</t>
        </is>
      </c>
      <c r="B359" s="1" t="n">
        <v>44935</v>
      </c>
      <c r="C359" s="1" t="n">
        <v>46194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12191-2023</t>
        </is>
      </c>
      <c r="B360" s="1" t="n">
        <v>44998</v>
      </c>
      <c r="C360" s="1" t="n">
        <v>46194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28663-2024</t>
        </is>
      </c>
      <c r="B361" s="1" t="n">
        <v>45478</v>
      </c>
      <c r="C361" s="1" t="n">
        <v>46194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58525-2021</t>
        </is>
      </c>
      <c r="B362" s="1" t="n">
        <v>44488</v>
      </c>
      <c r="C362" s="1" t="n">
        <v>46194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64898-2021</t>
        </is>
      </c>
      <c r="B363" s="1" t="n">
        <v>44512</v>
      </c>
      <c r="C363" s="1" t="n">
        <v>46194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27288-2023</t>
        </is>
      </c>
      <c r="B364" s="1" t="n">
        <v>45096</v>
      </c>
      <c r="C364" s="1" t="n">
        <v>46194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7275-2023</t>
        </is>
      </c>
      <c r="B365" s="1" t="n">
        <v>44970</v>
      </c>
      <c r="C365" s="1" t="n">
        <v>46194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9174-2023</t>
        </is>
      </c>
      <c r="B366" s="1" t="n">
        <v>44980</v>
      </c>
      <c r="C366" s="1" t="n">
        <v>46194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31883-2023</t>
        </is>
      </c>
      <c r="B367" s="1" t="n">
        <v>45118</v>
      </c>
      <c r="C367" s="1" t="n">
        <v>46194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9201-2023</t>
        </is>
      </c>
      <c r="B368" s="1" t="n">
        <v>44980</v>
      </c>
      <c r="C368" s="1" t="n">
        <v>46194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13152-2024</t>
        </is>
      </c>
      <c r="B369" s="1" t="n">
        <v>45386</v>
      </c>
      <c r="C369" s="1" t="n">
        <v>46194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8569-2023</t>
        </is>
      </c>
      <c r="B370" s="1" t="n">
        <v>44977</v>
      </c>
      <c r="C370" s="1" t="n">
        <v>46194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62028-2023</t>
        </is>
      </c>
      <c r="B371" s="1" t="n">
        <v>45266</v>
      </c>
      <c r="C371" s="1" t="n">
        <v>46194</v>
      </c>
      <c r="D371" t="inlineStr">
        <is>
          <t>ÖSTERGÖTLANDS LÄN</t>
        </is>
      </c>
      <c r="E371" t="inlineStr">
        <is>
          <t>NORRKÖPING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3070-2025</t>
        </is>
      </c>
      <c r="B372" s="1" t="n">
        <v>45678</v>
      </c>
      <c r="C372" s="1" t="n">
        <v>46194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30315-2024</t>
        </is>
      </c>
      <c r="B373" s="1" t="n">
        <v>45490</v>
      </c>
      <c r="C373" s="1" t="n">
        <v>46194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23783-2022</t>
        </is>
      </c>
      <c r="B374" s="1" t="n">
        <v>44721</v>
      </c>
      <c r="C374" s="1" t="n">
        <v>46194</v>
      </c>
      <c r="D374" t="inlineStr">
        <is>
          <t>ÖSTERGÖTLANDS LÄN</t>
        </is>
      </c>
      <c r="E374" t="inlineStr">
        <is>
          <t>NORRKÖPING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1018-2023</t>
        </is>
      </c>
      <c r="B375" s="1" t="n">
        <v>44930</v>
      </c>
      <c r="C375" s="1" t="n">
        <v>46194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31362-2023</t>
        </is>
      </c>
      <c r="B376" s="1" t="n">
        <v>45114</v>
      </c>
      <c r="C376" s="1" t="n">
        <v>46194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36571-2023</t>
        </is>
      </c>
      <c r="B377" s="1" t="n">
        <v>45153</v>
      </c>
      <c r="C377" s="1" t="n">
        <v>46194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51112-2024</t>
        </is>
      </c>
      <c r="B378" s="1" t="n">
        <v>45603</v>
      </c>
      <c r="C378" s="1" t="n">
        <v>46194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1811-2023</t>
        </is>
      </c>
      <c r="B379" s="1" t="n">
        <v>44936</v>
      </c>
      <c r="C379" s="1" t="n">
        <v>46194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14585-2025</t>
        </is>
      </c>
      <c r="B380" s="1" t="n">
        <v>45742</v>
      </c>
      <c r="C380" s="1" t="n">
        <v>46194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1835-2023</t>
        </is>
      </c>
      <c r="B381" s="1" t="n">
        <v>44936</v>
      </c>
      <c r="C381" s="1" t="n">
        <v>46194</v>
      </c>
      <c r="D381" t="inlineStr">
        <is>
          <t>ÖSTERGÖTLANDS LÄN</t>
        </is>
      </c>
      <c r="E381" t="inlineStr">
        <is>
          <t>NORRKÖPING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36575-2023</t>
        </is>
      </c>
      <c r="B382" s="1" t="n">
        <v>45153</v>
      </c>
      <c r="C382" s="1" t="n">
        <v>46194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39223-2025</t>
        </is>
      </c>
      <c r="B383" s="1" t="n">
        <v>45889</v>
      </c>
      <c r="C383" s="1" t="n">
        <v>46194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57376-2024</t>
        </is>
      </c>
      <c r="B384" s="1" t="n">
        <v>45629</v>
      </c>
      <c r="C384" s="1" t="n">
        <v>46194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57380-2024</t>
        </is>
      </c>
      <c r="B385" s="1" t="n">
        <v>45629</v>
      </c>
      <c r="C385" s="1" t="n">
        <v>46194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27735-2023</t>
        </is>
      </c>
      <c r="B386" s="1" t="n">
        <v>45098</v>
      </c>
      <c r="C386" s="1" t="n">
        <v>46194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36887-2022</t>
        </is>
      </c>
      <c r="B387" s="1" t="n">
        <v>44805</v>
      </c>
      <c r="C387" s="1" t="n">
        <v>46194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31653-2023</t>
        </is>
      </c>
      <c r="B388" s="1" t="n">
        <v>45117</v>
      </c>
      <c r="C388" s="1" t="n">
        <v>46194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46610-2024</t>
        </is>
      </c>
      <c r="B389" s="1" t="n">
        <v>45582</v>
      </c>
      <c r="C389" s="1" t="n">
        <v>46194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59580-2022</t>
        </is>
      </c>
      <c r="B390" s="1" t="n">
        <v>44907</v>
      </c>
      <c r="C390" s="1" t="n">
        <v>46194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49818-2024</t>
        </is>
      </c>
      <c r="B391" s="1" t="n">
        <v>45597</v>
      </c>
      <c r="C391" s="1" t="n">
        <v>46194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26390-2024</t>
        </is>
      </c>
      <c r="B392" s="1" t="n">
        <v>45469</v>
      </c>
      <c r="C392" s="1" t="n">
        <v>46194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49465-2023</t>
        </is>
      </c>
      <c r="B393" s="1" t="n">
        <v>45211</v>
      </c>
      <c r="C393" s="1" t="n">
        <v>46194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11519-2025</t>
        </is>
      </c>
      <c r="B394" s="1" t="n">
        <v>45726</v>
      </c>
      <c r="C394" s="1" t="n">
        <v>46194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40132-2025</t>
        </is>
      </c>
      <c r="B395" s="1" t="n">
        <v>45894</v>
      </c>
      <c r="C395" s="1" t="n">
        <v>46194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1939-2023</t>
        </is>
      </c>
      <c r="B396" s="1" t="n">
        <v>44936</v>
      </c>
      <c r="C396" s="1" t="n">
        <v>46194</v>
      </c>
      <c r="D396" t="inlineStr">
        <is>
          <t>ÖSTERGÖTLANDS LÄN</t>
        </is>
      </c>
      <c r="E396" t="inlineStr">
        <is>
          <t>NORRKÖPING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22470-2022</t>
        </is>
      </c>
      <c r="B397" s="1" t="n">
        <v>44713</v>
      </c>
      <c r="C397" s="1" t="n">
        <v>46194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40134-2025</t>
        </is>
      </c>
      <c r="B398" s="1" t="n">
        <v>45894</v>
      </c>
      <c r="C398" s="1" t="n">
        <v>46194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40669-2025</t>
        </is>
      </c>
      <c r="B399" s="1" t="n">
        <v>45896</v>
      </c>
      <c r="C399" s="1" t="n">
        <v>46194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40670-2025</t>
        </is>
      </c>
      <c r="B400" s="1" t="n">
        <v>45896</v>
      </c>
      <c r="C400" s="1" t="n">
        <v>46194</v>
      </c>
      <c r="D400" t="inlineStr">
        <is>
          <t>ÖSTERGÖTLANDS LÄN</t>
        </is>
      </c>
      <c r="E400" t="inlineStr">
        <is>
          <t>NORRKÖPING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40284-2025</t>
        </is>
      </c>
      <c r="B401" s="1" t="n">
        <v>45895</v>
      </c>
      <c r="C401" s="1" t="n">
        <v>46194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32511-2023</t>
        </is>
      </c>
      <c r="B402" s="1" t="n">
        <v>45121</v>
      </c>
      <c r="C402" s="1" t="n">
        <v>46194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40278-2025</t>
        </is>
      </c>
      <c r="B403" s="1" t="n">
        <v>45895</v>
      </c>
      <c r="C403" s="1" t="n">
        <v>46194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41321-2025</t>
        </is>
      </c>
      <c r="B404" s="1" t="n">
        <v>45898</v>
      </c>
      <c r="C404" s="1" t="n">
        <v>46194</v>
      </c>
      <c r="D404" t="inlineStr">
        <is>
          <t>ÖSTERGÖTLANDS LÄN</t>
        </is>
      </c>
      <c r="E404" t="inlineStr">
        <is>
          <t>NORRKÖPING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15177-2023</t>
        </is>
      </c>
      <c r="B405" s="1" t="n">
        <v>45016</v>
      </c>
      <c r="C405" s="1" t="n">
        <v>46194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33446-2023</t>
        </is>
      </c>
      <c r="B406" s="1" t="n">
        <v>45129</v>
      </c>
      <c r="C406" s="1" t="n">
        <v>46194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27857-2025</t>
        </is>
      </c>
      <c r="B407" s="1" t="n">
        <v>45817</v>
      </c>
      <c r="C407" s="1" t="n">
        <v>46194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41952-2025</t>
        </is>
      </c>
      <c r="B408" s="1" t="n">
        <v>45903</v>
      </c>
      <c r="C408" s="1" t="n">
        <v>46194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15402-2025</t>
        </is>
      </c>
      <c r="B409" s="1" t="n">
        <v>45747</v>
      </c>
      <c r="C409" s="1" t="n">
        <v>46194</v>
      </c>
      <c r="D409" t="inlineStr">
        <is>
          <t>ÖSTERGÖTLANDS LÄN</t>
        </is>
      </c>
      <c r="E409" t="inlineStr">
        <is>
          <t>NORRKÖPING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47051-2023</t>
        </is>
      </c>
      <c r="B410" s="1" t="n">
        <v>45201</v>
      </c>
      <c r="C410" s="1" t="n">
        <v>46194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16696-2023</t>
        </is>
      </c>
      <c r="B411" s="1" t="n">
        <v>45030</v>
      </c>
      <c r="C411" s="1" t="n">
        <v>46194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16698-2023</t>
        </is>
      </c>
      <c r="B412" s="1" t="n">
        <v>45030</v>
      </c>
      <c r="C412" s="1" t="n">
        <v>46194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41933-2025</t>
        </is>
      </c>
      <c r="B413" s="1" t="n">
        <v>45903</v>
      </c>
      <c r="C413" s="1" t="n">
        <v>46194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47477-2022</t>
        </is>
      </c>
      <c r="B414" s="1" t="n">
        <v>44853</v>
      </c>
      <c r="C414" s="1" t="n">
        <v>46194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42758-2025</t>
        </is>
      </c>
      <c r="B415" s="1" t="n">
        <v>45908</v>
      </c>
      <c r="C415" s="1" t="n">
        <v>46194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42766-2025</t>
        </is>
      </c>
      <c r="B416" s="1" t="n">
        <v>45908</v>
      </c>
      <c r="C416" s="1" t="n">
        <v>46194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12511-2023</t>
        </is>
      </c>
      <c r="B417" s="1" t="n">
        <v>44999</v>
      </c>
      <c r="C417" s="1" t="n">
        <v>46194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24354-2024</t>
        </is>
      </c>
      <c r="B418" s="1" t="n">
        <v>45457</v>
      </c>
      <c r="C418" s="1" t="n">
        <v>46194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30095-2023</t>
        </is>
      </c>
      <c r="B419" s="1" t="n">
        <v>45110</v>
      </c>
      <c r="C419" s="1" t="n">
        <v>46194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30865-2024</t>
        </is>
      </c>
      <c r="B420" s="1" t="n">
        <v>45497</v>
      </c>
      <c r="C420" s="1" t="n">
        <v>46194</v>
      </c>
      <c r="D420" t="inlineStr">
        <is>
          <t>ÖSTERGÖTLANDS LÄN</t>
        </is>
      </c>
      <c r="E420" t="inlineStr">
        <is>
          <t>NORRKÖPING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20194-2026</t>
        </is>
      </c>
      <c r="B421" s="1" t="n">
        <v>46139</v>
      </c>
      <c r="C421" s="1" t="n">
        <v>46194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7763-2025</t>
        </is>
      </c>
      <c r="B422" s="1" t="n">
        <v>45706</v>
      </c>
      <c r="C422" s="1" t="n">
        <v>46194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41223-2022</t>
        </is>
      </c>
      <c r="B423" s="1" t="n">
        <v>44826</v>
      </c>
      <c r="C423" s="1" t="n">
        <v>46194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21664-2024</t>
        </is>
      </c>
      <c r="B424" s="1" t="n">
        <v>45442</v>
      </c>
      <c r="C424" s="1" t="n">
        <v>46194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2320-2024</t>
        </is>
      </c>
      <c r="B425" s="1" t="n">
        <v>45310</v>
      </c>
      <c r="C425" s="1" t="n">
        <v>46194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14587-2025</t>
        </is>
      </c>
      <c r="B426" s="1" t="n">
        <v>45742</v>
      </c>
      <c r="C426" s="1" t="n">
        <v>46194</v>
      </c>
      <c r="D426" t="inlineStr">
        <is>
          <t>ÖSTERGÖTLANDS LÄN</t>
        </is>
      </c>
      <c r="E426" t="inlineStr">
        <is>
          <t>NORRKÖPING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21772-2024</t>
        </is>
      </c>
      <c r="B427" s="1" t="n">
        <v>45442</v>
      </c>
      <c r="C427" s="1" t="n">
        <v>46194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17813-2025</t>
        </is>
      </c>
      <c r="B428" s="1" t="n">
        <v>45758</v>
      </c>
      <c r="C428" s="1" t="n">
        <v>46194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8432-2025</t>
        </is>
      </c>
      <c r="B429" s="1" t="n">
        <v>45709</v>
      </c>
      <c r="C429" s="1" t="n">
        <v>46194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20352-2026</t>
        </is>
      </c>
      <c r="B430" s="1" t="n">
        <v>46139</v>
      </c>
      <c r="C430" s="1" t="n">
        <v>46194</v>
      </c>
      <c r="D430" t="inlineStr">
        <is>
          <t>ÖSTERGÖTLANDS LÄN</t>
        </is>
      </c>
      <c r="E430" t="inlineStr">
        <is>
          <t>NORRKÖPING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14031-2023</t>
        </is>
      </c>
      <c r="B431" s="1" t="n">
        <v>45008</v>
      </c>
      <c r="C431" s="1" t="n">
        <v>46194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9233-2023</t>
        </is>
      </c>
      <c r="B432" s="1" t="n">
        <v>44980</v>
      </c>
      <c r="C432" s="1" t="n">
        <v>46194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14611-2023</t>
        </is>
      </c>
      <c r="B433" s="1" t="n">
        <v>45013</v>
      </c>
      <c r="C433" s="1" t="n">
        <v>46194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57405-2024</t>
        </is>
      </c>
      <c r="B434" s="1" t="n">
        <v>45629</v>
      </c>
      <c r="C434" s="1" t="n">
        <v>46194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44554-2025</t>
        </is>
      </c>
      <c r="B435" s="1" t="n">
        <v>45917</v>
      </c>
      <c r="C435" s="1" t="n">
        <v>46194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53278-2023</t>
        </is>
      </c>
      <c r="B436" s="1" t="n">
        <v>45229</v>
      </c>
      <c r="C436" s="1" t="n">
        <v>46194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26355-2026</t>
        </is>
      </c>
      <c r="B437" s="1" t="n">
        <v>46182</v>
      </c>
      <c r="C437" s="1" t="n">
        <v>46194</v>
      </c>
      <c r="D437" t="inlineStr">
        <is>
          <t>ÖSTERGÖTLANDS LÄN</t>
        </is>
      </c>
      <c r="E437" t="inlineStr">
        <is>
          <t>NORRKÖPING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44560-2025</t>
        </is>
      </c>
      <c r="B438" s="1" t="n">
        <v>45917</v>
      </c>
      <c r="C438" s="1" t="n">
        <v>46194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45538-2025</t>
        </is>
      </c>
      <c r="B439" s="1" t="n">
        <v>45922</v>
      </c>
      <c r="C439" s="1" t="n">
        <v>46194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36302-2025</t>
        </is>
      </c>
      <c r="B440" s="1" t="n">
        <v>45867</v>
      </c>
      <c r="C440" s="1" t="n">
        <v>46194</v>
      </c>
      <c r="D440" t="inlineStr">
        <is>
          <t>ÖSTERGÖTLANDS LÄN</t>
        </is>
      </c>
      <c r="E440" t="inlineStr">
        <is>
          <t>NORRKÖPING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45534-2025</t>
        </is>
      </c>
      <c r="B441" s="1" t="n">
        <v>45922</v>
      </c>
      <c r="C441" s="1" t="n">
        <v>46194</v>
      </c>
      <c r="D441" t="inlineStr">
        <is>
          <t>ÖSTERGÖTLANDS LÄN</t>
        </is>
      </c>
      <c r="E441" t="inlineStr">
        <is>
          <t>NORRKÖPING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18886-2025</t>
        </is>
      </c>
      <c r="B442" s="1" t="n">
        <v>45764</v>
      </c>
      <c r="C442" s="1" t="n">
        <v>46194</v>
      </c>
      <c r="D442" t="inlineStr">
        <is>
          <t>ÖSTERGÖTLANDS LÄN</t>
        </is>
      </c>
      <c r="E442" t="inlineStr">
        <is>
          <t>NORRKÖPING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21093-2025</t>
        </is>
      </c>
      <c r="B443" s="1" t="n">
        <v>45777</v>
      </c>
      <c r="C443" s="1" t="n">
        <v>46194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9532-2025</t>
        </is>
      </c>
      <c r="B444" s="1" t="n">
        <v>45715</v>
      </c>
      <c r="C444" s="1" t="n">
        <v>46194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46148-2025</t>
        </is>
      </c>
      <c r="B445" s="1" t="n">
        <v>45924</v>
      </c>
      <c r="C445" s="1" t="n">
        <v>46194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46177-2025</t>
        </is>
      </c>
      <c r="B446" s="1" t="n">
        <v>45924</v>
      </c>
      <c r="C446" s="1" t="n">
        <v>46194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21542-2025</t>
        </is>
      </c>
      <c r="B447" s="1" t="n">
        <v>45782</v>
      </c>
      <c r="C447" s="1" t="n">
        <v>46194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11587-2023</t>
        </is>
      </c>
      <c r="B448" s="1" t="n">
        <v>44992</v>
      </c>
      <c r="C448" s="1" t="n">
        <v>46194</v>
      </c>
      <c r="D448" t="inlineStr">
        <is>
          <t>ÖSTERGÖTLANDS LÄN</t>
        </is>
      </c>
      <c r="E448" t="inlineStr">
        <is>
          <t>NORRKÖPING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1935-2022</t>
        </is>
      </c>
      <c r="B449" s="1" t="n">
        <v>44575</v>
      </c>
      <c r="C449" s="1" t="n">
        <v>46194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46154-2025</t>
        </is>
      </c>
      <c r="B450" s="1" t="n">
        <v>45924</v>
      </c>
      <c r="C450" s="1" t="n">
        <v>46194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4770-2023</t>
        </is>
      </c>
      <c r="B451" s="1" t="n">
        <v>44957</v>
      </c>
      <c r="C451" s="1" t="n">
        <v>46194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2923-2023</t>
        </is>
      </c>
      <c r="B452" s="1" t="n">
        <v>44945</v>
      </c>
      <c r="C452" s="1" t="n">
        <v>46194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21770-2025</t>
        </is>
      </c>
      <c r="B453" s="1" t="n">
        <v>45783</v>
      </c>
      <c r="C453" s="1" t="n">
        <v>46194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21909-2025</t>
        </is>
      </c>
      <c r="B454" s="1" t="n">
        <v>45784</v>
      </c>
      <c r="C454" s="1" t="n">
        <v>46194</v>
      </c>
      <c r="D454" t="inlineStr">
        <is>
          <t>ÖSTERGÖTLANDS LÄN</t>
        </is>
      </c>
      <c r="E454" t="inlineStr">
        <is>
          <t>NORRKÖPING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26834-2023</t>
        </is>
      </c>
      <c r="B455" s="1" t="n">
        <v>45093</v>
      </c>
      <c r="C455" s="1" t="n">
        <v>46194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21967-2025</t>
        </is>
      </c>
      <c r="B456" s="1" t="n">
        <v>45784</v>
      </c>
      <c r="C456" s="1" t="n">
        <v>46194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30062-2023</t>
        </is>
      </c>
      <c r="B457" s="1" t="n">
        <v>45110</v>
      </c>
      <c r="C457" s="1" t="n">
        <v>46194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26085-2026</t>
        </is>
      </c>
      <c r="B458" s="1" t="n">
        <v>46181</v>
      </c>
      <c r="C458" s="1" t="n">
        <v>46194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46746-2025</t>
        </is>
      </c>
      <c r="B459" s="1" t="n">
        <v>45926</v>
      </c>
      <c r="C459" s="1" t="n">
        <v>46194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63349-2023</t>
        </is>
      </c>
      <c r="B460" s="1" t="n">
        <v>45274</v>
      </c>
      <c r="C460" s="1" t="n">
        <v>46194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47202-2025</t>
        </is>
      </c>
      <c r="B461" s="1" t="n">
        <v>45930</v>
      </c>
      <c r="C461" s="1" t="n">
        <v>46194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59460-2023</t>
        </is>
      </c>
      <c r="B462" s="1" t="n">
        <v>45254</v>
      </c>
      <c r="C462" s="1" t="n">
        <v>46194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26398-2023</t>
        </is>
      </c>
      <c r="B463" s="1" t="n">
        <v>45092</v>
      </c>
      <c r="C463" s="1" t="n">
        <v>46194</v>
      </c>
      <c r="D463" t="inlineStr">
        <is>
          <t>ÖSTERGÖTLANDS LÄN</t>
        </is>
      </c>
      <c r="E463" t="inlineStr">
        <is>
          <t>NORRKÖPING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23630-2023</t>
        </is>
      </c>
      <c r="B464" s="1" t="n">
        <v>45077</v>
      </c>
      <c r="C464" s="1" t="n">
        <v>46194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31801-2024</t>
        </is>
      </c>
      <c r="B465" s="1" t="n">
        <v>45509</v>
      </c>
      <c r="C465" s="1" t="n">
        <v>46194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22307-2025</t>
        </is>
      </c>
      <c r="B466" s="1" t="n">
        <v>45786</v>
      </c>
      <c r="C466" s="1" t="n">
        <v>46194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1884-2025</t>
        </is>
      </c>
      <c r="B467" s="1" t="n">
        <v>45671</v>
      </c>
      <c r="C467" s="1" t="n">
        <v>46194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18658-2023</t>
        </is>
      </c>
      <c r="B468" s="1" t="n">
        <v>45043</v>
      </c>
      <c r="C468" s="1" t="n">
        <v>46194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43277-2023</t>
        </is>
      </c>
      <c r="B469" s="1" t="n">
        <v>45183</v>
      </c>
      <c r="C469" s="1" t="n">
        <v>46194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23366-2024</t>
        </is>
      </c>
      <c r="B470" s="1" t="n">
        <v>45453</v>
      </c>
      <c r="C470" s="1" t="n">
        <v>46194</v>
      </c>
      <c r="D470" t="inlineStr">
        <is>
          <t>ÖSTERGÖTLANDS LÄN</t>
        </is>
      </c>
      <c r="E470" t="inlineStr">
        <is>
          <t>NORRKÖPING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23368-2024</t>
        </is>
      </c>
      <c r="B471" s="1" t="n">
        <v>45453</v>
      </c>
      <c r="C471" s="1" t="n">
        <v>46194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19259-2023</t>
        </is>
      </c>
      <c r="B472" s="1" t="n">
        <v>45049</v>
      </c>
      <c r="C472" s="1" t="n">
        <v>46194</v>
      </c>
      <c r="D472" t="inlineStr">
        <is>
          <t>ÖSTERGÖTLANDS LÄN</t>
        </is>
      </c>
      <c r="E472" t="inlineStr">
        <is>
          <t>NORRKÖPING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19260-2023</t>
        </is>
      </c>
      <c r="B473" s="1" t="n">
        <v>45049</v>
      </c>
      <c r="C473" s="1" t="n">
        <v>46194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2021-2023</t>
        </is>
      </c>
      <c r="B474" s="1" t="n">
        <v>44939</v>
      </c>
      <c r="C474" s="1" t="n">
        <v>46194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22439-2025</t>
        </is>
      </c>
      <c r="B475" s="1" t="n">
        <v>45786</v>
      </c>
      <c r="C475" s="1" t="n">
        <v>46194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14503-2023</t>
        </is>
      </c>
      <c r="B476" s="1" t="n">
        <v>45012</v>
      </c>
      <c r="C476" s="1" t="n">
        <v>46194</v>
      </c>
      <c r="D476" t="inlineStr">
        <is>
          <t>ÖSTERGÖTLANDS LÄN</t>
        </is>
      </c>
      <c r="E476" t="inlineStr">
        <is>
          <t>NORRKÖPING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48500-2025</t>
        </is>
      </c>
      <c r="B477" s="1" t="n">
        <v>45936</v>
      </c>
      <c r="C477" s="1" t="n">
        <v>46194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421-2022</t>
        </is>
      </c>
      <c r="B478" s="1" t="n">
        <v>44565</v>
      </c>
      <c r="C478" s="1" t="n">
        <v>46194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2288-2024</t>
        </is>
      </c>
      <c r="B479" s="1" t="n">
        <v>45310</v>
      </c>
      <c r="C479" s="1" t="n">
        <v>46194</v>
      </c>
      <c r="D479" t="inlineStr">
        <is>
          <t>ÖSTERGÖTLANDS LÄN</t>
        </is>
      </c>
      <c r="E479" t="inlineStr">
        <is>
          <t>NORRKÖPING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22881-2025</t>
        </is>
      </c>
      <c r="B480" s="1" t="n">
        <v>45790</v>
      </c>
      <c r="C480" s="1" t="n">
        <v>46194</v>
      </c>
      <c r="D480" t="inlineStr">
        <is>
          <t>ÖSTERGÖTLANDS LÄN</t>
        </is>
      </c>
      <c r="E480" t="inlineStr">
        <is>
          <t>NORRKÖPING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55063-2023</t>
        </is>
      </c>
      <c r="B481" s="1" t="n">
        <v>45237</v>
      </c>
      <c r="C481" s="1" t="n">
        <v>46194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Kyrkan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19230-2025</t>
        </is>
      </c>
      <c r="B482" s="1" t="n">
        <v>45769</v>
      </c>
      <c r="C482" s="1" t="n">
        <v>46194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19287-2025</t>
        </is>
      </c>
      <c r="B483" s="1" t="n">
        <v>45769</v>
      </c>
      <c r="C483" s="1" t="n">
        <v>46194</v>
      </c>
      <c r="D483" t="inlineStr">
        <is>
          <t>ÖSTERGÖTLANDS LÄN</t>
        </is>
      </c>
      <c r="E483" t="inlineStr">
        <is>
          <t>NORRKÖPING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19298-2025</t>
        </is>
      </c>
      <c r="B484" s="1" t="n">
        <v>45769</v>
      </c>
      <c r="C484" s="1" t="n">
        <v>46194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36750-2025</t>
        </is>
      </c>
      <c r="B485" s="1" t="n">
        <v>45873</v>
      </c>
      <c r="C485" s="1" t="n">
        <v>46194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49452-2021</t>
        </is>
      </c>
      <c r="B486" s="1" t="n">
        <v>44454</v>
      </c>
      <c r="C486" s="1" t="n">
        <v>46194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23452-2025</t>
        </is>
      </c>
      <c r="B487" s="1" t="n">
        <v>45792</v>
      </c>
      <c r="C487" s="1" t="n">
        <v>46194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12674-2025</t>
        </is>
      </c>
      <c r="B488" s="1" t="n">
        <v>45733</v>
      </c>
      <c r="C488" s="1" t="n">
        <v>46194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3018-2025</t>
        </is>
      </c>
      <c r="B489" s="1" t="n">
        <v>45678</v>
      </c>
      <c r="C489" s="1" t="n">
        <v>46194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49060-2022</t>
        </is>
      </c>
      <c r="B490" s="1" t="n">
        <v>44860</v>
      </c>
      <c r="C490" s="1" t="n">
        <v>46194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24049-2025</t>
        </is>
      </c>
      <c r="B491" s="1" t="n">
        <v>45796</v>
      </c>
      <c r="C491" s="1" t="n">
        <v>46194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14441-2025</t>
        </is>
      </c>
      <c r="B492" s="1" t="n">
        <v>45741</v>
      </c>
      <c r="C492" s="1" t="n">
        <v>46194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45362-2021</t>
        </is>
      </c>
      <c r="B493" s="1" t="n">
        <v>44439</v>
      </c>
      <c r="C493" s="1" t="n">
        <v>46194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50146-2025</t>
        </is>
      </c>
      <c r="B494" s="1" t="n">
        <v>45943</v>
      </c>
      <c r="C494" s="1" t="n">
        <v>46194</v>
      </c>
      <c r="D494" t="inlineStr">
        <is>
          <t>ÖSTERGÖTLANDS LÄN</t>
        </is>
      </c>
      <c r="E494" t="inlineStr">
        <is>
          <t>NORRKÖPING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23954-2025</t>
        </is>
      </c>
      <c r="B495" s="1" t="n">
        <v>45796</v>
      </c>
      <c r="C495" s="1" t="n">
        <v>46194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57413-2022</t>
        </is>
      </c>
      <c r="B496" s="1" t="n">
        <v>44896</v>
      </c>
      <c r="C496" s="1" t="n">
        <v>46194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60800-2023</t>
        </is>
      </c>
      <c r="B497" s="1" t="n">
        <v>45259</v>
      </c>
      <c r="C497" s="1" t="n">
        <v>46194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57979-2022</t>
        </is>
      </c>
      <c r="B498" s="1" t="n">
        <v>44900</v>
      </c>
      <c r="C498" s="1" t="n">
        <v>46194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24684-2025</t>
        </is>
      </c>
      <c r="B499" s="1" t="n">
        <v>45798</v>
      </c>
      <c r="C499" s="1" t="n">
        <v>46194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19324-2025</t>
        </is>
      </c>
      <c r="B500" s="1" t="n">
        <v>45769</v>
      </c>
      <c r="C500" s="1" t="n">
        <v>46194</v>
      </c>
      <c r="D500" t="inlineStr">
        <is>
          <t>ÖSTERGÖTLANDS LÄN</t>
        </is>
      </c>
      <c r="E500" t="inlineStr">
        <is>
          <t>NORRKÖPING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24246-2025</t>
        </is>
      </c>
      <c r="B501" s="1" t="n">
        <v>45797</v>
      </c>
      <c r="C501" s="1" t="n">
        <v>46194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24555-2025</t>
        </is>
      </c>
      <c r="B502" s="1" t="n">
        <v>45798</v>
      </c>
      <c r="C502" s="1" t="n">
        <v>46194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57733-2022</t>
        </is>
      </c>
      <c r="B503" s="1" t="n">
        <v>44897</v>
      </c>
      <c r="C503" s="1" t="n">
        <v>46194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72-2023</t>
        </is>
      </c>
      <c r="B504" s="1" t="n">
        <v>44928</v>
      </c>
      <c r="C504" s="1" t="n">
        <v>46194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62376-2022</t>
        </is>
      </c>
      <c r="B505" s="1" t="n">
        <v>44923</v>
      </c>
      <c r="C505" s="1" t="n">
        <v>46194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42514-2024</t>
        </is>
      </c>
      <c r="B506" s="1" t="n">
        <v>45565</v>
      </c>
      <c r="C506" s="1" t="n">
        <v>46194</v>
      </c>
      <c r="D506" t="inlineStr">
        <is>
          <t>ÖSTERGÖTLANDS LÄN</t>
        </is>
      </c>
      <c r="E506" t="inlineStr">
        <is>
          <t>NORRKÖPING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16582-2024</t>
        </is>
      </c>
      <c r="B507" s="1" t="n">
        <v>45408</v>
      </c>
      <c r="C507" s="1" t="n">
        <v>46194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40068-2024</t>
        </is>
      </c>
      <c r="B508" s="1" t="n">
        <v>45554</v>
      </c>
      <c r="C508" s="1" t="n">
        <v>46194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10770-2025</t>
        </is>
      </c>
      <c r="B509" s="1" t="n">
        <v>45722</v>
      </c>
      <c r="C509" s="1" t="n">
        <v>46194</v>
      </c>
      <c r="D509" t="inlineStr">
        <is>
          <t>ÖSTERGÖTLANDS LÄN</t>
        </is>
      </c>
      <c r="E509" t="inlineStr">
        <is>
          <t>NORRKÖPING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59586-2022</t>
        </is>
      </c>
      <c r="B510" s="1" t="n">
        <v>44907</v>
      </c>
      <c r="C510" s="1" t="n">
        <v>46194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25546-2025</t>
        </is>
      </c>
      <c r="B511" s="1" t="n">
        <v>45803</v>
      </c>
      <c r="C511" s="1" t="n">
        <v>46194</v>
      </c>
      <c r="D511" t="inlineStr">
        <is>
          <t>ÖSTERGÖTLANDS LÄN</t>
        </is>
      </c>
      <c r="E511" t="inlineStr">
        <is>
          <t>NORRKÖPING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25949-2025</t>
        </is>
      </c>
      <c r="B512" s="1" t="n">
        <v>45804</v>
      </c>
      <c r="C512" s="1" t="n">
        <v>46194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46194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18474-2025</t>
        </is>
      </c>
      <c r="B514" s="1" t="n">
        <v>45762</v>
      </c>
      <c r="C514" s="1" t="n">
        <v>46194</v>
      </c>
      <c r="D514" t="inlineStr">
        <is>
          <t>ÖSTERGÖTLANDS LÄN</t>
        </is>
      </c>
      <c r="E514" t="inlineStr">
        <is>
          <t>NORRKÖPING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20587-2024</t>
        </is>
      </c>
      <c r="B515" s="1" t="n">
        <v>45436</v>
      </c>
      <c r="C515" s="1" t="n">
        <v>46194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32630-2022</t>
        </is>
      </c>
      <c r="B516" s="1" t="n">
        <v>44783</v>
      </c>
      <c r="C516" s="1" t="n">
        <v>46194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9714-2025</t>
        </is>
      </c>
      <c r="B517" s="1" t="n">
        <v>45716</v>
      </c>
      <c r="C517" s="1" t="n">
        <v>46194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10834-2024</t>
        </is>
      </c>
      <c r="B518" s="1" t="n">
        <v>45369</v>
      </c>
      <c r="C518" s="1" t="n">
        <v>46194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10791-2024</t>
        </is>
      </c>
      <c r="B519" s="1" t="n">
        <v>45369</v>
      </c>
      <c r="C519" s="1" t="n">
        <v>46194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53694-2025</t>
        </is>
      </c>
      <c r="B520" s="1" t="n">
        <v>45960</v>
      </c>
      <c r="C520" s="1" t="n">
        <v>46194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53702-2025</t>
        </is>
      </c>
      <c r="B521" s="1" t="n">
        <v>45960</v>
      </c>
      <c r="C521" s="1" t="n">
        <v>46194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53881-2025</t>
        </is>
      </c>
      <c r="B522" s="1" t="n">
        <v>45961</v>
      </c>
      <c r="C522" s="1" t="n">
        <v>46194</v>
      </c>
      <c r="D522" t="inlineStr">
        <is>
          <t>ÖSTERGÖTLANDS LÄN</t>
        </is>
      </c>
      <c r="E522" t="inlineStr">
        <is>
          <t>NORRKÖPING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31838-2023</t>
        </is>
      </c>
      <c r="B523" s="1" t="n">
        <v>45106</v>
      </c>
      <c r="C523" s="1" t="n">
        <v>46194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12538-2024</t>
        </is>
      </c>
      <c r="B524" s="1" t="n">
        <v>45379</v>
      </c>
      <c r="C524" s="1" t="n">
        <v>46194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46194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6490-2024</t>
        </is>
      </c>
      <c r="B526" s="1" t="n">
        <v>45339</v>
      </c>
      <c r="C526" s="1" t="n">
        <v>46194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16590-2024</t>
        </is>
      </c>
      <c r="B527" s="1" t="n">
        <v>45408</v>
      </c>
      <c r="C527" s="1" t="n">
        <v>46194</v>
      </c>
      <c r="D527" t="inlineStr">
        <is>
          <t>ÖSTERGÖTLANDS LÄN</t>
        </is>
      </c>
      <c r="E527" t="inlineStr">
        <is>
          <t>NORRKÖPING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59520-2023</t>
        </is>
      </c>
      <c r="B528" s="1" t="n">
        <v>45254</v>
      </c>
      <c r="C528" s="1" t="n">
        <v>46194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28039-2025</t>
        </is>
      </c>
      <c r="B529" s="1" t="n">
        <v>45817</v>
      </c>
      <c r="C529" s="1" t="n">
        <v>46194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28734-2025</t>
        </is>
      </c>
      <c r="B530" s="1" t="n">
        <v>45820</v>
      </c>
      <c r="C530" s="1" t="n">
        <v>46194</v>
      </c>
      <c r="D530" t="inlineStr">
        <is>
          <t>ÖSTERGÖTLANDS LÄN</t>
        </is>
      </c>
      <c r="E530" t="inlineStr">
        <is>
          <t>NORRKÖPING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28750-2025</t>
        </is>
      </c>
      <c r="B531" s="1" t="n">
        <v>45820</v>
      </c>
      <c r="C531" s="1" t="n">
        <v>46194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46194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29220-2025</t>
        </is>
      </c>
      <c r="B533" s="1" t="n">
        <v>45824</v>
      </c>
      <c r="C533" s="1" t="n">
        <v>46194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3650-2023</t>
        </is>
      </c>
      <c r="B534" s="1" t="n">
        <v>44950</v>
      </c>
      <c r="C534" s="1" t="n">
        <v>46194</v>
      </c>
      <c r="D534" t="inlineStr">
        <is>
          <t>ÖSTERGÖTLANDS LÄN</t>
        </is>
      </c>
      <c r="E534" t="inlineStr">
        <is>
          <t>NORRKÖPING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26391-2023</t>
        </is>
      </c>
      <c r="B535" s="1" t="n">
        <v>45092</v>
      </c>
      <c r="C535" s="1" t="n">
        <v>46194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13579-2023</t>
        </is>
      </c>
      <c r="B536" s="1" t="n">
        <v>45006</v>
      </c>
      <c r="C536" s="1" t="n">
        <v>46194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27177-2026</t>
        </is>
      </c>
      <c r="B537" s="1" t="n">
        <v>46188</v>
      </c>
      <c r="C537" s="1" t="n">
        <v>46194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16703-2023</t>
        </is>
      </c>
      <c r="B538" s="1" t="n">
        <v>45030</v>
      </c>
      <c r="C538" s="1" t="n">
        <v>46194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16708-2023</t>
        </is>
      </c>
      <c r="B539" s="1" t="n">
        <v>45030</v>
      </c>
      <c r="C539" s="1" t="n">
        <v>46194</v>
      </c>
      <c r="D539" t="inlineStr">
        <is>
          <t>ÖSTERGÖTLANDS LÄN</t>
        </is>
      </c>
      <c r="E539" t="inlineStr">
        <is>
          <t>NORRKÖPING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11612-2023</t>
        </is>
      </c>
      <c r="B540" s="1" t="n">
        <v>44994</v>
      </c>
      <c r="C540" s="1" t="n">
        <v>46194</v>
      </c>
      <c r="D540" t="inlineStr">
        <is>
          <t>ÖSTERGÖTLANDS LÄN</t>
        </is>
      </c>
      <c r="E540" t="inlineStr">
        <is>
          <t>NORRKÖPING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30156-2023</t>
        </is>
      </c>
      <c r="B541" s="1" t="n">
        <v>45110</v>
      </c>
      <c r="C541" s="1" t="n">
        <v>46194</v>
      </c>
      <c r="D541" t="inlineStr">
        <is>
          <t>ÖSTERGÖTLANDS LÄN</t>
        </is>
      </c>
      <c r="E541" t="inlineStr">
        <is>
          <t>NORRKÖPING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30159-2023</t>
        </is>
      </c>
      <c r="B542" s="1" t="n">
        <v>45110</v>
      </c>
      <c r="C542" s="1" t="n">
        <v>46194</v>
      </c>
      <c r="D542" t="inlineStr">
        <is>
          <t>ÖSTERGÖTLANDS LÄN</t>
        </is>
      </c>
      <c r="E542" t="inlineStr">
        <is>
          <t>NORRKÖPING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33138-2025</t>
        </is>
      </c>
      <c r="B543" s="1" t="n">
        <v>45832</v>
      </c>
      <c r="C543" s="1" t="n">
        <v>46194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34393-2023</t>
        </is>
      </c>
      <c r="B544" s="1" t="n">
        <v>45132</v>
      </c>
      <c r="C544" s="1" t="n">
        <v>46194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</v>
      </c>
      <c r="C545" s="1" t="n">
        <v>46194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56689-2025</t>
        </is>
      </c>
      <c r="B546" s="1" t="n">
        <v>45976</v>
      </c>
      <c r="C546" s="1" t="n">
        <v>46194</v>
      </c>
      <c r="D546" t="inlineStr">
        <is>
          <t>ÖSTERGÖTLANDS LÄN</t>
        </is>
      </c>
      <c r="E546" t="inlineStr">
        <is>
          <t>NORRKÖPING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28600-2024</t>
        </is>
      </c>
      <c r="B547" s="1" t="n">
        <v>45478</v>
      </c>
      <c r="C547" s="1" t="n">
        <v>46194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31564-2025</t>
        </is>
      </c>
      <c r="B548" s="1" t="n">
        <v>45833</v>
      </c>
      <c r="C548" s="1" t="n">
        <v>46194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26999-2026</t>
        </is>
      </c>
      <c r="B549" s="1" t="n">
        <v>46185</v>
      </c>
      <c r="C549" s="1" t="n">
        <v>46194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10989-2024</t>
        </is>
      </c>
      <c r="B550" s="1" t="n">
        <v>45370</v>
      </c>
      <c r="C550" s="1" t="n">
        <v>46194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4743-2023</t>
        </is>
      </c>
      <c r="B551" s="1" t="n">
        <v>44957</v>
      </c>
      <c r="C551" s="1" t="n">
        <v>46194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59768-2021</t>
        </is>
      </c>
      <c r="B552" s="1" t="n">
        <v>44494</v>
      </c>
      <c r="C552" s="1" t="n">
        <v>46194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21147-2026</t>
        </is>
      </c>
      <c r="B553" s="1" t="n">
        <v>46146</v>
      </c>
      <c r="C553" s="1" t="n">
        <v>46194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8220-2023</t>
        </is>
      </c>
      <c r="B554" s="1" t="n">
        <v>44974</v>
      </c>
      <c r="C554" s="1" t="n">
        <v>46194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19785-2025</t>
        </is>
      </c>
      <c r="B555" s="1" t="n">
        <v>45771</v>
      </c>
      <c r="C555" s="1" t="n">
        <v>46194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33246-2025</t>
        </is>
      </c>
      <c r="B556" s="1" t="n">
        <v>45840</v>
      </c>
      <c r="C556" s="1" t="n">
        <v>46194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21123-2026</t>
        </is>
      </c>
      <c r="B557" s="1" t="n">
        <v>46146</v>
      </c>
      <c r="C557" s="1" t="n">
        <v>46194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59221-2024</t>
        </is>
      </c>
      <c r="B558" s="1" t="n">
        <v>45637</v>
      </c>
      <c r="C558" s="1" t="n">
        <v>46194</v>
      </c>
      <c r="D558" t="inlineStr">
        <is>
          <t>ÖSTERGÖTLANDS LÄN</t>
        </is>
      </c>
      <c r="E558" t="inlineStr">
        <is>
          <t>NORRKÖPING</t>
        </is>
      </c>
      <c r="G558" t="n">
        <v>24.7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48758-2024</t>
        </is>
      </c>
      <c r="B559" s="1" t="n">
        <v>45593</v>
      </c>
      <c r="C559" s="1" t="n">
        <v>46194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33170-2023</t>
        </is>
      </c>
      <c r="B560" s="1" t="n">
        <v>45126</v>
      </c>
      <c r="C560" s="1" t="n">
        <v>46194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33171-2023</t>
        </is>
      </c>
      <c r="B561" s="1" t="n">
        <v>45126</v>
      </c>
      <c r="C561" s="1" t="n">
        <v>46194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27119-2026</t>
        </is>
      </c>
      <c r="B562" s="1" t="n">
        <v>46188</v>
      </c>
      <c r="C562" s="1" t="n">
        <v>46194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34977-2023</t>
        </is>
      </c>
      <c r="B563" s="1" t="n">
        <v>45141</v>
      </c>
      <c r="C563" s="1" t="n">
        <v>46194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58814-2025</t>
        </is>
      </c>
      <c r="B564" s="1" t="n">
        <v>45986</v>
      </c>
      <c r="C564" s="1" t="n">
        <v>46194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2955-2025</t>
        </is>
      </c>
      <c r="B565" s="1" t="n">
        <v>45678</v>
      </c>
      <c r="C565" s="1" t="n">
        <v>46194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58379-2025</t>
        </is>
      </c>
      <c r="B566" s="1" t="n">
        <v>45985</v>
      </c>
      <c r="C566" s="1" t="n">
        <v>46194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58575-2025</t>
        </is>
      </c>
      <c r="B567" s="1" t="n">
        <v>45986</v>
      </c>
      <c r="C567" s="1" t="n">
        <v>46194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58330-2025</t>
        </is>
      </c>
      <c r="B568" s="1" t="n">
        <v>45985</v>
      </c>
      <c r="C568" s="1" t="n">
        <v>46194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35148-2023</t>
        </is>
      </c>
      <c r="B569" s="1" t="n">
        <v>45145</v>
      </c>
      <c r="C569" s="1" t="n">
        <v>46194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15190-2024</t>
        </is>
      </c>
      <c r="B570" s="1" t="n">
        <v>45400</v>
      </c>
      <c r="C570" s="1" t="n">
        <v>46194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34231-2025</t>
        </is>
      </c>
      <c r="B571" s="1" t="n">
        <v>45845</v>
      </c>
      <c r="C571" s="1" t="n">
        <v>46194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15640-2024</t>
        </is>
      </c>
      <c r="B572" s="1" t="n">
        <v>45403</v>
      </c>
      <c r="C572" s="1" t="n">
        <v>46194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1146-2023</t>
        </is>
      </c>
      <c r="B573" s="1" t="n">
        <v>44935</v>
      </c>
      <c r="C573" s="1" t="n">
        <v>46194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31359-2023</t>
        </is>
      </c>
      <c r="B574" s="1" t="n">
        <v>45114</v>
      </c>
      <c r="C574" s="1" t="n">
        <v>46194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31361-2023</t>
        </is>
      </c>
      <c r="B575" s="1" t="n">
        <v>45114</v>
      </c>
      <c r="C575" s="1" t="n">
        <v>46194</v>
      </c>
      <c r="D575" t="inlineStr">
        <is>
          <t>ÖSTERGÖTLANDS LÄN</t>
        </is>
      </c>
      <c r="E575" t="inlineStr">
        <is>
          <t>NORRKÖPING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7742-2025</t>
        </is>
      </c>
      <c r="B576" s="1" t="n">
        <v>45706</v>
      </c>
      <c r="C576" s="1" t="n">
        <v>46194</v>
      </c>
      <c r="D576" t="inlineStr">
        <is>
          <t>ÖSTERGÖTLANDS LÄN</t>
        </is>
      </c>
      <c r="E576" t="inlineStr">
        <is>
          <t>NORRKÖPING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13419-2025</t>
        </is>
      </c>
      <c r="B577" s="1" t="n">
        <v>45736</v>
      </c>
      <c r="C577" s="1" t="n">
        <v>46194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26953-2026</t>
        </is>
      </c>
      <c r="B578" s="1" t="n">
        <v>46185</v>
      </c>
      <c r="C578" s="1" t="n">
        <v>46194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38441-2024</t>
        </is>
      </c>
      <c r="B579" s="1" t="n">
        <v>45546</v>
      </c>
      <c r="C579" s="1" t="n">
        <v>46194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8806-2024</t>
        </is>
      </c>
      <c r="B580" s="1" t="n">
        <v>45356</v>
      </c>
      <c r="C580" s="1" t="n">
        <v>46194</v>
      </c>
      <c r="D580" t="inlineStr">
        <is>
          <t>ÖSTERGÖTLANDS LÄN</t>
        </is>
      </c>
      <c r="E580" t="inlineStr">
        <is>
          <t>NORRKÖPING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25176-2026</t>
        </is>
      </c>
      <c r="B581" s="1" t="n">
        <v>46175</v>
      </c>
      <c r="C581" s="1" t="n">
        <v>46194</v>
      </c>
      <c r="D581" t="inlineStr">
        <is>
          <t>ÖSTERGÖTLANDS LÄN</t>
        </is>
      </c>
      <c r="E581" t="inlineStr">
        <is>
          <t>NORRKÖPING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24018-2025</t>
        </is>
      </c>
      <c r="B582" s="1" t="n">
        <v>45796</v>
      </c>
      <c r="C582" s="1" t="n">
        <v>46194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7762-2025</t>
        </is>
      </c>
      <c r="B583" s="1" t="n">
        <v>45706</v>
      </c>
      <c r="C583" s="1" t="n">
        <v>46194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26392-2023</t>
        </is>
      </c>
      <c r="B584" s="1" t="n">
        <v>45092</v>
      </c>
      <c r="C584" s="1" t="n">
        <v>46194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62049-2023</t>
        </is>
      </c>
      <c r="B585" s="1" t="n">
        <v>45266</v>
      </c>
      <c r="C585" s="1" t="n">
        <v>46194</v>
      </c>
      <c r="D585" t="inlineStr">
        <is>
          <t>ÖSTERGÖTLANDS LÄN</t>
        </is>
      </c>
      <c r="E585" t="inlineStr">
        <is>
          <t>NORRKÖPING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45309-2023</t>
        </is>
      </c>
      <c r="B586" s="1" t="n">
        <v>45191</v>
      </c>
      <c r="C586" s="1" t="n">
        <v>46194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16949-2023</t>
        </is>
      </c>
      <c r="B587" s="1" t="n">
        <v>45033</v>
      </c>
      <c r="C587" s="1" t="n">
        <v>46194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70378-2021</t>
        </is>
      </c>
      <c r="B588" s="1" t="n">
        <v>44536</v>
      </c>
      <c r="C588" s="1" t="n">
        <v>46194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5868-2022</t>
        </is>
      </c>
      <c r="B589" s="1" t="n">
        <v>44596</v>
      </c>
      <c r="C589" s="1" t="n">
        <v>46194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1506-2022</t>
        </is>
      </c>
      <c r="B590" s="1" t="n">
        <v>44573</v>
      </c>
      <c r="C590" s="1" t="n">
        <v>46194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11136-2025</t>
        </is>
      </c>
      <c r="B591" s="1" t="n">
        <v>45723</v>
      </c>
      <c r="C591" s="1" t="n">
        <v>46194</v>
      </c>
      <c r="D591" t="inlineStr">
        <is>
          <t>ÖSTERGÖTLANDS LÄN</t>
        </is>
      </c>
      <c r="E591" t="inlineStr">
        <is>
          <t>NORRKÖPING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62118-2025</t>
        </is>
      </c>
      <c r="B592" s="1" t="n">
        <v>46006</v>
      </c>
      <c r="C592" s="1" t="n">
        <v>46194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39232-2024</t>
        </is>
      </c>
      <c r="B593" s="1" t="n">
        <v>45550</v>
      </c>
      <c r="C593" s="1" t="n">
        <v>46194</v>
      </c>
      <c r="D593" t="inlineStr">
        <is>
          <t>ÖSTERGÖTLANDS LÄN</t>
        </is>
      </c>
      <c r="E593" t="inlineStr">
        <is>
          <t>NORRKÖPING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62107-2025</t>
        </is>
      </c>
      <c r="B594" s="1" t="n">
        <v>46006</v>
      </c>
      <c r="C594" s="1" t="n">
        <v>46194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</v>
      </c>
      <c r="C595" s="1" t="n">
        <v>46194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62108-2025</t>
        </is>
      </c>
      <c r="B596" s="1" t="n">
        <v>46006</v>
      </c>
      <c r="C596" s="1" t="n">
        <v>46194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62370-2025</t>
        </is>
      </c>
      <c r="B597" s="1" t="n">
        <v>46007</v>
      </c>
      <c r="C597" s="1" t="n">
        <v>46194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62473-2025</t>
        </is>
      </c>
      <c r="B598" s="1" t="n">
        <v>46007</v>
      </c>
      <c r="C598" s="1" t="n">
        <v>46194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11767-2025</t>
        </is>
      </c>
      <c r="B599" s="1" t="n">
        <v>45727</v>
      </c>
      <c r="C599" s="1" t="n">
        <v>46194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37700-2023</t>
        </is>
      </c>
      <c r="B600" s="1" t="n">
        <v>45159</v>
      </c>
      <c r="C600" s="1" t="n">
        <v>46194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19702-2024</t>
        </is>
      </c>
      <c r="B601" s="1" t="n">
        <v>45432</v>
      </c>
      <c r="C601" s="1" t="n">
        <v>46194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63229-2025</t>
        </is>
      </c>
      <c r="B602" s="1" t="n">
        <v>46010</v>
      </c>
      <c r="C602" s="1" t="n">
        <v>46194</v>
      </c>
      <c r="D602" t="inlineStr">
        <is>
          <t>ÖSTERGÖTLANDS LÄN</t>
        </is>
      </c>
      <c r="E602" t="inlineStr">
        <is>
          <t>NORRKÖPING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23946-2025</t>
        </is>
      </c>
      <c r="B603" s="1" t="n">
        <v>45796</v>
      </c>
      <c r="C603" s="1" t="n">
        <v>46194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63165-2025</t>
        </is>
      </c>
      <c r="B604" s="1" t="n">
        <v>46010</v>
      </c>
      <c r="C604" s="1" t="n">
        <v>46194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63168-2025</t>
        </is>
      </c>
      <c r="B605" s="1" t="n">
        <v>46010</v>
      </c>
      <c r="C605" s="1" t="n">
        <v>46194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18705-2023</t>
        </is>
      </c>
      <c r="B606" s="1" t="n">
        <v>45043</v>
      </c>
      <c r="C606" s="1" t="n">
        <v>46194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63241-2025</t>
        </is>
      </c>
      <c r="B607" s="1" t="n">
        <v>46010</v>
      </c>
      <c r="C607" s="1" t="n">
        <v>46194</v>
      </c>
      <c r="D607" t="inlineStr">
        <is>
          <t>ÖSTERGÖTLANDS LÄN</t>
        </is>
      </c>
      <c r="E607" t="inlineStr">
        <is>
          <t>NORRKÖPING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63715-2025</t>
        </is>
      </c>
      <c r="B608" s="1" t="n">
        <v>46014</v>
      </c>
      <c r="C608" s="1" t="n">
        <v>46194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63720-2025</t>
        </is>
      </c>
      <c r="B609" s="1" t="n">
        <v>46014</v>
      </c>
      <c r="C609" s="1" t="n">
        <v>46194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37876-2025</t>
        </is>
      </c>
      <c r="B610" s="1" t="n">
        <v>45881</v>
      </c>
      <c r="C610" s="1" t="n">
        <v>46194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12727-2022</t>
        </is>
      </c>
      <c r="B611" s="1" t="n">
        <v>44641</v>
      </c>
      <c r="C611" s="1" t="n">
        <v>46194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43344-2023</t>
        </is>
      </c>
      <c r="B612" s="1" t="n">
        <v>45183</v>
      </c>
      <c r="C612" s="1" t="n">
        <v>46194</v>
      </c>
      <c r="D612" t="inlineStr">
        <is>
          <t>ÖSTERGÖTLANDS LÄN</t>
        </is>
      </c>
      <c r="E612" t="inlineStr">
        <is>
          <t>NORRKÖPING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43346-2023</t>
        </is>
      </c>
      <c r="B613" s="1" t="n">
        <v>45183</v>
      </c>
      <c r="C613" s="1" t="n">
        <v>46194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2287-2025</t>
        </is>
      </c>
      <c r="B614" s="1" t="n">
        <v>45673</v>
      </c>
      <c r="C614" s="1" t="n">
        <v>46194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19844-2023</t>
        </is>
      </c>
      <c r="B615" s="1" t="n">
        <v>45053</v>
      </c>
      <c r="C615" s="1" t="n">
        <v>46194</v>
      </c>
      <c r="D615" t="inlineStr">
        <is>
          <t>ÖSTERGÖTLANDS LÄN</t>
        </is>
      </c>
      <c r="E615" t="inlineStr">
        <is>
          <t>NORRKÖPING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50678-2023</t>
        </is>
      </c>
      <c r="B616" s="1" t="n">
        <v>45217</v>
      </c>
      <c r="C616" s="1" t="n">
        <v>46194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58901-2024</t>
        </is>
      </c>
      <c r="B617" s="1" t="n">
        <v>45636</v>
      </c>
      <c r="C617" s="1" t="n">
        <v>46194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2540-2024</t>
        </is>
      </c>
      <c r="B618" s="1" t="n">
        <v>45313</v>
      </c>
      <c r="C618" s="1" t="n">
        <v>46194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32648-2023</t>
        </is>
      </c>
      <c r="B619" s="1" t="n">
        <v>45121</v>
      </c>
      <c r="C619" s="1" t="n">
        <v>46194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63944-2025</t>
        </is>
      </c>
      <c r="B620" s="1" t="n">
        <v>46010</v>
      </c>
      <c r="C620" s="1" t="n">
        <v>46194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48091-2023</t>
        </is>
      </c>
      <c r="B621" s="1" t="n">
        <v>45205</v>
      </c>
      <c r="C621" s="1" t="n">
        <v>46194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48122-2023</t>
        </is>
      </c>
      <c r="B622" s="1" t="n">
        <v>45205</v>
      </c>
      <c r="C622" s="1" t="n">
        <v>46194</v>
      </c>
      <c r="D622" t="inlineStr">
        <is>
          <t>ÖSTERGÖTLANDS LÄN</t>
        </is>
      </c>
      <c r="E622" t="inlineStr">
        <is>
          <t>NORRKÖPING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1004-2026</t>
        </is>
      </c>
      <c r="B623" s="1" t="n">
        <v>46030</v>
      </c>
      <c r="C623" s="1" t="n">
        <v>46194</v>
      </c>
      <c r="D623" t="inlineStr">
        <is>
          <t>ÖSTERGÖTLANDS LÄN</t>
        </is>
      </c>
      <c r="E623" t="inlineStr">
        <is>
          <t>NORRKÖPING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1061-2026</t>
        </is>
      </c>
      <c r="B624" s="1" t="n">
        <v>46030</v>
      </c>
      <c r="C624" s="1" t="n">
        <v>46194</v>
      </c>
      <c r="D624" t="inlineStr">
        <is>
          <t>ÖSTERGÖTLANDS LÄN</t>
        </is>
      </c>
      <c r="E624" t="inlineStr">
        <is>
          <t>NORRKÖPING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17503-2022</t>
        </is>
      </c>
      <c r="B625" s="1" t="n">
        <v>44679</v>
      </c>
      <c r="C625" s="1" t="n">
        <v>46194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18128-2025</t>
        </is>
      </c>
      <c r="B626" s="1" t="n">
        <v>45761</v>
      </c>
      <c r="C626" s="1" t="n">
        <v>46194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11344-2022</t>
        </is>
      </c>
      <c r="B627" s="1" t="n">
        <v>44630</v>
      </c>
      <c r="C627" s="1" t="n">
        <v>46194</v>
      </c>
      <c r="D627" t="inlineStr">
        <is>
          <t>ÖSTERGÖTLANDS LÄN</t>
        </is>
      </c>
      <c r="E627" t="inlineStr">
        <is>
          <t>NORRKÖPING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49462-2023</t>
        </is>
      </c>
      <c r="B628" s="1" t="n">
        <v>45211</v>
      </c>
      <c r="C628" s="1" t="n">
        <v>46194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2061-2026</t>
        </is>
      </c>
      <c r="B629" s="1" t="n">
        <v>46035</v>
      </c>
      <c r="C629" s="1" t="n">
        <v>46194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14138-2022</t>
        </is>
      </c>
      <c r="B630" s="1" t="n">
        <v>44651</v>
      </c>
      <c r="C630" s="1" t="n">
        <v>46194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2934-2026</t>
        </is>
      </c>
      <c r="B631" s="1" t="n">
        <v>46038</v>
      </c>
      <c r="C631" s="1" t="n">
        <v>46194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22319-2024</t>
        </is>
      </c>
      <c r="B632" s="1" t="n">
        <v>45446</v>
      </c>
      <c r="C632" s="1" t="n">
        <v>46194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22322-2024</t>
        </is>
      </c>
      <c r="B633" s="1" t="n">
        <v>45446</v>
      </c>
      <c r="C633" s="1" t="n">
        <v>46194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</v>
      </c>
      <c r="C634" s="1" t="n">
        <v>46194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61002-2023</t>
        </is>
      </c>
      <c r="B635" s="1" t="n">
        <v>45261</v>
      </c>
      <c r="C635" s="1" t="n">
        <v>46194</v>
      </c>
      <c r="D635" t="inlineStr">
        <is>
          <t>ÖSTERGÖTLANDS LÄN</t>
        </is>
      </c>
      <c r="E635" t="inlineStr">
        <is>
          <t>NORRKÖPING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</v>
      </c>
      <c r="C636" s="1" t="n">
        <v>46194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</v>
      </c>
      <c r="C637" s="1" t="n">
        <v>46194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</v>
      </c>
      <c r="C638" s="1" t="n">
        <v>46194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</v>
      </c>
      <c r="C639" s="1" t="n">
        <v>46194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3511-2026</t>
        </is>
      </c>
      <c r="B640" s="1" t="n">
        <v>46042</v>
      </c>
      <c r="C640" s="1" t="n">
        <v>46194</v>
      </c>
      <c r="D640" t="inlineStr">
        <is>
          <t>ÖSTERGÖTLANDS LÄN</t>
        </is>
      </c>
      <c r="E640" t="inlineStr">
        <is>
          <t>NORRKÖPING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59544-2023</t>
        </is>
      </c>
      <c r="B641" s="1" t="n">
        <v>45254</v>
      </c>
      <c r="C641" s="1" t="n">
        <v>46194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50092-2023</t>
        </is>
      </c>
      <c r="B642" s="1" t="n">
        <v>45215</v>
      </c>
      <c r="C642" s="1" t="n">
        <v>46194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3186-2026</t>
        </is>
      </c>
      <c r="B643" s="1" t="n">
        <v>46041</v>
      </c>
      <c r="C643" s="1" t="n">
        <v>46194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44197-2023</t>
        </is>
      </c>
      <c r="B644" s="1" t="n">
        <v>45188</v>
      </c>
      <c r="C644" s="1" t="n">
        <v>46194</v>
      </c>
      <c r="D644" t="inlineStr">
        <is>
          <t>ÖSTERGÖTLANDS LÄN</t>
        </is>
      </c>
      <c r="E644" t="inlineStr">
        <is>
          <t>NORRKÖPING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3866-2026</t>
        </is>
      </c>
      <c r="B645" s="1" t="n">
        <v>46043</v>
      </c>
      <c r="C645" s="1" t="n">
        <v>46194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3867-2026</t>
        </is>
      </c>
      <c r="B646" s="1" t="n">
        <v>46043</v>
      </c>
      <c r="C646" s="1" t="n">
        <v>46194</v>
      </c>
      <c r="D646" t="inlineStr">
        <is>
          <t>ÖSTERGÖTLANDS LÄN</t>
        </is>
      </c>
      <c r="E646" t="inlineStr">
        <is>
          <t>NORRKÖPING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9542-2025</t>
        </is>
      </c>
      <c r="B647" s="1" t="n">
        <v>45715</v>
      </c>
      <c r="C647" s="1" t="n">
        <v>46194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</v>
      </c>
      <c r="C648" s="1" t="n">
        <v>46194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11140-2025</t>
        </is>
      </c>
      <c r="B649" s="1" t="n">
        <v>45723</v>
      </c>
      <c r="C649" s="1" t="n">
        <v>46194</v>
      </c>
      <c r="D649" t="inlineStr">
        <is>
          <t>ÖSTERGÖTLANDS LÄN</t>
        </is>
      </c>
      <c r="E649" t="inlineStr">
        <is>
          <t>NORRKÖPING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6568-2025</t>
        </is>
      </c>
      <c r="B650" s="1" t="n">
        <v>45699</v>
      </c>
      <c r="C650" s="1" t="n">
        <v>46194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4521-2026</t>
        </is>
      </c>
      <c r="B651" s="1" t="n">
        <v>46046</v>
      </c>
      <c r="C651" s="1" t="n">
        <v>46194</v>
      </c>
      <c r="D651" t="inlineStr">
        <is>
          <t>ÖSTERGÖTLANDS LÄN</t>
        </is>
      </c>
      <c r="E651" t="inlineStr">
        <is>
          <t>NORRKÖPING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5176-2026</t>
        </is>
      </c>
      <c r="B652" s="1" t="n">
        <v>46048</v>
      </c>
      <c r="C652" s="1" t="n">
        <v>46194</v>
      </c>
      <c r="D652" t="inlineStr">
        <is>
          <t>ÖSTERGÖTLANDS LÄN</t>
        </is>
      </c>
      <c r="E652" t="inlineStr">
        <is>
          <t>NORRKÖPING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5466-2026</t>
        </is>
      </c>
      <c r="B653" s="1" t="n">
        <v>46048</v>
      </c>
      <c r="C653" s="1" t="n">
        <v>46194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47846-2023</t>
        </is>
      </c>
      <c r="B654" s="1" t="n">
        <v>45204</v>
      </c>
      <c r="C654" s="1" t="n">
        <v>46194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Naturvårdsverket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4522-2026</t>
        </is>
      </c>
      <c r="B655" s="1" t="n">
        <v>46046</v>
      </c>
      <c r="C655" s="1" t="n">
        <v>46194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26294-2024</t>
        </is>
      </c>
      <c r="B656" s="1" t="n">
        <v>45468</v>
      </c>
      <c r="C656" s="1" t="n">
        <v>46194</v>
      </c>
      <c r="D656" t="inlineStr">
        <is>
          <t>ÖSTERGÖTLANDS LÄN</t>
        </is>
      </c>
      <c r="E656" t="inlineStr">
        <is>
          <t>NORRKÖPING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</v>
      </c>
      <c r="C657" s="1" t="n">
        <v>46194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15459-2024</t>
        </is>
      </c>
      <c r="B658" s="1" t="n">
        <v>45401</v>
      </c>
      <c r="C658" s="1" t="n">
        <v>46194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63417-2023</t>
        </is>
      </c>
      <c r="B659" s="1" t="n">
        <v>45274</v>
      </c>
      <c r="C659" s="1" t="n">
        <v>46194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6075-2026</t>
        </is>
      </c>
      <c r="B660" s="1" t="n">
        <v>46052</v>
      </c>
      <c r="C660" s="1" t="n">
        <v>46194</v>
      </c>
      <c r="D660" t="inlineStr">
        <is>
          <t>ÖSTERGÖTLANDS LÄN</t>
        </is>
      </c>
      <c r="E660" t="inlineStr">
        <is>
          <t>NORRKÖPING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6011-2026</t>
        </is>
      </c>
      <c r="B661" s="1" t="n">
        <v>46052</v>
      </c>
      <c r="C661" s="1" t="n">
        <v>46194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46194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6013-2026</t>
        </is>
      </c>
      <c r="B663" s="1" t="n">
        <v>46052</v>
      </c>
      <c r="C663" s="1" t="n">
        <v>46194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6018-2026</t>
        </is>
      </c>
      <c r="B664" s="1" t="n">
        <v>46052</v>
      </c>
      <c r="C664" s="1" t="n">
        <v>46194</v>
      </c>
      <c r="D664" t="inlineStr">
        <is>
          <t>ÖSTERGÖTLANDS LÄN</t>
        </is>
      </c>
      <c r="E664" t="inlineStr">
        <is>
          <t>NORRKÖPING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45075-2023</t>
        </is>
      </c>
      <c r="B665" s="1" t="n">
        <v>45191</v>
      </c>
      <c r="C665" s="1" t="n">
        <v>46194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6347-2026</t>
        </is>
      </c>
      <c r="B666" s="1" t="n">
        <v>46055</v>
      </c>
      <c r="C666" s="1" t="n">
        <v>46194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17821-2025</t>
        </is>
      </c>
      <c r="B667" s="1" t="n">
        <v>45758</v>
      </c>
      <c r="C667" s="1" t="n">
        <v>46194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59964-2023</t>
        </is>
      </c>
      <c r="B668" s="1" t="n">
        <v>45254</v>
      </c>
      <c r="C668" s="1" t="n">
        <v>46194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57492-2023</t>
        </is>
      </c>
      <c r="B669" s="1" t="n">
        <v>45246</v>
      </c>
      <c r="C669" s="1" t="n">
        <v>46194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57496-2023</t>
        </is>
      </c>
      <c r="B670" s="1" t="n">
        <v>45246</v>
      </c>
      <c r="C670" s="1" t="n">
        <v>46194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49882-2021</t>
        </is>
      </c>
      <c r="B671" s="1" t="n">
        <v>44455</v>
      </c>
      <c r="C671" s="1" t="n">
        <v>46194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4460-2023</t>
        </is>
      </c>
      <c r="B672" s="1" t="n">
        <v>44956</v>
      </c>
      <c r="C672" s="1" t="n">
        <v>46194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10003-2025</t>
        </is>
      </c>
      <c r="B673" s="1" t="n">
        <v>45719</v>
      </c>
      <c r="C673" s="1" t="n">
        <v>46194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4546-2023</t>
        </is>
      </c>
      <c r="B674" s="1" t="n">
        <v>44956</v>
      </c>
      <c r="C674" s="1" t="n">
        <v>46194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59077-2023</t>
        </is>
      </c>
      <c r="B675" s="1" t="n">
        <v>45252</v>
      </c>
      <c r="C675" s="1" t="n">
        <v>46194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62875-2023</t>
        </is>
      </c>
      <c r="B676" s="1" t="n">
        <v>45272</v>
      </c>
      <c r="C676" s="1" t="n">
        <v>46194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15082-2024</t>
        </is>
      </c>
      <c r="B677" s="1" t="n">
        <v>45399</v>
      </c>
      <c r="C677" s="1" t="n">
        <v>46194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3263-2024</t>
        </is>
      </c>
      <c r="B678" s="1" t="n">
        <v>45317</v>
      </c>
      <c r="C678" s="1" t="n">
        <v>46194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7853-2026</t>
        </is>
      </c>
      <c r="B679" s="1" t="n">
        <v>46061</v>
      </c>
      <c r="C679" s="1" t="n">
        <v>46194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49778-2022</t>
        </is>
      </c>
      <c r="B680" s="1" t="n">
        <v>44862</v>
      </c>
      <c r="C680" s="1" t="n">
        <v>46194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9696-2025</t>
        </is>
      </c>
      <c r="B681" s="1" t="n">
        <v>45716</v>
      </c>
      <c r="C681" s="1" t="n">
        <v>46194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62033-2023</t>
        </is>
      </c>
      <c r="B682" s="1" t="n">
        <v>45266</v>
      </c>
      <c r="C682" s="1" t="n">
        <v>46194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48786-2022</t>
        </is>
      </c>
      <c r="B683" s="1" t="n">
        <v>44859</v>
      </c>
      <c r="C683" s="1" t="n">
        <v>46194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53899-2021</t>
        </is>
      </c>
      <c r="B684" s="1" t="n">
        <v>44469</v>
      </c>
      <c r="C684" s="1" t="n">
        <v>46194</v>
      </c>
      <c r="D684" t="inlineStr">
        <is>
          <t>ÖSTERGÖTLANDS LÄN</t>
        </is>
      </c>
      <c r="E684" t="inlineStr">
        <is>
          <t>NORRKÖPING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5118-2024</t>
        </is>
      </c>
      <c r="B685" s="1" t="n">
        <v>45330</v>
      </c>
      <c r="C685" s="1" t="n">
        <v>46194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62061-2023</t>
        </is>
      </c>
      <c r="B686" s="1" t="n">
        <v>45266</v>
      </c>
      <c r="C686" s="1" t="n">
        <v>46194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46738-2022</t>
        </is>
      </c>
      <c r="B687" s="1" t="n">
        <v>44851</v>
      </c>
      <c r="C687" s="1" t="n">
        <v>46194</v>
      </c>
      <c r="D687" t="inlineStr">
        <is>
          <t>ÖSTERGÖTLANDS LÄN</t>
        </is>
      </c>
      <c r="E687" t="inlineStr">
        <is>
          <t>NORRKÖPING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31844-2023</t>
        </is>
      </c>
      <c r="B688" s="1" t="n">
        <v>45106</v>
      </c>
      <c r="C688" s="1" t="n">
        <v>46194</v>
      </c>
      <c r="D688" t="inlineStr">
        <is>
          <t>ÖSTERGÖTLANDS LÄN</t>
        </is>
      </c>
      <c r="E688" t="inlineStr">
        <is>
          <t>NORRKÖPING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18537-2025</t>
        </is>
      </c>
      <c r="B689" s="1" t="n">
        <v>45763</v>
      </c>
      <c r="C689" s="1" t="n">
        <v>46194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18686-2023</t>
        </is>
      </c>
      <c r="B690" s="1" t="n">
        <v>45043</v>
      </c>
      <c r="C690" s="1" t="n">
        <v>46194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9781-2026</t>
        </is>
      </c>
      <c r="B691" s="1" t="n">
        <v>46072</v>
      </c>
      <c r="C691" s="1" t="n">
        <v>46194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Kyrkan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9787-2026</t>
        </is>
      </c>
      <c r="B692" s="1" t="n">
        <v>46072</v>
      </c>
      <c r="C692" s="1" t="n">
        <v>46194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Kyrkan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35293-2021</t>
        </is>
      </c>
      <c r="B693" s="1" t="n">
        <v>44384</v>
      </c>
      <c r="C693" s="1" t="n">
        <v>46194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Kyrkan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30834-2022</t>
        </is>
      </c>
      <c r="B694" s="1" t="n">
        <v>44767</v>
      </c>
      <c r="C694" s="1" t="n">
        <v>46194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10261-2026</t>
        </is>
      </c>
      <c r="B695" s="1" t="n">
        <v>46076</v>
      </c>
      <c r="C695" s="1" t="n">
        <v>46194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10375-2026</t>
        </is>
      </c>
      <c r="B696" s="1" t="n">
        <v>46076</v>
      </c>
      <c r="C696" s="1" t="n">
        <v>46194</v>
      </c>
      <c r="D696" t="inlineStr">
        <is>
          <t>ÖSTERGÖTLANDS LÄN</t>
        </is>
      </c>
      <c r="E696" t="inlineStr">
        <is>
          <t>NORRKÖPING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62529-2023</t>
        </is>
      </c>
      <c r="B697" s="1" t="n">
        <v>45268</v>
      </c>
      <c r="C697" s="1" t="n">
        <v>46194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6067-2022</t>
        </is>
      </c>
      <c r="B698" s="1" t="n">
        <v>44599</v>
      </c>
      <c r="C698" s="1" t="n">
        <v>46194</v>
      </c>
      <c r="D698" t="inlineStr">
        <is>
          <t>ÖSTERGÖTLANDS LÄN</t>
        </is>
      </c>
      <c r="E698" t="inlineStr">
        <is>
          <t>NORRKÖPING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10266-2026</t>
        </is>
      </c>
      <c r="B699" s="1" t="n">
        <v>46076</v>
      </c>
      <c r="C699" s="1" t="n">
        <v>46194</v>
      </c>
      <c r="D699" t="inlineStr">
        <is>
          <t>ÖSTERGÖTLANDS LÄN</t>
        </is>
      </c>
      <c r="E699" t="inlineStr">
        <is>
          <t>NORRKÖPING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10377-2026</t>
        </is>
      </c>
      <c r="B700" s="1" t="n">
        <v>46076</v>
      </c>
      <c r="C700" s="1" t="n">
        <v>46194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5976-2022</t>
        </is>
      </c>
      <c r="B701" s="1" t="n">
        <v>44597</v>
      </c>
      <c r="C701" s="1" t="n">
        <v>46194</v>
      </c>
      <c r="D701" t="inlineStr">
        <is>
          <t>ÖSTERGÖTLANDS LÄN</t>
        </is>
      </c>
      <c r="E701" t="inlineStr">
        <is>
          <t>NORRKÖPING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3035-2025</t>
        </is>
      </c>
      <c r="B702" s="1" t="n">
        <v>45678</v>
      </c>
      <c r="C702" s="1" t="n">
        <v>46194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29622-2022</t>
        </is>
      </c>
      <c r="B703" s="1" t="n">
        <v>44754</v>
      </c>
      <c r="C703" s="1" t="n">
        <v>46194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26583-2022</t>
        </is>
      </c>
      <c r="B704" s="1" t="n">
        <v>44739</v>
      </c>
      <c r="C704" s="1" t="n">
        <v>46194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11126-2026</t>
        </is>
      </c>
      <c r="B705" s="1" t="n">
        <v>46079</v>
      </c>
      <c r="C705" s="1" t="n">
        <v>46194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46194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46194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11031-2026</t>
        </is>
      </c>
      <c r="B708" s="1" t="n">
        <v>46079</v>
      </c>
      <c r="C708" s="1" t="n">
        <v>46194</v>
      </c>
      <c r="D708" t="inlineStr">
        <is>
          <t>ÖSTERGÖTLANDS LÄN</t>
        </is>
      </c>
      <c r="E708" t="inlineStr">
        <is>
          <t>NORRKÖPING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50119-2023</t>
        </is>
      </c>
      <c r="B709" s="1" t="n">
        <v>45215</v>
      </c>
      <c r="C709" s="1" t="n">
        <v>46194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31834-2023</t>
        </is>
      </c>
      <c r="B710" s="1" t="n">
        <v>45106</v>
      </c>
      <c r="C710" s="1" t="n">
        <v>46194</v>
      </c>
      <c r="D710" t="inlineStr">
        <is>
          <t>ÖSTERGÖTLANDS LÄN</t>
        </is>
      </c>
      <c r="E710" t="inlineStr">
        <is>
          <t>NORRKÖPING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59859-2024</t>
        </is>
      </c>
      <c r="B711" s="1" t="n">
        <v>45638</v>
      </c>
      <c r="C711" s="1" t="n">
        <v>46194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19853-2023</t>
        </is>
      </c>
      <c r="B712" s="1" t="n">
        <v>45053</v>
      </c>
      <c r="C712" s="1" t="n">
        <v>46194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11693-2026</t>
        </is>
      </c>
      <c r="B713" s="1" t="n">
        <v>46084</v>
      </c>
      <c r="C713" s="1" t="n">
        <v>46194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18636-2023</t>
        </is>
      </c>
      <c r="B714" s="1" t="n">
        <v>45043</v>
      </c>
      <c r="C714" s="1" t="n">
        <v>46194</v>
      </c>
      <c r="D714" t="inlineStr">
        <is>
          <t>ÖSTERGÖTLANDS LÄN</t>
        </is>
      </c>
      <c r="E714" t="inlineStr">
        <is>
          <t>NORRKÖPING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12814-2025</t>
        </is>
      </c>
      <c r="B715" s="1" t="n">
        <v>45733</v>
      </c>
      <c r="C715" s="1" t="n">
        <v>46194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12279-2026</t>
        </is>
      </c>
      <c r="B716" s="1" t="n">
        <v>46087</v>
      </c>
      <c r="C716" s="1" t="n">
        <v>46194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9806-2026</t>
        </is>
      </c>
      <c r="B717" s="1" t="n">
        <v>46072</v>
      </c>
      <c r="C717" s="1" t="n">
        <v>46194</v>
      </c>
      <c r="D717" t="inlineStr">
        <is>
          <t>ÖSTERGÖTLANDS LÄN</t>
        </is>
      </c>
      <c r="E717" t="inlineStr">
        <is>
          <t>NORRKÖPING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9806-2026</t>
        </is>
      </c>
      <c r="B718" s="1" t="n">
        <v>46072</v>
      </c>
      <c r="C718" s="1" t="n">
        <v>46194</v>
      </c>
      <c r="D718" t="inlineStr">
        <is>
          <t>ÖSTERGÖTLANDS LÄN</t>
        </is>
      </c>
      <c r="E718" t="inlineStr">
        <is>
          <t>NORRKÖPING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12584-2026</t>
        </is>
      </c>
      <c r="B719" s="1" t="n">
        <v>46090</v>
      </c>
      <c r="C719" s="1" t="n">
        <v>46194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50960-2022</t>
        </is>
      </c>
      <c r="B720" s="1" t="n">
        <v>44867</v>
      </c>
      <c r="C720" s="1" t="n">
        <v>46194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13012-2026</t>
        </is>
      </c>
      <c r="B721" s="1" t="n">
        <v>46092</v>
      </c>
      <c r="C721" s="1" t="n">
        <v>46194</v>
      </c>
      <c r="D721" t="inlineStr">
        <is>
          <t>ÖSTERGÖTLANDS LÄN</t>
        </is>
      </c>
      <c r="E721" t="inlineStr">
        <is>
          <t>NORRKÖPING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13009-2026</t>
        </is>
      </c>
      <c r="B722" s="1" t="n">
        <v>46092</v>
      </c>
      <c r="C722" s="1" t="n">
        <v>46194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18661-2023</t>
        </is>
      </c>
      <c r="B723" s="1" t="n">
        <v>45043</v>
      </c>
      <c r="C723" s="1" t="n">
        <v>46194</v>
      </c>
      <c r="D723" t="inlineStr">
        <is>
          <t>ÖSTERGÖTLANDS LÄN</t>
        </is>
      </c>
      <c r="E723" t="inlineStr">
        <is>
          <t>NORRKÖPING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13091-2026</t>
        </is>
      </c>
      <c r="B724" s="1" t="n">
        <v>46093</v>
      </c>
      <c r="C724" s="1" t="n">
        <v>46194</v>
      </c>
      <c r="D724" t="inlineStr">
        <is>
          <t>ÖSTERGÖTLANDS LÄN</t>
        </is>
      </c>
      <c r="E724" t="inlineStr">
        <is>
          <t>NORRKÖPING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49487-2022</t>
        </is>
      </c>
      <c r="B725" s="1" t="n">
        <v>44861</v>
      </c>
      <c r="C725" s="1" t="n">
        <v>46194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13239-2026</t>
        </is>
      </c>
      <c r="B726" s="1" t="n">
        <v>46093</v>
      </c>
      <c r="C726" s="1" t="n">
        <v>46194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13228-2026</t>
        </is>
      </c>
      <c r="B727" s="1" t="n">
        <v>46093</v>
      </c>
      <c r="C727" s="1" t="n">
        <v>46194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13918-2023</t>
        </is>
      </c>
      <c r="B728" s="1" t="n">
        <v>45008</v>
      </c>
      <c r="C728" s="1" t="n">
        <v>46194</v>
      </c>
      <c r="D728" t="inlineStr">
        <is>
          <t>ÖSTERGÖTLANDS LÄN</t>
        </is>
      </c>
      <c r="E728" t="inlineStr">
        <is>
          <t>NORRKÖPING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13253-2026</t>
        </is>
      </c>
      <c r="B729" s="1" t="n">
        <v>46093</v>
      </c>
      <c r="C729" s="1" t="n">
        <v>46194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1277-2023</t>
        </is>
      </c>
      <c r="B730" s="1" t="n">
        <v>44936</v>
      </c>
      <c r="C730" s="1" t="n">
        <v>46194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1281-2023</t>
        </is>
      </c>
      <c r="B731" s="1" t="n">
        <v>44936</v>
      </c>
      <c r="C731" s="1" t="n">
        <v>46194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16700-2023</t>
        </is>
      </c>
      <c r="B732" s="1" t="n">
        <v>45030</v>
      </c>
      <c r="C732" s="1" t="n">
        <v>46194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13342-2026</t>
        </is>
      </c>
      <c r="B733" s="1" t="n">
        <v>46094</v>
      </c>
      <c r="C733" s="1" t="n">
        <v>46194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13330-2026</t>
        </is>
      </c>
      <c r="B734" s="1" t="n">
        <v>46094</v>
      </c>
      <c r="C734" s="1" t="n">
        <v>46194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13388-2026</t>
        </is>
      </c>
      <c r="B735" s="1" t="n">
        <v>46094</v>
      </c>
      <c r="C735" s="1" t="n">
        <v>46194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41367-2023</t>
        </is>
      </c>
      <c r="B736" s="1" t="n">
        <v>45174</v>
      </c>
      <c r="C736" s="1" t="n">
        <v>46194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41375-2023</t>
        </is>
      </c>
      <c r="B737" s="1" t="n">
        <v>45174</v>
      </c>
      <c r="C737" s="1" t="n">
        <v>46194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11261-2023</t>
        </is>
      </c>
      <c r="B738" s="1" t="n">
        <v>44992</v>
      </c>
      <c r="C738" s="1" t="n">
        <v>46194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14674-2026</t>
        </is>
      </c>
      <c r="B739" s="1" t="n">
        <v>46101</v>
      </c>
      <c r="C739" s="1" t="n">
        <v>46194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14645-2026</t>
        </is>
      </c>
      <c r="B740" s="1" t="n">
        <v>46101</v>
      </c>
      <c r="C740" s="1" t="n">
        <v>46194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15722-2026</t>
        </is>
      </c>
      <c r="B741" s="1" t="n">
        <v>46107</v>
      </c>
      <c r="C741" s="1" t="n">
        <v>46194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24634-2025</t>
        </is>
      </c>
      <c r="B742" s="1" t="n">
        <v>45798</v>
      </c>
      <c r="C742" s="1" t="n">
        <v>46194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15531-2026</t>
        </is>
      </c>
      <c r="B743" s="1" t="n">
        <v>46106</v>
      </c>
      <c r="C743" s="1" t="n">
        <v>46194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16083-2026</t>
        </is>
      </c>
      <c r="B744" s="1" t="n">
        <v>46108</v>
      </c>
      <c r="C744" s="1" t="n">
        <v>46194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16682-2026</t>
        </is>
      </c>
      <c r="B745" s="1" t="n">
        <v>46112</v>
      </c>
      <c r="C745" s="1" t="n">
        <v>46194</v>
      </c>
      <c r="D745" t="inlineStr">
        <is>
          <t>ÖSTERGÖTLANDS LÄN</t>
        </is>
      </c>
      <c r="E745" t="inlineStr">
        <is>
          <t>NORRKÖPING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22479-2026</t>
        </is>
      </c>
      <c r="B746" s="1" t="n">
        <v>46155</v>
      </c>
      <c r="C746" s="1" t="n">
        <v>46194</v>
      </c>
      <c r="D746" t="inlineStr">
        <is>
          <t>ÖSTERGÖTLANDS LÄN</t>
        </is>
      </c>
      <c r="E746" t="inlineStr">
        <is>
          <t>NORRKÖPING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6040-2026</t>
        </is>
      </c>
      <c r="B747" s="1" t="n">
        <v>46050</v>
      </c>
      <c r="C747" s="1" t="n">
        <v>46194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23625-2026</t>
        </is>
      </c>
      <c r="B748" s="1" t="n">
        <v>46163</v>
      </c>
      <c r="C748" s="1" t="n">
        <v>46194</v>
      </c>
      <c r="D748" t="inlineStr">
        <is>
          <t>ÖSTERGÖTLANDS LÄN</t>
        </is>
      </c>
      <c r="E748" t="inlineStr">
        <is>
          <t>NORRKÖPING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17452-2026</t>
        </is>
      </c>
      <c r="B749" s="1" t="n">
        <v>46120</v>
      </c>
      <c r="C749" s="1" t="n">
        <v>46194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17506-2026</t>
        </is>
      </c>
      <c r="B750" s="1" t="n">
        <v>46120</v>
      </c>
      <c r="C750" s="1" t="n">
        <v>46194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23627-2026</t>
        </is>
      </c>
      <c r="B751" s="1" t="n">
        <v>46163</v>
      </c>
      <c r="C751" s="1" t="n">
        <v>46194</v>
      </c>
      <c r="D751" t="inlineStr">
        <is>
          <t>ÖSTERGÖTLANDS LÄN</t>
        </is>
      </c>
      <c r="E751" t="inlineStr">
        <is>
          <t>NORRKÖPING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17453-2026</t>
        </is>
      </c>
      <c r="B752" s="1" t="n">
        <v>46120</v>
      </c>
      <c r="C752" s="1" t="n">
        <v>46194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18819-2026</t>
        </is>
      </c>
      <c r="B753" s="1" t="n">
        <v>46128</v>
      </c>
      <c r="C753" s="1" t="n">
        <v>46194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18812-2026</t>
        </is>
      </c>
      <c r="B754" s="1" t="n">
        <v>46128</v>
      </c>
      <c r="C754" s="1" t="n">
        <v>46194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25700-2026</t>
        </is>
      </c>
      <c r="B755" s="1" t="n">
        <v>46178</v>
      </c>
      <c r="C755" s="1" t="n">
        <v>46194</v>
      </c>
      <c r="D755" t="inlineStr">
        <is>
          <t>ÖSTERGÖTLANDS LÄN</t>
        </is>
      </c>
      <c r="E755" t="inlineStr">
        <is>
          <t>NORRKÖPING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25694-2026</t>
        </is>
      </c>
      <c r="B756" s="1" t="n">
        <v>46178</v>
      </c>
      <c r="C756" s="1" t="n">
        <v>46194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32681-2025</t>
        </is>
      </c>
      <c r="B757" s="1" t="n">
        <v>45836</v>
      </c>
      <c r="C757" s="1" t="n">
        <v>46194</v>
      </c>
      <c r="D757" t="inlineStr">
        <is>
          <t>ÖSTERGÖTLANDS LÄN</t>
        </is>
      </c>
      <c r="E757" t="inlineStr">
        <is>
          <t>NORRKÖPING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25687-2026</t>
        </is>
      </c>
      <c r="B758" s="1" t="n">
        <v>46178</v>
      </c>
      <c r="C758" s="1" t="n">
        <v>46194</v>
      </c>
      <c r="D758" t="inlineStr">
        <is>
          <t>ÖSTERGÖTLANDS LÄN</t>
        </is>
      </c>
      <c r="E758" t="inlineStr">
        <is>
          <t>NORRKÖPING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38571-2025</t>
        </is>
      </c>
      <c r="B759" s="1" t="n">
        <v>45884</v>
      </c>
      <c r="C759" s="1" t="n">
        <v>46194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39224-2025</t>
        </is>
      </c>
      <c r="B760" s="1" t="n">
        <v>45889</v>
      </c>
      <c r="C760" s="1" t="n">
        <v>46194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46205-2025</t>
        </is>
      </c>
      <c r="B761" s="1" t="n">
        <v>45924</v>
      </c>
      <c r="C761" s="1" t="n">
        <v>46194</v>
      </c>
      <c r="D761" t="inlineStr">
        <is>
          <t>ÖSTERGÖTLANDS LÄN</t>
        </is>
      </c>
      <c r="E761" t="inlineStr">
        <is>
          <t>NORRKÖPING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20001-2026</t>
        </is>
      </c>
      <c r="B762" s="1" t="n">
        <v>46135</v>
      </c>
      <c r="C762" s="1" t="n">
        <v>46194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19801-2026</t>
        </is>
      </c>
      <c r="B763" s="1" t="n">
        <v>46135</v>
      </c>
      <c r="C763" s="1" t="n">
        <v>46194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62176-2024</t>
        </is>
      </c>
      <c r="B764" s="1" t="n">
        <v>45657</v>
      </c>
      <c r="C764" s="1" t="n">
        <v>46194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31364-2025</t>
        </is>
      </c>
      <c r="B765" s="1" t="n">
        <v>45833</v>
      </c>
      <c r="C765" s="1" t="n">
        <v>46194</v>
      </c>
      <c r="D765" t="inlineStr">
        <is>
          <t>ÖSTERGÖTLANDS LÄN</t>
        </is>
      </c>
      <c r="E765" t="inlineStr">
        <is>
          <t>NORRKÖPING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25719-2026</t>
        </is>
      </c>
      <c r="B766" s="1" t="n">
        <v>46178</v>
      </c>
      <c r="C766" s="1" t="n">
        <v>46194</v>
      </c>
      <c r="D766" t="inlineStr">
        <is>
          <t>ÖSTERGÖTLANDS LÄN</t>
        </is>
      </c>
      <c r="E766" t="inlineStr">
        <is>
          <t>NORRKÖPING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25711-2026</t>
        </is>
      </c>
      <c r="B767" s="1" t="n">
        <v>46178</v>
      </c>
      <c r="C767" s="1" t="n">
        <v>46194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25707-2026</t>
        </is>
      </c>
      <c r="B768" s="1" t="n">
        <v>46178</v>
      </c>
      <c r="C768" s="1" t="n">
        <v>46194</v>
      </c>
      <c r="D768" t="inlineStr">
        <is>
          <t>ÖSTERGÖTLANDS LÄN</t>
        </is>
      </c>
      <c r="E768" t="inlineStr">
        <is>
          <t>NORRKÖPING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54851-2025</t>
        </is>
      </c>
      <c r="B769" s="1" t="n">
        <v>45966</v>
      </c>
      <c r="C769" s="1" t="n">
        <v>46194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25715-2026</t>
        </is>
      </c>
      <c r="B770" s="1" t="n">
        <v>46178</v>
      </c>
      <c r="C770" s="1" t="n">
        <v>46194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25693-2026</t>
        </is>
      </c>
      <c r="B771" s="1" t="n">
        <v>46178</v>
      </c>
      <c r="C771" s="1" t="n">
        <v>46194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19931-2026</t>
        </is>
      </c>
      <c r="B772" s="1" t="n">
        <v>46136</v>
      </c>
      <c r="C772" s="1" t="n">
        <v>46194</v>
      </c>
      <c r="D772" t="inlineStr">
        <is>
          <t>ÖSTERGÖTLANDS LÄN</t>
        </is>
      </c>
      <c r="E772" t="inlineStr">
        <is>
          <t>NORRKÖPING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25690-2026</t>
        </is>
      </c>
      <c r="B773" s="1" t="n">
        <v>46178</v>
      </c>
      <c r="C773" s="1" t="n">
        <v>46194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39861-2025</t>
        </is>
      </c>
      <c r="B774" s="1" t="n">
        <v>45891</v>
      </c>
      <c r="C774" s="1" t="n">
        <v>46194</v>
      </c>
      <c r="D774" t="inlineStr">
        <is>
          <t>ÖSTERGÖTLANDS LÄN</t>
        </is>
      </c>
      <c r="E774" t="inlineStr">
        <is>
          <t>NORRKÖPING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39863-2025</t>
        </is>
      </c>
      <c r="B775" s="1" t="n">
        <v>45891</v>
      </c>
      <c r="C775" s="1" t="n">
        <v>46194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33703-2024</t>
        </is>
      </c>
      <c r="B776" s="1" t="n">
        <v>45520</v>
      </c>
      <c r="C776" s="1" t="n">
        <v>46194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20340-2026</t>
        </is>
      </c>
      <c r="B777" s="1" t="n">
        <v>46139</v>
      </c>
      <c r="C777" s="1" t="n">
        <v>46194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38719-2025</t>
        </is>
      </c>
      <c r="B778" s="1" t="n">
        <v>45886</v>
      </c>
      <c r="C778" s="1" t="n">
        <v>46194</v>
      </c>
      <c r="D778" t="inlineStr">
        <is>
          <t>ÖSTERGÖTLANDS LÄN</t>
        </is>
      </c>
      <c r="E778" t="inlineStr">
        <is>
          <t>NORRKÖPING</t>
        </is>
      </c>
      <c r="G778" t="n">
        <v>14.3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42173-2023</t>
        </is>
      </c>
      <c r="B779" s="1" t="n">
        <v>45178</v>
      </c>
      <c r="C779" s="1" t="n">
        <v>46194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26106-2026</t>
        </is>
      </c>
      <c r="B780" s="1" t="n">
        <v>46181</v>
      </c>
      <c r="C780" s="1" t="n">
        <v>46194</v>
      </c>
      <c r="D780" t="inlineStr">
        <is>
          <t>ÖSTERGÖTLANDS LÄN</t>
        </is>
      </c>
      <c r="E780" t="inlineStr">
        <is>
          <t>NORRKÖPING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26349-2026</t>
        </is>
      </c>
      <c r="B781" s="1" t="n">
        <v>46182</v>
      </c>
      <c r="C781" s="1" t="n">
        <v>46194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26360-2026</t>
        </is>
      </c>
      <c r="B782" s="1" t="n">
        <v>46182</v>
      </c>
      <c r="C782" s="1" t="n">
        <v>46194</v>
      </c>
      <c r="D782" t="inlineStr">
        <is>
          <t>ÖSTERGÖTLANDS LÄN</t>
        </is>
      </c>
      <c r="E782" t="inlineStr">
        <is>
          <t>NORRKÖPING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23941-2025</t>
        </is>
      </c>
      <c r="B783" s="1" t="n">
        <v>45796</v>
      </c>
      <c r="C783" s="1" t="n">
        <v>46194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2026-06-21T00:43:01Z</dcterms:created>
  <dcterms:modified xmlns:dcterms="http://purl.org/dc/terms/" xmlns:xsi="http://www.w3.org/2001/XMLSchema-instance" xsi:type="dcterms:W3CDTF">2026-06-21T00:43:02Z</dcterms:modified>
</cp:coreProperties>
</file>