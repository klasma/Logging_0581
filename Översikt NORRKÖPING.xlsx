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46257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46257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46257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46257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46257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46257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46257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46257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46257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46257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46257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46257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46257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46257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46257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46257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46257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46257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17466-2026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46120</v>
      </c>
      <c r="E34" s="1" t="n">
        <v>46257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Tallticka
Blåmossa
Granbarkgnagare
Mindre märgborre
Spillkråka</t>
        </is>
      </c>
      <c r="W34">
        <f>HYPERLINK("https://klasma.github.io/Logging_0581/artfynd/A 17466-2026 artfynd.xlsx", "A 17466-2026")</f>
        <v/>
      </c>
      <c r="X34">
        <f>HYPERLINK("https://klasma.github.io/Logging_0581/kartor/A 17466-2026 karta.png", "A 17466-2026")</f>
        <v/>
      </c>
      <c r="Y34">
        <f>HYPERLINK("https://klasma.github.io/Logging_0581/kartor_geotiff/A 17466-2026 georefererad karta.tif", "A 17466-2026")</f>
        <v/>
      </c>
      <c r="AA34">
        <f>HYPERLINK("https://klasma.github.io/Logging_0581/klagomål/A 17466-2026 FSC-klagomål.docx", "A 17466-2026")</f>
        <v/>
      </c>
      <c r="AB34">
        <f>HYPERLINK("https://klasma.github.io/Logging_0581/klagomålsmail/A 17466-2026 FSC-klagomål mail.docx", "A 17466-2026")</f>
        <v/>
      </c>
      <c r="AC34">
        <f>HYPERLINK("https://klasma.github.io/Logging_0581/tillsyn/A 17466-2026 tillsynsbegäran.docx", "A 17466-2026")</f>
        <v/>
      </c>
      <c r="AD34">
        <f>HYPERLINK("https://klasma.github.io/Logging_0581/tillsynsmail/A 17466-2026 tillsynsbegäran mail.docx", "A 17466-2026")</f>
        <v/>
      </c>
      <c r="AE34">
        <f>HYPERLINK("https://klasma.github.io/Logging_0581/fåglar/A 17466-2026 prioriterade fågelarter.docx", "A 17466-2026")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46257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46257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46257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46257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46257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46257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46257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46257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46257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31251-2026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46257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2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Vedskivlav
Blodticka
Blåmossa
Fläcknycklar</t>
        </is>
      </c>
      <c r="W44">
        <f>HYPERLINK("https://klasma.github.io/Logging_0581/artfynd/A 31251-2026 artfynd.xlsx", "A 31251-2026")</f>
        <v/>
      </c>
      <c r="X44">
        <f>HYPERLINK("https://klasma.github.io/Logging_0581/kartor/A 31251-2026 karta.png", "A 31251-2026")</f>
        <v/>
      </c>
      <c r="Y44">
        <f>HYPERLINK("https://klasma.github.io/Logging_0581/kartor_geotiff/A 31251-2026 georefererad karta.tif", "A 31251-2026")</f>
        <v/>
      </c>
      <c r="AA44">
        <f>HYPERLINK("https://klasma.github.io/Logging_0581/klagomål/A 31251-2026 FSC-klagomål.docx", "A 31251-2026")</f>
        <v/>
      </c>
      <c r="AB44">
        <f>HYPERLINK("https://klasma.github.io/Logging_0581/klagomålsmail/A 31251-2026 FSC-klagomål mail.docx", "A 31251-2026")</f>
        <v/>
      </c>
      <c r="AC44">
        <f>HYPERLINK("https://klasma.github.io/Logging_0581/tillsyn/A 31251-2026 tillsynsbegäran.docx", "A 31251-2026")</f>
        <v/>
      </c>
      <c r="AD44">
        <f>HYPERLINK("https://klasma.github.io/Logging_0581/tillsynsmail/A 31251-2026 tillsynsbegäran mail.docx", "A 31251-2026")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46257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46257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46257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46257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46257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46257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46257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46257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19973-2025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45771</v>
      </c>
      <c r="E53" s="1" t="n">
        <v>46257</v>
      </c>
      <c r="F53" t="inlineStr">
        <is>
          <t>ÖSTERGÖTLANDS LÄN</t>
        </is>
      </c>
      <c r="G53" t="inlineStr">
        <is>
          <t>NORRKÖPING</t>
        </is>
      </c>
      <c r="I53" t="n">
        <v>6.3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Vedskivlav
Blåmossa</t>
        </is>
      </c>
      <c r="W53">
        <f>HYPERLINK("https://klasma.github.io/Logging_0581/artfynd/A 19973-2025 artfynd.xlsx", "A 19973-2025")</f>
        <v/>
      </c>
      <c r="X53">
        <f>HYPERLINK("https://klasma.github.io/Logging_0581/kartor/A 19973-2025 karta.png", "A 19973-2025")</f>
        <v/>
      </c>
      <c r="Y53">
        <f>HYPERLINK("https://klasma.github.io/Logging_0581/kartor_geotiff/A 19973-2025 georefererad karta.tif", "A 19973-2025")</f>
        <v/>
      </c>
      <c r="AA53">
        <f>HYPERLINK("https://klasma.github.io/Logging_0581/klagomål/A 19973-2025 FSC-klagomål.docx", "A 19973-2025")</f>
        <v/>
      </c>
      <c r="AB53">
        <f>HYPERLINK("https://klasma.github.io/Logging_0581/klagomålsmail/A 19973-2025 FSC-klagomål mail.docx", "A 19973-2025")</f>
        <v/>
      </c>
      <c r="AC53">
        <f>HYPERLINK("https://klasma.github.io/Logging_0581/tillsyn/A 19973-2025 tillsynsbegäran.docx", "A 19973-2025")</f>
        <v/>
      </c>
      <c r="AD53">
        <f>HYPERLINK("https://klasma.github.io/Logging_0581/tillsynsmail/A 19973-2025 tillsynsbegäran mail.docx", "A 19973-2025")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46257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46257</v>
      </c>
      <c r="F55" t="inlineStr">
        <is>
          <t>ÖSTERGÖTLANDS LÄN</t>
        </is>
      </c>
      <c r="G55" t="inlineStr">
        <is>
          <t>NORRKÖPING</t>
        </is>
      </c>
      <c r="I55" t="n">
        <v>3.6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Slåtterfibbla
Svinrot
Mattlummer</t>
        </is>
      </c>
      <c r="W55">
        <f>HYPERLINK("https://klasma.github.io/Logging_0581/artfynd/A 28062-2022 artfynd.xlsx", "A 28062-2022")</f>
        <v/>
      </c>
      <c r="X55">
        <f>HYPERLINK("https://klasma.github.io/Logging_0581/kartor/A 28062-2022 karta.png", "A 28062-2022")</f>
        <v/>
      </c>
      <c r="Y55">
        <f>HYPERLINK("https://klasma.github.io/Logging_0581/kartor_geotiff/A 28062-2022 georefererad karta.tif", "A 28062-2022")</f>
        <v/>
      </c>
      <c r="AA55">
        <f>HYPERLINK("https://klasma.github.io/Logging_0581/klagomål/A 28062-2022 FSC-klagomål.docx", "A 28062-2022")</f>
        <v/>
      </c>
      <c r="AB55">
        <f>HYPERLINK("https://klasma.github.io/Logging_0581/klagomålsmail/A 28062-2022 FSC-klagomål mail.docx", "A 28062-2022")</f>
        <v/>
      </c>
      <c r="AC55">
        <f>HYPERLINK("https://klasma.github.io/Logging_0581/tillsyn/A 28062-2022 tillsynsbegäran.docx", "A 28062-2022")</f>
        <v/>
      </c>
      <c r="AD55">
        <f>HYPERLINK("https://klasma.github.io/Logging_0581/tillsynsmail/A 28062-2022 tillsynsbegäran mail.docx", "A 28062-2022")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46257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46257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14646-2023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46257</v>
      </c>
      <c r="F58" t="inlineStr">
        <is>
          <t>ÖSTERGÖTLANDS LÄN</t>
        </is>
      </c>
      <c r="G58" t="inlineStr">
        <is>
          <t>NORRKÖPING</t>
        </is>
      </c>
      <c r="I58" t="n">
        <v>5.4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Skogsalm
Vanlig backsmörblomma
Fläcknycklar</t>
        </is>
      </c>
      <c r="W58">
        <f>HYPERLINK("https://klasma.github.io/Logging_0581/artfynd/A 14646-2023 artfynd.xlsx", "A 14646-2023")</f>
        <v/>
      </c>
      <c r="X58">
        <f>HYPERLINK("https://klasma.github.io/Logging_0581/kartor/A 14646-2023 karta.png", "A 14646-2023")</f>
        <v/>
      </c>
      <c r="Y58">
        <f>HYPERLINK("https://klasma.github.io/Logging_0581/kartor_geotiff/A 14646-2023 georefererad karta.tif", "A 14646-2023")</f>
        <v/>
      </c>
      <c r="AA58">
        <f>HYPERLINK("https://klasma.github.io/Logging_0581/klagomål/A 14646-2023 FSC-klagomål.docx", "A 14646-2023")</f>
        <v/>
      </c>
      <c r="AB58">
        <f>HYPERLINK("https://klasma.github.io/Logging_0581/klagomålsmail/A 14646-2023 FSC-klagomål mail.docx", "A 14646-2023")</f>
        <v/>
      </c>
      <c r="AC58">
        <f>HYPERLINK("https://klasma.github.io/Logging_0581/tillsyn/A 14646-2023 tillsynsbegäran.docx", "A 14646-2023")</f>
        <v/>
      </c>
      <c r="AD58">
        <f>HYPERLINK("https://klasma.github.io/Logging_0581/tillsynsmail/A 14646-2023 tillsynsbegäran mail.docx", "A 14646-2023")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46257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2484-2026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46257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Dropptaggsvamp
Dvärgbägarlav
Bronshjon</t>
        </is>
      </c>
      <c r="W60">
        <f>HYPERLINK("https://klasma.github.io/Logging_0581/artfynd/A 2484-2026 artfynd.xlsx", "A 2484-2026")</f>
        <v/>
      </c>
      <c r="X60">
        <f>HYPERLINK("https://klasma.github.io/Logging_0581/kartor/A 2484-2026 karta.png", "A 2484-2026")</f>
        <v/>
      </c>
      <c r="Y60">
        <f>HYPERLINK("https://klasma.github.io/Logging_0581/kartor_geotiff/A 2484-2026 georefererad karta.tif", "A 2484-2026")</f>
        <v/>
      </c>
      <c r="AA60">
        <f>HYPERLINK("https://klasma.github.io/Logging_0581/klagomål/A 2484-2026 FSC-klagomål.docx", "A 2484-2026")</f>
        <v/>
      </c>
      <c r="AB60">
        <f>HYPERLINK("https://klasma.github.io/Logging_0581/klagomålsmail/A 2484-2026 FSC-klagomål mail.docx", "A 2484-2026")</f>
        <v/>
      </c>
      <c r="AC60">
        <f>HYPERLINK("https://klasma.github.io/Logging_0581/tillsyn/A 2484-2026 tillsynsbegäran.docx", "A 2484-2026")</f>
        <v/>
      </c>
      <c r="AD60">
        <f>HYPERLINK("https://klasma.github.io/Logging_0581/tillsynsmail/A 2484-2026 tillsynsbegäran mail.docx", "A 2484-2026")</f>
        <v/>
      </c>
    </row>
    <row r="61" ht="15" customHeight="1">
      <c r="A61" t="inlineStr">
        <is>
          <t>A 8468-2023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46257</v>
      </c>
      <c r="F61" t="inlineStr">
        <is>
          <t>ÖSTERGÖTLANDS LÄN</t>
        </is>
      </c>
      <c r="G61" t="inlineStr">
        <is>
          <t>NORRKÖPING</t>
        </is>
      </c>
      <c r="I61" t="n">
        <v>6.7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Tallticka
Bronshjon
Blåsippa</t>
        </is>
      </c>
      <c r="W61">
        <f>HYPERLINK("https://klasma.github.io/Logging_0581/artfynd/A 8468-2023 artfynd.xlsx", "A 8468-2023")</f>
        <v/>
      </c>
      <c r="X61">
        <f>HYPERLINK("https://klasma.github.io/Logging_0581/kartor/A 8468-2023 karta.png", "A 8468-2023")</f>
        <v/>
      </c>
      <c r="Y61">
        <f>HYPERLINK("https://klasma.github.io/Logging_0581/kartor_geotiff/A 8468-2023 georefererad karta.tif", "A 8468-2023")</f>
        <v/>
      </c>
      <c r="AA61">
        <f>HYPERLINK("https://klasma.github.io/Logging_0581/klagomål/A 8468-2023 FSC-klagomål.docx", "A 8468-2023")</f>
        <v/>
      </c>
      <c r="AB61">
        <f>HYPERLINK("https://klasma.github.io/Logging_0581/klagomålsmail/A 8468-2023 FSC-klagomål mail.docx", "A 8468-2023")</f>
        <v/>
      </c>
      <c r="AC61">
        <f>HYPERLINK("https://klasma.github.io/Logging_0581/tillsyn/A 8468-2023 tillsynsbegäran.docx", "A 8468-2023")</f>
        <v/>
      </c>
      <c r="AD61">
        <f>HYPERLINK("https://klasma.github.io/Logging_0581/tillsynsmail/A 8468-2023 tillsynsbegäran mail.docx", "A 8468-2023")</f>
        <v/>
      </c>
    </row>
    <row r="62" ht="15" customHeight="1">
      <c r="A62" t="inlineStr">
        <is>
          <t>A 60171-2023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45258</v>
      </c>
      <c r="E62" s="1" t="n">
        <v>46257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1.7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Tallticka
Blomkålssvamp
Kransmossa</t>
        </is>
      </c>
      <c r="W62">
        <f>HYPERLINK("https://klasma.github.io/Logging_0581/artfynd/A 60171-2023 artfynd.xlsx", "A 60171-2023")</f>
        <v/>
      </c>
      <c r="X62">
        <f>HYPERLINK("https://klasma.github.io/Logging_0581/kartor/A 60171-2023 karta.png", "A 60171-2023")</f>
        <v/>
      </c>
      <c r="Y62">
        <f>HYPERLINK("https://klasma.github.io/Logging_0581/kartor_geotiff/A 60171-2023 georefererad karta.tif", "A 60171-2023")</f>
        <v/>
      </c>
      <c r="AA62">
        <f>HYPERLINK("https://klasma.github.io/Logging_0581/klagomål/A 60171-2023 FSC-klagomål.docx", "A 60171-2023")</f>
        <v/>
      </c>
      <c r="AB62">
        <f>HYPERLINK("https://klasma.github.io/Logging_0581/klagomålsmail/A 60171-2023 FSC-klagomål mail.docx", "A 60171-2023")</f>
        <v/>
      </c>
      <c r="AC62">
        <f>HYPERLINK("https://klasma.github.io/Logging_0581/tillsyn/A 60171-2023 tillsynsbegäran.docx", "A 60171-2023")</f>
        <v/>
      </c>
      <c r="AD62">
        <f>HYPERLINK("https://klasma.github.io/Logging_0581/tillsynsmail/A 60171-2023 tillsynsbegäran mail.docx", "A 60171-2023")</f>
        <v/>
      </c>
    </row>
    <row r="63" ht="15" customHeight="1">
      <c r="A63" t="inlineStr">
        <is>
          <t>A 11757-2025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46257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10.2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Dropptaggsvamp
Blomkålssvamp
Kornknutmossa</t>
        </is>
      </c>
      <c r="W63">
        <f>HYPERLINK("https://klasma.github.io/Logging_0581/artfynd/A 11757-2025 artfynd.xlsx", "A 11757-2025")</f>
        <v/>
      </c>
      <c r="X63">
        <f>HYPERLINK("https://klasma.github.io/Logging_0581/kartor/A 11757-2025 karta.png", "A 11757-2025")</f>
        <v/>
      </c>
      <c r="Y63">
        <f>HYPERLINK("https://klasma.github.io/Logging_0581/kartor_geotiff/A 11757-2025 georefererad karta.tif", "A 11757-2025")</f>
        <v/>
      </c>
      <c r="AA63">
        <f>HYPERLINK("https://klasma.github.io/Logging_0581/klagomål/A 11757-2025 FSC-klagomål.docx", "A 11757-2025")</f>
        <v/>
      </c>
      <c r="AB63">
        <f>HYPERLINK("https://klasma.github.io/Logging_0581/klagomålsmail/A 11757-2025 FSC-klagomål mail.docx", "A 11757-2025")</f>
        <v/>
      </c>
      <c r="AC63">
        <f>HYPERLINK("https://klasma.github.io/Logging_0581/tillsyn/A 11757-2025 tillsynsbegäran.docx", "A 11757-2025")</f>
        <v/>
      </c>
      <c r="AD63">
        <f>HYPERLINK("https://klasma.github.io/Logging_0581/tillsynsmail/A 11757-2025 tillsynsbegäran mail.docx", "A 11757-2025")</f>
        <v/>
      </c>
    </row>
    <row r="64" ht="15" customHeight="1">
      <c r="A64" t="inlineStr">
        <is>
          <t>A 28766-2026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46198</v>
      </c>
      <c r="E64" s="1" t="n">
        <v>46257</v>
      </c>
      <c r="F64" t="inlineStr">
        <is>
          <t>ÖSTERGÖTLANDS LÄN</t>
        </is>
      </c>
      <c r="G64" t="inlineStr">
        <is>
          <t>NORRKÖPING</t>
        </is>
      </c>
      <c r="I64" t="n">
        <v>4.6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Ljungsnärja
Backtimjan
Granbarkgnagare</t>
        </is>
      </c>
      <c r="W64">
        <f>HYPERLINK("https://klasma.github.io/Logging_0581/artfynd/A 28766-2026 artfynd.xlsx", "A 28766-2026")</f>
        <v/>
      </c>
      <c r="X64">
        <f>HYPERLINK("https://klasma.github.io/Logging_0581/kartor/A 28766-2026 karta.png", "A 28766-2026")</f>
        <v/>
      </c>
      <c r="Y64">
        <f>HYPERLINK("https://klasma.github.io/Logging_0581/kartor_geotiff/A 28766-2026 georefererad karta.tif", "A 28766-2026")</f>
        <v/>
      </c>
      <c r="AA64">
        <f>HYPERLINK("https://klasma.github.io/Logging_0581/klagomål/A 28766-2026 FSC-klagomål.docx", "A 28766-2026")</f>
        <v/>
      </c>
      <c r="AB64">
        <f>HYPERLINK("https://klasma.github.io/Logging_0581/klagomålsmail/A 28766-2026 FSC-klagomål mail.docx", "A 28766-2026")</f>
        <v/>
      </c>
      <c r="AC64">
        <f>HYPERLINK("https://klasma.github.io/Logging_0581/tillsyn/A 28766-2026 tillsynsbegäran.docx", "A 28766-2026")</f>
        <v/>
      </c>
      <c r="AD64">
        <f>HYPERLINK("https://klasma.github.io/Logging_0581/tillsynsmail/A 28766-2026 tillsynsbegäran mail.docx", "A 28766-2026")</f>
        <v/>
      </c>
    </row>
    <row r="65" ht="15" customHeight="1">
      <c r="A65" t="inlineStr">
        <is>
          <t>A 19806-2026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46135</v>
      </c>
      <c r="E65" s="1" t="n">
        <v>46257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Blåmossa
Kungsfågel</t>
        </is>
      </c>
      <c r="W65">
        <f>HYPERLINK("https://klasma.github.io/Logging_0581/artfynd/A 19806-2026 artfynd.xlsx", "A 19806-2026")</f>
        <v/>
      </c>
      <c r="X65">
        <f>HYPERLINK("https://klasma.github.io/Logging_0581/kartor/A 19806-2026 karta.png", "A 19806-2026")</f>
        <v/>
      </c>
      <c r="Y65">
        <f>HYPERLINK("https://klasma.github.io/Logging_0581/kartor_geotiff/A 19806-2026 georefererad karta.tif", "A 19806-2026")</f>
        <v/>
      </c>
      <c r="AA65">
        <f>HYPERLINK("https://klasma.github.io/Logging_0581/klagomål/A 19806-2026 FSC-klagomål.docx", "A 19806-2026")</f>
        <v/>
      </c>
      <c r="AB65">
        <f>HYPERLINK("https://klasma.github.io/Logging_0581/klagomålsmail/A 19806-2026 FSC-klagomål mail.docx", "A 19806-2026")</f>
        <v/>
      </c>
      <c r="AC65">
        <f>HYPERLINK("https://klasma.github.io/Logging_0581/tillsyn/A 19806-2026 tillsynsbegäran.docx", "A 19806-2026")</f>
        <v/>
      </c>
      <c r="AD65">
        <f>HYPERLINK("https://klasma.github.io/Logging_0581/tillsynsmail/A 19806-2026 tillsynsbegäran mail.docx", "A 19806-2026")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46257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46257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Hasselticka
Spillkråka</t>
        </is>
      </c>
      <c r="W67">
        <f>HYPERLINK("https://klasma.github.io/Logging_0581/artfynd/A 19989-2026 artfynd.xlsx", "A 19989-2026")</f>
        <v/>
      </c>
      <c r="X67">
        <f>HYPERLINK("https://klasma.github.io/Logging_0581/kartor/A 19989-2026 karta.png", "A 19989-2026")</f>
        <v/>
      </c>
      <c r="Y67">
        <f>HYPERLINK("https://klasma.github.io/Logging_0581/kartor_geotiff/A 19989-2026 georefererad karta.tif", "A 19989-2026")</f>
        <v/>
      </c>
      <c r="AA67">
        <f>HYPERLINK("https://klasma.github.io/Logging_0581/klagomål/A 19989-2026 FSC-klagomål.docx", "A 19989-2026")</f>
        <v/>
      </c>
      <c r="AB67">
        <f>HYPERLINK("https://klasma.github.io/Logging_0581/klagomålsmail/A 19989-2026 FSC-klagomål mail.docx", "A 19989-2026")</f>
        <v/>
      </c>
      <c r="AC67">
        <f>HYPERLINK("https://klasma.github.io/Logging_0581/tillsyn/A 19989-2026 tillsynsbegäran.docx", "A 19989-2026")</f>
        <v/>
      </c>
      <c r="AD67">
        <f>HYPERLINK("https://klasma.github.io/Logging_0581/tillsynsmail/A 19989-2026 tillsynsbegäran mail.docx", "A 19989-2026")</f>
        <v/>
      </c>
      <c r="AE67">
        <f>HYPERLINK("https://klasma.github.io/Logging_0581/fåglar/A 19989-2026 prioriterade fågelarter.docx", "A 19989-2026")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46257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46257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46257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46257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8987-2023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46257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0.5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Vedskivlav
Grovticka</t>
        </is>
      </c>
      <c r="W72">
        <f>HYPERLINK("https://klasma.github.io/Logging_0581/artfynd/A 8987-2023 artfynd.xlsx", "A 8987-2023")</f>
        <v/>
      </c>
      <c r="X72">
        <f>HYPERLINK("https://klasma.github.io/Logging_0581/kartor/A 8987-2023 karta.png", "A 8987-2023")</f>
        <v/>
      </c>
      <c r="Y72">
        <f>HYPERLINK("https://klasma.github.io/Logging_0581/kartor_geotiff/A 8987-2023 georefererad karta.tif", "A 8987-2023")</f>
        <v/>
      </c>
      <c r="AA72">
        <f>HYPERLINK("https://klasma.github.io/Logging_0581/klagomål/A 8987-2023 FSC-klagomål.docx", "A 8987-2023")</f>
        <v/>
      </c>
      <c r="AB72">
        <f>HYPERLINK("https://klasma.github.io/Logging_0581/klagomålsmail/A 8987-2023 FSC-klagomål mail.docx", "A 8987-2023")</f>
        <v/>
      </c>
      <c r="AC72">
        <f>HYPERLINK("https://klasma.github.io/Logging_0581/tillsyn/A 8987-2023 tillsynsbegäran.docx", "A 8987-2023")</f>
        <v/>
      </c>
      <c r="AD72">
        <f>HYPERLINK("https://klasma.github.io/Logging_0581/tillsynsmail/A 8987-2023 tillsynsbegäran mail.docx", "A 8987-2023")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46257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46257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25291-2023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46257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2.1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Slåtterfibbla
Svartvit flugsnappare</t>
        </is>
      </c>
      <c r="W75">
        <f>HYPERLINK("https://klasma.github.io/Logging_0581/artfynd/A 25291-2023 artfynd.xlsx", "A 25291-2023")</f>
        <v/>
      </c>
      <c r="X75">
        <f>HYPERLINK("https://klasma.github.io/Logging_0581/kartor/A 25291-2023 karta.png", "A 25291-2023")</f>
        <v/>
      </c>
      <c r="Y75">
        <f>HYPERLINK("https://klasma.github.io/Logging_0581/kartor_geotiff/A 25291-2023 georefererad karta.tif", "A 25291-2023")</f>
        <v/>
      </c>
      <c r="AA75">
        <f>HYPERLINK("https://klasma.github.io/Logging_0581/klagomål/A 25291-2023 FSC-klagomål.docx", "A 25291-2023")</f>
        <v/>
      </c>
      <c r="AB75">
        <f>HYPERLINK("https://klasma.github.io/Logging_0581/klagomålsmail/A 25291-2023 FSC-klagomål mail.docx", "A 25291-2023")</f>
        <v/>
      </c>
      <c r="AC75">
        <f>HYPERLINK("https://klasma.github.io/Logging_0581/tillsyn/A 25291-2023 tillsynsbegäran.docx", "A 25291-2023")</f>
        <v/>
      </c>
      <c r="AD75">
        <f>HYPERLINK("https://klasma.github.io/Logging_0581/tillsynsmail/A 25291-2023 tillsynsbegäran mail.docx", "A 25291-2023")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46257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46257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53852-2022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44880</v>
      </c>
      <c r="E78" s="1" t="n">
        <v>46257</v>
      </c>
      <c r="F78" t="inlineStr">
        <is>
          <t>ÖSTERGÖTLANDS LÄN</t>
        </is>
      </c>
      <c r="G78" t="inlineStr">
        <is>
          <t>NORRKÖPING</t>
        </is>
      </c>
      <c r="I78" t="n">
        <v>1.8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Tibast
Blåsippa</t>
        </is>
      </c>
      <c r="W78">
        <f>HYPERLINK("https://klasma.github.io/Logging_0581/artfynd/A 53852-2022 artfynd.xlsx", "A 53852-2022")</f>
        <v/>
      </c>
      <c r="X78">
        <f>HYPERLINK("https://klasma.github.io/Logging_0581/kartor/A 53852-2022 karta.png", "A 53852-2022")</f>
        <v/>
      </c>
      <c r="Y78">
        <f>HYPERLINK("https://klasma.github.io/Logging_0581/kartor_geotiff/A 53852-2022 georefererad karta.tif", "A 53852-2022")</f>
        <v/>
      </c>
      <c r="AA78">
        <f>HYPERLINK("https://klasma.github.io/Logging_0581/klagomål/A 53852-2022 FSC-klagomål.docx", "A 53852-2022")</f>
        <v/>
      </c>
      <c r="AB78">
        <f>HYPERLINK("https://klasma.github.io/Logging_0581/klagomålsmail/A 53852-2022 FSC-klagomål mail.docx", "A 53852-2022")</f>
        <v/>
      </c>
      <c r="AC78">
        <f>HYPERLINK("https://klasma.github.io/Logging_0581/tillsyn/A 53852-2022 tillsynsbegäran.docx", "A 53852-2022")</f>
        <v/>
      </c>
      <c r="AD78">
        <f>HYPERLINK("https://klasma.github.io/Logging_0581/tillsynsmail/A 53852-2022 tillsynsbegäran mail.docx", "A 53852-2022")</f>
        <v/>
      </c>
    </row>
    <row r="79" ht="15" customHeight="1">
      <c r="A79" t="inlineStr">
        <is>
          <t>A 48735-2025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46257</v>
      </c>
      <c r="F79" t="inlineStr">
        <is>
          <t>ÖSTERGÖTLANDS LÄN</t>
        </is>
      </c>
      <c r="G79" t="inlineStr">
        <is>
          <t>NORRKÖPING</t>
        </is>
      </c>
      <c r="I79" t="n">
        <v>3.6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Ekoxe
Stuplav</t>
        </is>
      </c>
      <c r="W79">
        <f>HYPERLINK("https://klasma.github.io/Logging_0581/artfynd/A 48735-2025 artfynd.xlsx", "A 48735-2025")</f>
        <v/>
      </c>
      <c r="X79">
        <f>HYPERLINK("https://klasma.github.io/Logging_0581/kartor/A 48735-2025 karta.png", "A 48735-2025")</f>
        <v/>
      </c>
      <c r="Y79">
        <f>HYPERLINK("https://klasma.github.io/Logging_0581/kartor_geotiff/A 48735-2025 georefererad karta.tif", "A 48735-2025")</f>
        <v/>
      </c>
      <c r="AA79">
        <f>HYPERLINK("https://klasma.github.io/Logging_0581/klagomål/A 48735-2025 FSC-klagomål.docx", "A 48735-2025")</f>
        <v/>
      </c>
      <c r="AB79">
        <f>HYPERLINK("https://klasma.github.io/Logging_0581/klagomålsmail/A 48735-2025 FSC-klagomål mail.docx", "A 48735-2025")</f>
        <v/>
      </c>
      <c r="AC79">
        <f>HYPERLINK("https://klasma.github.io/Logging_0581/tillsyn/A 48735-2025 tillsynsbegäran.docx", "A 48735-2025")</f>
        <v/>
      </c>
      <c r="AD79">
        <f>HYPERLINK("https://klasma.github.io/Logging_0581/tillsynsmail/A 48735-2025 tillsynsbegäran mail.docx", "A 48735-2025")</f>
        <v/>
      </c>
    </row>
    <row r="80" ht="15" customHeight="1">
      <c r="A80" t="inlineStr">
        <is>
          <t>A 10553-2025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45721</v>
      </c>
      <c r="E80" s="1" t="n">
        <v>46257</v>
      </c>
      <c r="F80" t="inlineStr">
        <is>
          <t>ÖSTERGÖTLANDS LÄN</t>
        </is>
      </c>
      <c r="G80" t="inlineStr">
        <is>
          <t>NORRKÖPING</t>
        </is>
      </c>
      <c r="I80" t="n">
        <v>2.2</v>
      </c>
      <c r="J80" t="n">
        <v>2</v>
      </c>
      <c r="K80" t="n">
        <v>0</v>
      </c>
      <c r="L80" t="n">
        <v>1</v>
      </c>
      <c r="M80" t="n">
        <v>0</v>
      </c>
      <c r="N80" t="n">
        <v>1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Ejder
Rosenfink</t>
        </is>
      </c>
      <c r="W80">
        <f>HYPERLINK("https://klasma.github.io/Logging_0581/artfynd/A 10553-2025 artfynd.xlsx", "A 10553-2025")</f>
        <v/>
      </c>
      <c r="X80">
        <f>HYPERLINK("https://klasma.github.io/Logging_0581/kartor/A 10553-2025 karta.png", "A 10553-2025")</f>
        <v/>
      </c>
      <c r="Y80">
        <f>HYPERLINK("https://klasma.github.io/Logging_0581/kartor_geotiff/A 10553-2025 georefererad karta.tif", "A 10553-2025")</f>
        <v/>
      </c>
      <c r="AA80">
        <f>HYPERLINK("https://klasma.github.io/Logging_0581/klagomål/A 10553-2025 FSC-klagomål.docx", "A 10553-2025")</f>
        <v/>
      </c>
      <c r="AB80">
        <f>HYPERLINK("https://klasma.github.io/Logging_0581/klagomålsmail/A 10553-2025 FSC-klagomål mail.docx", "A 10553-2025")</f>
        <v/>
      </c>
      <c r="AC80">
        <f>HYPERLINK("https://klasma.github.io/Logging_0581/tillsyn/A 10553-2025 tillsynsbegäran.docx", "A 10553-2025")</f>
        <v/>
      </c>
      <c r="AD80">
        <f>HYPERLINK("https://klasma.github.io/Logging_0581/tillsynsmail/A 10553-2025 tillsynsbegäran mail.docx", "A 10553-2025")</f>
        <v/>
      </c>
      <c r="AE80">
        <f>HYPERLINK("https://klasma.github.io/Logging_0581/fåglar/A 10553-2025 prioriterade fågelarter.docx", "A 10553-2025")</f>
        <v/>
      </c>
    </row>
    <row r="81" ht="15" customHeight="1">
      <c r="A81" t="inlineStr">
        <is>
          <t>A 42365-2025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46257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Svinrot
Tibast</t>
        </is>
      </c>
      <c r="W81">
        <f>HYPERLINK("https://klasma.github.io/Logging_0581/artfynd/A 42365-2025 artfynd.xlsx", "A 42365-2025")</f>
        <v/>
      </c>
      <c r="X81">
        <f>HYPERLINK("https://klasma.github.io/Logging_0581/kartor/A 42365-2025 karta.png", "A 42365-2025")</f>
        <v/>
      </c>
      <c r="Y81">
        <f>HYPERLINK("https://klasma.github.io/Logging_0581/kartor_geotiff/A 42365-2025 georefererad karta.tif", "A 42365-2025")</f>
        <v/>
      </c>
      <c r="AA81">
        <f>HYPERLINK("https://klasma.github.io/Logging_0581/klagomål/A 42365-2025 FSC-klagomål.docx", "A 42365-2025")</f>
        <v/>
      </c>
      <c r="AB81">
        <f>HYPERLINK("https://klasma.github.io/Logging_0581/klagomålsmail/A 42365-2025 FSC-klagomål mail.docx", "A 42365-2025")</f>
        <v/>
      </c>
      <c r="AC81">
        <f>HYPERLINK("https://klasma.github.io/Logging_0581/tillsyn/A 42365-2025 tillsynsbegäran.docx", "A 42365-2025")</f>
        <v/>
      </c>
      <c r="AD81">
        <f>HYPERLINK("https://klasma.github.io/Logging_0581/tillsynsmail/A 42365-2025 tillsynsbegäran mail.docx", "A 42365-2025")</f>
        <v/>
      </c>
    </row>
    <row r="82" ht="15" customHeight="1">
      <c r="A82" t="inlineStr">
        <is>
          <t>A 49366-2021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46257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Knärot
Sårläka</t>
        </is>
      </c>
      <c r="W82">
        <f>HYPERLINK("https://klasma.github.io/Logging_0581/artfynd/A 49366-2021 artfynd.xlsx", "A 49366-2021")</f>
        <v/>
      </c>
      <c r="X82">
        <f>HYPERLINK("https://klasma.github.io/Logging_0581/kartor/A 49366-2021 karta.png", "A 49366-2021")</f>
        <v/>
      </c>
      <c r="Y82">
        <f>HYPERLINK("https://klasma.github.io/Logging_0581/kartor_geotiff/A 49366-2021 georefererad karta.tif", "A 49366-2021")</f>
        <v/>
      </c>
      <c r="Z82">
        <f>HYPERLINK("https://klasma.github.io/Logging_0581/knärot/A 49366-2021 karta knärot.png", "A 49366-2021")</f>
        <v/>
      </c>
      <c r="AA82">
        <f>HYPERLINK("https://klasma.github.io/Logging_0581/klagomål/A 49366-2021 FSC-klagomål.docx", "A 49366-2021")</f>
        <v/>
      </c>
      <c r="AB82">
        <f>HYPERLINK("https://klasma.github.io/Logging_0581/klagomålsmail/A 49366-2021 FSC-klagomål mail.docx", "A 49366-2021")</f>
        <v/>
      </c>
      <c r="AC82">
        <f>HYPERLINK("https://klasma.github.io/Logging_0581/tillsyn/A 49366-2021 tillsynsbegäran.docx", "A 49366-2021")</f>
        <v/>
      </c>
      <c r="AD82">
        <f>HYPERLINK("https://klasma.github.io/Logging_0581/tillsynsmail/A 49366-2021 tillsynsbegäran mail.docx", "A 49366-2021")</f>
        <v/>
      </c>
    </row>
    <row r="83" ht="15" customHeight="1">
      <c r="A83" t="inlineStr">
        <is>
          <t>A 19182-2025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46257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Knärot
Ullticka</t>
        </is>
      </c>
      <c r="W83">
        <f>HYPERLINK("https://klasma.github.io/Logging_0581/artfynd/A 19182-2025 artfynd.xlsx", "A 19182-2025")</f>
        <v/>
      </c>
      <c r="X83">
        <f>HYPERLINK("https://klasma.github.io/Logging_0581/kartor/A 19182-2025 karta.png", "A 19182-2025")</f>
        <v/>
      </c>
      <c r="Y83">
        <f>HYPERLINK("https://klasma.github.io/Logging_0581/kartor_geotiff/A 19182-2025 georefererad karta.tif", "A 19182-2025")</f>
        <v/>
      </c>
      <c r="Z83">
        <f>HYPERLINK("https://klasma.github.io/Logging_0581/knärot/A 19182-2025 karta knärot.png", "A 19182-2025")</f>
        <v/>
      </c>
      <c r="AA83">
        <f>HYPERLINK("https://klasma.github.io/Logging_0581/klagomål/A 19182-2025 FSC-klagomål.docx", "A 19182-2025")</f>
        <v/>
      </c>
      <c r="AB83">
        <f>HYPERLINK("https://klasma.github.io/Logging_0581/klagomålsmail/A 19182-2025 FSC-klagomål mail.docx", "A 19182-2025")</f>
        <v/>
      </c>
      <c r="AC83">
        <f>HYPERLINK("https://klasma.github.io/Logging_0581/tillsyn/A 19182-2025 tillsynsbegäran.docx", "A 19182-2025")</f>
        <v/>
      </c>
      <c r="AD83">
        <f>HYPERLINK("https://klasma.github.io/Logging_0581/tillsynsmail/A 19182-2025 tillsynsbegäran mail.docx", "A 19182-2025")</f>
        <v/>
      </c>
    </row>
    <row r="84" ht="15" customHeight="1">
      <c r="A84" t="inlineStr">
        <is>
          <t>A 9746-2025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46257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1.6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Ask
Blåsippa</t>
        </is>
      </c>
      <c r="W84">
        <f>HYPERLINK("https://klasma.github.io/Logging_0581/artfynd/A 9746-2025 artfynd.xlsx", "A 9746-2025")</f>
        <v/>
      </c>
      <c r="X84">
        <f>HYPERLINK("https://klasma.github.io/Logging_0581/kartor/A 9746-2025 karta.png", "A 9746-2025")</f>
        <v/>
      </c>
      <c r="Y84">
        <f>HYPERLINK("https://klasma.github.io/Logging_0581/kartor_geotiff/A 9746-2025 georefererad karta.tif", "A 9746-2025")</f>
        <v/>
      </c>
      <c r="AA84">
        <f>HYPERLINK("https://klasma.github.io/Logging_0581/klagomål/A 9746-2025 FSC-klagomål.docx", "A 9746-2025")</f>
        <v/>
      </c>
      <c r="AB84">
        <f>HYPERLINK("https://klasma.github.io/Logging_0581/klagomålsmail/A 9746-2025 FSC-klagomål mail.docx", "A 9746-2025")</f>
        <v/>
      </c>
      <c r="AC84">
        <f>HYPERLINK("https://klasma.github.io/Logging_0581/tillsyn/A 9746-2025 tillsynsbegäran.docx", "A 9746-2025")</f>
        <v/>
      </c>
      <c r="AD84">
        <f>HYPERLINK("https://klasma.github.io/Logging_0581/tillsynsmail/A 9746-2025 tillsynsbegäran mail.docx", "A 9746-2025")</f>
        <v/>
      </c>
    </row>
    <row r="85" ht="15" customHeight="1">
      <c r="A85" t="inlineStr">
        <is>
          <t>A 4826-2023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46257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5.1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Bårdlav
Havsörn</t>
        </is>
      </c>
      <c r="W85">
        <f>HYPERLINK("https://klasma.github.io/Logging_0581/artfynd/A 4826-2023 artfynd.xlsx", "A 4826-2023")</f>
        <v/>
      </c>
      <c r="X85">
        <f>HYPERLINK("https://klasma.github.io/Logging_0581/kartor/A 4826-2023 karta.png", "A 4826-2023")</f>
        <v/>
      </c>
      <c r="Y85">
        <f>HYPERLINK("https://klasma.github.io/Logging_0581/kartor_geotiff/A 4826-2023 georefererad karta.tif", "A 4826-2023")</f>
        <v/>
      </c>
      <c r="AA85">
        <f>HYPERLINK("https://klasma.github.io/Logging_0581/klagomål/A 4826-2023 FSC-klagomål.docx", "A 4826-2023")</f>
        <v/>
      </c>
      <c r="AB85">
        <f>HYPERLINK("https://klasma.github.io/Logging_0581/klagomålsmail/A 4826-2023 FSC-klagomål mail.docx", "A 4826-2023")</f>
        <v/>
      </c>
      <c r="AC85">
        <f>HYPERLINK("https://klasma.github.io/Logging_0581/tillsyn/A 4826-2023 tillsynsbegäran.docx", "A 4826-2023")</f>
        <v/>
      </c>
      <c r="AD85">
        <f>HYPERLINK("https://klasma.github.io/Logging_0581/tillsynsmail/A 4826-2023 tillsynsbegäran mail.docx", "A 4826-2023")</f>
        <v/>
      </c>
      <c r="AE85">
        <f>HYPERLINK("https://klasma.github.io/Logging_0581/fåglar/A 4826-2023 prioriterade fågelarter.docx", "A 4826-2023")</f>
        <v/>
      </c>
    </row>
    <row r="86" ht="15" customHeight="1">
      <c r="A86" t="inlineStr">
        <is>
          <t>A 14459-2024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45394</v>
      </c>
      <c r="E86" s="1" t="n">
        <v>46257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0.7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Garnlav
Talltita</t>
        </is>
      </c>
      <c r="W86">
        <f>HYPERLINK("https://klasma.github.io/Logging_0581/artfynd/A 14459-2024 artfynd.xlsx", "A 14459-2024")</f>
        <v/>
      </c>
      <c r="X86">
        <f>HYPERLINK("https://klasma.github.io/Logging_0581/kartor/A 14459-2024 karta.png", "A 14459-2024")</f>
        <v/>
      </c>
      <c r="Y86">
        <f>HYPERLINK("https://klasma.github.io/Logging_0581/kartor_geotiff/A 14459-2024 georefererad karta.tif", "A 14459-2024")</f>
        <v/>
      </c>
      <c r="AA86">
        <f>HYPERLINK("https://klasma.github.io/Logging_0581/klagomål/A 14459-2024 FSC-klagomål.docx", "A 14459-2024")</f>
        <v/>
      </c>
      <c r="AB86">
        <f>HYPERLINK("https://klasma.github.io/Logging_0581/klagomålsmail/A 14459-2024 FSC-klagomål mail.docx", "A 14459-2024")</f>
        <v/>
      </c>
      <c r="AC86">
        <f>HYPERLINK("https://klasma.github.io/Logging_0581/tillsyn/A 14459-2024 tillsynsbegäran.docx", "A 14459-2024")</f>
        <v/>
      </c>
      <c r="AD86">
        <f>HYPERLINK("https://klasma.github.io/Logging_0581/tillsynsmail/A 14459-2024 tillsynsbegäran mail.docx", "A 14459-2024")</f>
        <v/>
      </c>
      <c r="AE86">
        <f>HYPERLINK("https://klasma.github.io/Logging_0581/fåglar/A 14459-2024 prioriterade fågelarter.docx", "A 14459-2024")</f>
        <v/>
      </c>
    </row>
    <row r="87" ht="15" customHeight="1">
      <c r="A87" t="inlineStr">
        <is>
          <t>A 14636-2025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46257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17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Tjäder</t>
        </is>
      </c>
      <c r="W87">
        <f>HYPERLINK("https://klasma.github.io/Logging_0581/artfynd/A 14636-2025 artfynd.xlsx", "A 14636-2025")</f>
        <v/>
      </c>
      <c r="X87">
        <f>HYPERLINK("https://klasma.github.io/Logging_0581/kartor/A 14636-2025 karta.png", "A 14636-2025")</f>
        <v/>
      </c>
      <c r="Y87">
        <f>HYPERLINK("https://klasma.github.io/Logging_0581/kartor_geotiff/A 14636-2025 georefererad karta.tif", "A 14636-2025")</f>
        <v/>
      </c>
      <c r="AA87">
        <f>HYPERLINK("https://klasma.github.io/Logging_0581/klagomål/A 14636-2025 FSC-klagomål.docx", "A 14636-2025")</f>
        <v/>
      </c>
      <c r="AB87">
        <f>HYPERLINK("https://klasma.github.io/Logging_0581/klagomålsmail/A 14636-2025 FSC-klagomål mail.docx", "A 14636-2025")</f>
        <v/>
      </c>
      <c r="AC87">
        <f>HYPERLINK("https://klasma.github.io/Logging_0581/tillsyn/A 14636-2025 tillsynsbegäran.docx", "A 14636-2025")</f>
        <v/>
      </c>
      <c r="AD87">
        <f>HYPERLINK("https://klasma.github.io/Logging_0581/tillsynsmail/A 14636-2025 tillsynsbegäran mail.docx", "A 14636-2025")</f>
        <v/>
      </c>
      <c r="AE87">
        <f>HYPERLINK("https://klasma.github.io/Logging_0581/fåglar/A 14636-2025 prioriterade fågelarter.docx", "A 14636-2025")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46257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46257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46257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10769-2024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46257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2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10769-2024 artfynd.xlsx", "A 10769-2024")</f>
        <v/>
      </c>
      <c r="X91">
        <f>HYPERLINK("https://klasma.github.io/Logging_0581/kartor/A 10769-2024 karta.png", "A 10769-2024")</f>
        <v/>
      </c>
      <c r="Y91">
        <f>HYPERLINK("https://klasma.github.io/Logging_0581/kartor_geotiff/A 10769-2024 georefererad karta.tif", "A 10769-2024")</f>
        <v/>
      </c>
      <c r="AA91">
        <f>HYPERLINK("https://klasma.github.io/Logging_0581/klagomål/A 10769-2024 FSC-klagomål.docx", "A 10769-2024")</f>
        <v/>
      </c>
      <c r="AB91">
        <f>HYPERLINK("https://klasma.github.io/Logging_0581/klagomålsmail/A 10769-2024 FSC-klagomål mail.docx", "A 10769-2024")</f>
        <v/>
      </c>
      <c r="AC91">
        <f>HYPERLINK("https://klasma.github.io/Logging_0581/tillsyn/A 10769-2024 tillsynsbegäran.docx", "A 10769-2024")</f>
        <v/>
      </c>
      <c r="AD91">
        <f>HYPERLINK("https://klasma.github.io/Logging_0581/tillsynsmail/A 10769-2024 tillsynsbegäran mail.docx", "A 10769-2024")</f>
        <v/>
      </c>
      <c r="AE91">
        <f>HYPERLINK("https://klasma.github.io/Logging_0581/fåglar/A 10769-2024 prioriterade fågelarter.docx", "A 10769-2024")</f>
        <v/>
      </c>
    </row>
    <row r="92" ht="15" customHeight="1">
      <c r="A92" t="inlineStr">
        <is>
          <t>A 46692-2024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46257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1.4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Dvärgbägarlav
Flagellkvastmossa</t>
        </is>
      </c>
      <c r="W92">
        <f>HYPERLINK("https://klasma.github.io/Logging_0581/artfynd/A 46692-2024 artfynd.xlsx", "A 46692-2024")</f>
        <v/>
      </c>
      <c r="X92">
        <f>HYPERLINK("https://klasma.github.io/Logging_0581/kartor/A 46692-2024 karta.png", "A 46692-2024")</f>
        <v/>
      </c>
      <c r="Y92">
        <f>HYPERLINK("https://klasma.github.io/Logging_0581/kartor_geotiff/A 46692-2024 georefererad karta.tif", "A 46692-2024")</f>
        <v/>
      </c>
      <c r="AA92">
        <f>HYPERLINK("https://klasma.github.io/Logging_0581/klagomål/A 46692-2024 FSC-klagomål.docx", "A 46692-2024")</f>
        <v/>
      </c>
      <c r="AB92">
        <f>HYPERLINK("https://klasma.github.io/Logging_0581/klagomålsmail/A 46692-2024 FSC-klagomål mail.docx", "A 46692-2024")</f>
        <v/>
      </c>
      <c r="AC92">
        <f>HYPERLINK("https://klasma.github.io/Logging_0581/tillsyn/A 46692-2024 tillsynsbegäran.docx", "A 46692-2024")</f>
        <v/>
      </c>
      <c r="AD92">
        <f>HYPERLINK("https://klasma.github.io/Logging_0581/tillsynsmail/A 46692-2024 tillsynsbegäran mail.docx", "A 46692-2024")</f>
        <v/>
      </c>
    </row>
    <row r="93" ht="15" customHeight="1">
      <c r="A93" t="inlineStr">
        <is>
          <t>A 55022-2022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46257</v>
      </c>
      <c r="F93" t="inlineStr">
        <is>
          <t>ÖSTERGÖTLANDS LÄN</t>
        </is>
      </c>
      <c r="G93" t="inlineStr">
        <is>
          <t>NORRKÖPING</t>
        </is>
      </c>
      <c r="I93" t="n">
        <v>1.4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Tallfingersvamp
Purpurknipprot</t>
        </is>
      </c>
      <c r="W93">
        <f>HYPERLINK("https://klasma.github.io/Logging_0581/artfynd/A 55022-2022 artfynd.xlsx", "A 55022-2022")</f>
        <v/>
      </c>
      <c r="X93">
        <f>HYPERLINK("https://klasma.github.io/Logging_0581/kartor/A 55022-2022 karta.png", "A 55022-2022")</f>
        <v/>
      </c>
      <c r="Y93">
        <f>HYPERLINK("https://klasma.github.io/Logging_0581/kartor_geotiff/A 55022-2022 georefererad karta.tif", "A 55022-2022")</f>
        <v/>
      </c>
      <c r="AA93">
        <f>HYPERLINK("https://klasma.github.io/Logging_0581/klagomål/A 55022-2022 FSC-klagomål.docx", "A 55022-2022")</f>
        <v/>
      </c>
      <c r="AB93">
        <f>HYPERLINK("https://klasma.github.io/Logging_0581/klagomålsmail/A 55022-2022 FSC-klagomål mail.docx", "A 55022-2022")</f>
        <v/>
      </c>
      <c r="AC93">
        <f>HYPERLINK("https://klasma.github.io/Logging_0581/tillsyn/A 55022-2022 tillsynsbegäran.docx", "A 55022-2022")</f>
        <v/>
      </c>
      <c r="AD93">
        <f>HYPERLINK("https://klasma.github.io/Logging_0581/tillsynsmail/A 55022-2022 tillsynsbegäran mail.docx", "A 55022-2022")</f>
        <v/>
      </c>
    </row>
    <row r="94" ht="15" customHeight="1">
      <c r="A94" t="inlineStr">
        <is>
          <t>A 11490-2023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46257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Mattlummer
Trädlärka</t>
        </is>
      </c>
      <c r="W94">
        <f>HYPERLINK("https://klasma.github.io/Logging_0581/artfynd/A 11490-2023 artfynd.xlsx", "A 11490-2023")</f>
        <v/>
      </c>
      <c r="X94">
        <f>HYPERLINK("https://klasma.github.io/Logging_0581/kartor/A 11490-2023 karta.png", "A 11490-2023")</f>
        <v/>
      </c>
      <c r="Y94">
        <f>HYPERLINK("https://klasma.github.io/Logging_0581/kartor_geotiff/A 11490-2023 georefererad karta.tif", "A 11490-2023")</f>
        <v/>
      </c>
      <c r="AA94">
        <f>HYPERLINK("https://klasma.github.io/Logging_0581/klagomål/A 11490-2023 FSC-klagomål.docx", "A 11490-2023")</f>
        <v/>
      </c>
      <c r="AB94">
        <f>HYPERLINK("https://klasma.github.io/Logging_0581/klagomålsmail/A 11490-2023 FSC-klagomål mail.docx", "A 11490-2023")</f>
        <v/>
      </c>
      <c r="AC94">
        <f>HYPERLINK("https://klasma.github.io/Logging_0581/tillsyn/A 11490-2023 tillsynsbegäran.docx", "A 11490-2023")</f>
        <v/>
      </c>
      <c r="AD94">
        <f>HYPERLINK("https://klasma.github.io/Logging_0581/tillsynsmail/A 11490-2023 tillsynsbegäran mail.docx", "A 11490-2023")</f>
        <v/>
      </c>
      <c r="AE94">
        <f>HYPERLINK("https://klasma.github.io/Logging_0581/fåglar/A 11490-2023 prioriterade fågelarter.docx", "A 11490-2023")</f>
        <v/>
      </c>
    </row>
    <row r="95" ht="15" customHeight="1">
      <c r="A95" t="inlineStr">
        <is>
          <t>A 3815-2026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46257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Kommuner</t>
        </is>
      </c>
      <c r="I95" t="n">
        <v>1.1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Grönfink
Kungsfågel</t>
        </is>
      </c>
      <c r="W95">
        <f>HYPERLINK("https://klasma.github.io/Logging_0581/artfynd/A 3815-2026 artfynd.xlsx", "A 3815-2026")</f>
        <v/>
      </c>
      <c r="X95">
        <f>HYPERLINK("https://klasma.github.io/Logging_0581/kartor/A 3815-2026 karta.png", "A 3815-2026")</f>
        <v/>
      </c>
      <c r="Y95">
        <f>HYPERLINK("https://klasma.github.io/Logging_0581/kartor_geotiff/A 3815-2026 georefererad karta.tif", "A 3815-2026")</f>
        <v/>
      </c>
      <c r="AA95">
        <f>HYPERLINK("https://klasma.github.io/Logging_0581/klagomål/A 3815-2026 FSC-klagomål.docx", "A 3815-2026")</f>
        <v/>
      </c>
      <c r="AB95">
        <f>HYPERLINK("https://klasma.github.io/Logging_0581/klagomålsmail/A 3815-2026 FSC-klagomål mail.docx", "A 3815-2026")</f>
        <v/>
      </c>
      <c r="AC95">
        <f>HYPERLINK("https://klasma.github.io/Logging_0581/tillsyn/A 3815-2026 tillsynsbegäran.docx", "A 3815-2026")</f>
        <v/>
      </c>
      <c r="AD95">
        <f>HYPERLINK("https://klasma.github.io/Logging_0581/tillsynsmail/A 3815-2026 tillsynsbegäran mail.docx", "A 3815-2026")</f>
        <v/>
      </c>
      <c r="AE95">
        <f>HYPERLINK("https://klasma.github.io/Logging_0581/fåglar/A 3815-2026 prioriterade fågelarter.docx", "A 3815-2026")</f>
        <v/>
      </c>
    </row>
    <row r="96" ht="15" customHeight="1">
      <c r="A96" t="inlineStr">
        <is>
          <t>A 31298-2026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46218</v>
      </c>
      <c r="E96" s="1" t="n">
        <v>46257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Blåmossa
Orre</t>
        </is>
      </c>
      <c r="W96">
        <f>HYPERLINK("https://klasma.github.io/Logging_0581/artfynd/A 31298-2026 artfynd.xlsx", "A 31298-2026")</f>
        <v/>
      </c>
      <c r="X96">
        <f>HYPERLINK("https://klasma.github.io/Logging_0581/kartor/A 31298-2026 karta.png", "A 31298-2026")</f>
        <v/>
      </c>
      <c r="Y96">
        <f>HYPERLINK("https://klasma.github.io/Logging_0581/kartor_geotiff/A 31298-2026 georefererad karta.tif", "A 31298-2026")</f>
        <v/>
      </c>
      <c r="AA96">
        <f>HYPERLINK("https://klasma.github.io/Logging_0581/klagomål/A 31298-2026 FSC-klagomål.docx", "A 31298-2026")</f>
        <v/>
      </c>
      <c r="AB96">
        <f>HYPERLINK("https://klasma.github.io/Logging_0581/klagomålsmail/A 31298-2026 FSC-klagomål mail.docx", "A 31298-2026")</f>
        <v/>
      </c>
      <c r="AC96">
        <f>HYPERLINK("https://klasma.github.io/Logging_0581/tillsyn/A 31298-2026 tillsynsbegäran.docx", "A 31298-2026")</f>
        <v/>
      </c>
      <c r="AD96">
        <f>HYPERLINK("https://klasma.github.io/Logging_0581/tillsynsmail/A 31298-2026 tillsynsbegäran mail.docx", "A 31298-2026")</f>
        <v/>
      </c>
      <c r="AE96">
        <f>HYPERLINK("https://klasma.github.io/Logging_0581/fåglar/A 31298-2026 prioriterade fågelarter.docx", "A 31298-2026")</f>
        <v/>
      </c>
    </row>
    <row r="97" ht="15" customHeight="1">
      <c r="A97" t="inlineStr">
        <is>
          <t>A 31335-2026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46219</v>
      </c>
      <c r="E97" s="1" t="n">
        <v>46257</v>
      </c>
      <c r="F97" t="inlineStr">
        <is>
          <t>ÖSTERGÖTLANDS LÄN</t>
        </is>
      </c>
      <c r="G97" t="inlineStr">
        <is>
          <t>NORRKÖPING</t>
        </is>
      </c>
      <c r="I97" t="n">
        <v>1.1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Bredbrämad bastardsvärmare
Älg</t>
        </is>
      </c>
      <c r="W97">
        <f>HYPERLINK("https://klasma.github.io/Logging_0581/artfynd/A 31335-2026 artfynd.xlsx", "A 31335-2026")</f>
        <v/>
      </c>
      <c r="X97">
        <f>HYPERLINK("https://klasma.github.io/Logging_0581/kartor/A 31335-2026 karta.png", "A 31335-2026")</f>
        <v/>
      </c>
      <c r="Y97">
        <f>HYPERLINK("https://klasma.github.io/Logging_0581/kartor_geotiff/A 31335-2026 georefererad karta.tif", "A 31335-2026")</f>
        <v/>
      </c>
      <c r="AA97">
        <f>HYPERLINK("https://klasma.github.io/Logging_0581/klagomål/A 31335-2026 FSC-klagomål.docx", "A 31335-2026")</f>
        <v/>
      </c>
      <c r="AB97">
        <f>HYPERLINK("https://klasma.github.io/Logging_0581/klagomålsmail/A 31335-2026 FSC-klagomål mail.docx", "A 31335-2026")</f>
        <v/>
      </c>
      <c r="AC97">
        <f>HYPERLINK("https://klasma.github.io/Logging_0581/tillsyn/A 31335-2026 tillsynsbegäran.docx", "A 31335-2026")</f>
        <v/>
      </c>
      <c r="AD97">
        <f>HYPERLINK("https://klasma.github.io/Logging_0581/tillsynsmail/A 31335-2026 tillsynsbegäran mail.docx", "A 31335-2026")</f>
        <v/>
      </c>
    </row>
    <row r="98" ht="15" customHeight="1">
      <c r="A98" t="inlineStr">
        <is>
          <t>A 31264-2026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46257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Vedskivlav
Fläcknycklar</t>
        </is>
      </c>
      <c r="W98">
        <f>HYPERLINK("https://klasma.github.io/Logging_0581/artfynd/A 31264-2026 artfynd.xlsx", "A 31264-2026")</f>
        <v/>
      </c>
      <c r="X98">
        <f>HYPERLINK("https://klasma.github.io/Logging_0581/kartor/A 31264-2026 karta.png", "A 31264-2026")</f>
        <v/>
      </c>
      <c r="Y98">
        <f>HYPERLINK("https://klasma.github.io/Logging_0581/kartor_geotiff/A 31264-2026 georefererad karta.tif", "A 31264-2026")</f>
        <v/>
      </c>
      <c r="AA98">
        <f>HYPERLINK("https://klasma.github.io/Logging_0581/klagomål/A 31264-2026 FSC-klagomål.docx", "A 31264-2026")</f>
        <v/>
      </c>
      <c r="AB98">
        <f>HYPERLINK("https://klasma.github.io/Logging_0581/klagomålsmail/A 31264-2026 FSC-klagomål mail.docx", "A 31264-2026")</f>
        <v/>
      </c>
      <c r="AC98">
        <f>HYPERLINK("https://klasma.github.io/Logging_0581/tillsyn/A 31264-2026 tillsynsbegäran.docx", "A 31264-2026")</f>
        <v/>
      </c>
      <c r="AD98">
        <f>HYPERLINK("https://klasma.github.io/Logging_0581/tillsynsmail/A 31264-2026 tillsynsbegäran mail.docx", "A 31264-2026")</f>
        <v/>
      </c>
    </row>
    <row r="99" ht="15" customHeight="1">
      <c r="A99" t="inlineStr">
        <is>
          <t>A 20377-2023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46257</v>
      </c>
      <c r="F99" t="inlineStr">
        <is>
          <t>ÖSTERGÖTLANDS LÄN</t>
        </is>
      </c>
      <c r="G99" t="inlineStr">
        <is>
          <t>NORRKÖPING</t>
        </is>
      </c>
      <c r="I99" t="n">
        <v>0.5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Tallticka
Kungsfågel</t>
        </is>
      </c>
      <c r="W99">
        <f>HYPERLINK("https://klasma.github.io/Logging_0581/artfynd/A 20377-2023 artfynd.xlsx", "A 20377-2023")</f>
        <v/>
      </c>
      <c r="X99">
        <f>HYPERLINK("https://klasma.github.io/Logging_0581/kartor/A 20377-2023 karta.png", "A 20377-2023")</f>
        <v/>
      </c>
      <c r="Y99">
        <f>HYPERLINK("https://klasma.github.io/Logging_0581/kartor_geotiff/A 20377-2023 georefererad karta.tif", "A 20377-2023")</f>
        <v/>
      </c>
      <c r="AA99">
        <f>HYPERLINK("https://klasma.github.io/Logging_0581/klagomål/A 20377-2023 FSC-klagomål.docx", "A 20377-2023")</f>
        <v/>
      </c>
      <c r="AB99">
        <f>HYPERLINK("https://klasma.github.io/Logging_0581/klagomålsmail/A 20377-2023 FSC-klagomål mail.docx", "A 20377-2023")</f>
        <v/>
      </c>
      <c r="AC99">
        <f>HYPERLINK("https://klasma.github.io/Logging_0581/tillsyn/A 20377-2023 tillsynsbegäran.docx", "A 20377-2023")</f>
        <v/>
      </c>
      <c r="AD99">
        <f>HYPERLINK("https://klasma.github.io/Logging_0581/tillsynsmail/A 20377-2023 tillsynsbegäran mail.docx", "A 20377-2023")</f>
        <v/>
      </c>
    </row>
    <row r="100" ht="15" customHeight="1">
      <c r="A100" t="inlineStr">
        <is>
          <t>A 24233-2025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46257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5.4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Tallticka
Granbarkgnagare</t>
        </is>
      </c>
      <c r="W100">
        <f>HYPERLINK("https://klasma.github.io/Logging_0581/artfynd/A 24233-2025 artfynd.xlsx", "A 24233-2025")</f>
        <v/>
      </c>
      <c r="X100">
        <f>HYPERLINK("https://klasma.github.io/Logging_0581/kartor/A 24233-2025 karta.png", "A 24233-2025")</f>
        <v/>
      </c>
      <c r="Y100">
        <f>HYPERLINK("https://klasma.github.io/Logging_0581/kartor_geotiff/A 24233-2025 georefererad karta.tif", "A 24233-2025")</f>
        <v/>
      </c>
      <c r="AA100">
        <f>HYPERLINK("https://klasma.github.io/Logging_0581/klagomål/A 24233-2025 FSC-klagomål.docx", "A 24233-2025")</f>
        <v/>
      </c>
      <c r="AB100">
        <f>HYPERLINK("https://klasma.github.io/Logging_0581/klagomålsmail/A 24233-2025 FSC-klagomål mail.docx", "A 24233-2025")</f>
        <v/>
      </c>
      <c r="AC100">
        <f>HYPERLINK("https://klasma.github.io/Logging_0581/tillsyn/A 24233-2025 tillsynsbegäran.docx", "A 24233-2025")</f>
        <v/>
      </c>
      <c r="AD100">
        <f>HYPERLINK("https://klasma.github.io/Logging_0581/tillsynsmail/A 24233-2025 tillsynsbegäran mail.docx", "A 24233-2025")</f>
        <v/>
      </c>
    </row>
    <row r="101" ht="15" customHeight="1">
      <c r="A101" t="inlineStr">
        <is>
          <t>A 27503-2022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46257</v>
      </c>
      <c r="F101" t="inlineStr">
        <is>
          <t>ÖSTERGÖTLANDS LÄN</t>
        </is>
      </c>
      <c r="G101" t="inlineStr">
        <is>
          <t>NORRKÖPING</t>
        </is>
      </c>
      <c r="I101" t="n">
        <v>2.9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Svinrot
Ängsskära</t>
        </is>
      </c>
      <c r="W101">
        <f>HYPERLINK("https://klasma.github.io/Logging_0581/artfynd/A 27503-2022 artfynd.xlsx", "A 27503-2022")</f>
        <v/>
      </c>
      <c r="X101">
        <f>HYPERLINK("https://klasma.github.io/Logging_0581/kartor/A 27503-2022 karta.png", "A 27503-2022")</f>
        <v/>
      </c>
      <c r="Y101">
        <f>HYPERLINK("https://klasma.github.io/Logging_0581/kartor_geotiff/A 27503-2022 georefererad karta.tif", "A 27503-2022")</f>
        <v/>
      </c>
      <c r="AA101">
        <f>HYPERLINK("https://klasma.github.io/Logging_0581/klagomål/A 27503-2022 FSC-klagomål.docx", "A 27503-2022")</f>
        <v/>
      </c>
      <c r="AB101">
        <f>HYPERLINK("https://klasma.github.io/Logging_0581/klagomålsmail/A 27503-2022 FSC-klagomål mail.docx", "A 27503-2022")</f>
        <v/>
      </c>
      <c r="AC101">
        <f>HYPERLINK("https://klasma.github.io/Logging_0581/tillsyn/A 27503-2022 tillsynsbegäran.docx", "A 27503-2022")</f>
        <v/>
      </c>
      <c r="AD101">
        <f>HYPERLINK("https://klasma.github.io/Logging_0581/tillsynsmail/A 27503-2022 tillsynsbegäran mail.docx", "A 27503-2022")</f>
        <v/>
      </c>
    </row>
    <row r="102" ht="15" customHeight="1">
      <c r="A102" t="inlineStr">
        <is>
          <t>A 46955-2023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46257</v>
      </c>
      <c r="F102" t="inlineStr">
        <is>
          <t>ÖSTERGÖTLANDS LÄN</t>
        </is>
      </c>
      <c r="G102" t="inlineStr">
        <is>
          <t>NORRKÖPING</t>
        </is>
      </c>
      <c r="I102" t="n">
        <v>4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Dropptaggsvamp
Sparvuggla</t>
        </is>
      </c>
      <c r="W102">
        <f>HYPERLINK("https://klasma.github.io/Logging_0581/artfynd/A 46955-2023 artfynd.xlsx", "A 46955-2023")</f>
        <v/>
      </c>
      <c r="X102">
        <f>HYPERLINK("https://klasma.github.io/Logging_0581/kartor/A 46955-2023 karta.png", "A 46955-2023")</f>
        <v/>
      </c>
      <c r="Y102">
        <f>HYPERLINK("https://klasma.github.io/Logging_0581/kartor_geotiff/A 46955-2023 georefererad karta.tif", "A 46955-2023")</f>
        <v/>
      </c>
      <c r="AA102">
        <f>HYPERLINK("https://klasma.github.io/Logging_0581/klagomål/A 46955-2023 FSC-klagomål.docx", "A 46955-2023")</f>
        <v/>
      </c>
      <c r="AB102">
        <f>HYPERLINK("https://klasma.github.io/Logging_0581/klagomålsmail/A 46955-2023 FSC-klagomål mail.docx", "A 46955-2023")</f>
        <v/>
      </c>
      <c r="AC102">
        <f>HYPERLINK("https://klasma.github.io/Logging_0581/tillsyn/A 46955-2023 tillsynsbegäran.docx", "A 46955-2023")</f>
        <v/>
      </c>
      <c r="AD102">
        <f>HYPERLINK("https://klasma.github.io/Logging_0581/tillsynsmail/A 46955-2023 tillsynsbegäran mail.docx", "A 46955-2023")</f>
        <v/>
      </c>
      <c r="AE102">
        <f>HYPERLINK("https://klasma.github.io/Logging_0581/fåglar/A 46955-2023 prioriterade fågelarter.docx", "A 46955-2023")</f>
        <v/>
      </c>
    </row>
    <row r="103" ht="15" customHeight="1">
      <c r="A103" t="inlineStr">
        <is>
          <t>A 12188-2026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46257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7.8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Blomkålssvamp
Korallrot</t>
        </is>
      </c>
      <c r="W103">
        <f>HYPERLINK("https://klasma.github.io/Logging_0581/artfynd/A 12188-2026 artfynd.xlsx", "A 12188-2026")</f>
        <v/>
      </c>
      <c r="X103">
        <f>HYPERLINK("https://klasma.github.io/Logging_0581/kartor/A 12188-2026 karta.png", "A 12188-2026")</f>
        <v/>
      </c>
      <c r="Y103">
        <f>HYPERLINK("https://klasma.github.io/Logging_0581/kartor_geotiff/A 12188-2026 georefererad karta.tif", "A 12188-2026")</f>
        <v/>
      </c>
      <c r="AA103">
        <f>HYPERLINK("https://klasma.github.io/Logging_0581/klagomål/A 12188-2026 FSC-klagomål.docx", "A 12188-2026")</f>
        <v/>
      </c>
      <c r="AB103">
        <f>HYPERLINK("https://klasma.github.io/Logging_0581/klagomålsmail/A 12188-2026 FSC-klagomål mail.docx", "A 12188-2026")</f>
        <v/>
      </c>
      <c r="AC103">
        <f>HYPERLINK("https://klasma.github.io/Logging_0581/tillsyn/A 12188-2026 tillsynsbegäran.docx", "A 12188-2026")</f>
        <v/>
      </c>
      <c r="AD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9722-2025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46257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Ask
Blåsippa</t>
        </is>
      </c>
      <c r="W104">
        <f>HYPERLINK("https://klasma.github.io/Logging_0581/artfynd/A 9722-2025 artfynd.xlsx", "A 9722-2025")</f>
        <v/>
      </c>
      <c r="X104">
        <f>HYPERLINK("https://klasma.github.io/Logging_0581/kartor/A 9722-2025 karta.png", "A 9722-2025")</f>
        <v/>
      </c>
      <c r="Y104">
        <f>HYPERLINK("https://klasma.github.io/Logging_0581/kartor_geotiff/A 9722-2025 georefererad karta.tif", "A 9722-2025")</f>
        <v/>
      </c>
      <c r="AA104">
        <f>HYPERLINK("https://klasma.github.io/Logging_0581/klagomål/A 9722-2025 FSC-klagomål.docx", "A 9722-2025")</f>
        <v/>
      </c>
      <c r="AB104">
        <f>HYPERLINK("https://klasma.github.io/Logging_0581/klagomålsmail/A 9722-2025 FSC-klagomål mail.docx", "A 9722-2025")</f>
        <v/>
      </c>
      <c r="AC104">
        <f>HYPERLINK("https://klasma.github.io/Logging_0581/tillsyn/A 9722-2025 tillsynsbegäran.docx", "A 9722-2025")</f>
        <v/>
      </c>
      <c r="AD104">
        <f>HYPERLINK("https://klasma.github.io/Logging_0581/tillsynsmail/A 9722-2025 tillsynsbegäran mail.docx", "A 9722-2025")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46257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46257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28893-2026 artfynd.xlsx", "A 28893-2026")</f>
        <v/>
      </c>
      <c r="X106">
        <f>HYPERLINK("https://klasma.github.io/Logging_0581/kartor/A 28893-2026 karta.png", "A 28893-2026")</f>
        <v/>
      </c>
      <c r="Y106">
        <f>HYPERLINK("https://klasma.github.io/Logging_0581/kartor_geotiff/A 28893-2026 georefererad karta.tif", "A 28893-2026")</f>
        <v/>
      </c>
      <c r="AA106">
        <f>HYPERLINK("https://klasma.github.io/Logging_0581/klagomål/A 28893-2026 FSC-klagomål.docx", "A 28893-2026")</f>
        <v/>
      </c>
      <c r="AB106">
        <f>HYPERLINK("https://klasma.github.io/Logging_0581/klagomålsmail/A 28893-2026 FSC-klagomål mail.docx", "A 28893-2026")</f>
        <v/>
      </c>
      <c r="AC106">
        <f>HYPERLINK("https://klasma.github.io/Logging_0581/tillsyn/A 28893-2026 tillsynsbegäran.docx", "A 28893-2026")</f>
        <v/>
      </c>
      <c r="AD106">
        <f>HYPERLINK("https://klasma.github.io/Logging_0581/tillsynsmail/A 28893-2026 tillsynsbegäran mail.docx", "A 28893-2026")</f>
        <v/>
      </c>
    </row>
    <row r="107" ht="15" customHeight="1">
      <c r="A107" t="inlineStr">
        <is>
          <t>A 28895-2026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46257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28895-2026 artfynd.xlsx", "A 28895-2026")</f>
        <v/>
      </c>
      <c r="X107">
        <f>HYPERLINK("https://klasma.github.io/Logging_0581/kartor/A 28895-2026 karta.png", "A 28895-2026")</f>
        <v/>
      </c>
      <c r="Y107">
        <f>HYPERLINK("https://klasma.github.io/Logging_0581/kartor_geotiff/A 28895-2026 georefererad karta.tif", "A 28895-2026")</f>
        <v/>
      </c>
      <c r="AA107">
        <f>HYPERLINK("https://klasma.github.io/Logging_0581/klagomål/A 28895-2026 FSC-klagomål.docx", "A 28895-2026")</f>
        <v/>
      </c>
      <c r="AB107">
        <f>HYPERLINK("https://klasma.github.io/Logging_0581/klagomålsmail/A 28895-2026 FSC-klagomål mail.docx", "A 28895-2026")</f>
        <v/>
      </c>
      <c r="AC107">
        <f>HYPERLINK("https://klasma.github.io/Logging_0581/tillsyn/A 28895-2026 tillsynsbegäran.docx", "A 28895-2026")</f>
        <v/>
      </c>
      <c r="AD107">
        <f>HYPERLINK("https://klasma.github.io/Logging_0581/tillsynsmail/A 28895-2026 tillsynsbegäran mail.docx", "A 28895-2026")</f>
        <v/>
      </c>
    </row>
    <row r="108" ht="15" customHeight="1">
      <c r="A108" t="inlineStr">
        <is>
          <t>A 17248-2024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46257</v>
      </c>
      <c r="F108" t="inlineStr">
        <is>
          <t>ÖSTERGÖTLANDS LÄN</t>
        </is>
      </c>
      <c r="G108" t="inlineStr">
        <is>
          <t>NORRKÖPING</t>
        </is>
      </c>
      <c r="I108" t="n">
        <v>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Tallticka
Vedticka</t>
        </is>
      </c>
      <c r="W108">
        <f>HYPERLINK("https://klasma.github.io/Logging_0581/artfynd/A 17248-2024 artfynd.xlsx", "A 17248-2024")</f>
        <v/>
      </c>
      <c r="X108">
        <f>HYPERLINK("https://klasma.github.io/Logging_0581/kartor/A 17248-2024 karta.png", "A 17248-2024")</f>
        <v/>
      </c>
      <c r="Y108">
        <f>HYPERLINK("https://klasma.github.io/Logging_0581/kartor_geotiff/A 17248-2024 georefererad karta.tif", "A 17248-2024")</f>
        <v/>
      </c>
      <c r="AA108">
        <f>HYPERLINK("https://klasma.github.io/Logging_0581/klagomål/A 17248-2024 FSC-klagomål.docx", "A 17248-2024")</f>
        <v/>
      </c>
      <c r="AB108">
        <f>HYPERLINK("https://klasma.github.io/Logging_0581/klagomålsmail/A 17248-2024 FSC-klagomål mail.docx", "A 17248-2024")</f>
        <v/>
      </c>
      <c r="AC108">
        <f>HYPERLINK("https://klasma.github.io/Logging_0581/tillsyn/A 17248-2024 tillsynsbegäran.docx", "A 17248-2024")</f>
        <v/>
      </c>
      <c r="AD108">
        <f>HYPERLINK("https://klasma.github.io/Logging_0581/tillsynsmail/A 17248-2024 tillsynsbegäran mail.docx", "A 17248-2024")</f>
        <v/>
      </c>
    </row>
    <row r="109" ht="15" customHeight="1">
      <c r="A109" t="inlineStr">
        <is>
          <t>A 17793-2025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46257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6.7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Huggorm</t>
        </is>
      </c>
      <c r="W109">
        <f>HYPERLINK("https://klasma.github.io/Logging_0581/artfynd/A 17793-2025 artfynd.xlsx", "A 17793-2025")</f>
        <v/>
      </c>
      <c r="X109">
        <f>HYPERLINK("https://klasma.github.io/Logging_0581/kartor/A 17793-2025 karta.png", "A 17793-2025")</f>
        <v/>
      </c>
      <c r="Y109">
        <f>HYPERLINK("https://klasma.github.io/Logging_0581/kartor_geotiff/A 17793-2025 georefererad karta.tif", "A 17793-2025")</f>
        <v/>
      </c>
      <c r="AA109">
        <f>HYPERLINK("https://klasma.github.io/Logging_0581/klagomål/A 17793-2025 FSC-klagomål.docx", "A 17793-2025")</f>
        <v/>
      </c>
      <c r="AB109">
        <f>HYPERLINK("https://klasma.github.io/Logging_0581/klagomålsmail/A 17793-2025 FSC-klagomål mail.docx", "A 17793-2025")</f>
        <v/>
      </c>
      <c r="AC109">
        <f>HYPERLINK("https://klasma.github.io/Logging_0581/tillsyn/A 17793-2025 tillsynsbegäran.docx", "A 17793-2025")</f>
        <v/>
      </c>
      <c r="AD109">
        <f>HYPERLINK("https://klasma.github.io/Logging_0581/tillsynsmail/A 17793-2025 tillsynsbegäran mail.docx", "A 17793-2025")</f>
        <v/>
      </c>
    </row>
    <row r="110" ht="15" customHeight="1">
      <c r="A110" t="inlineStr">
        <is>
          <t>A 49869-2021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46257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2</v>
      </c>
      <c r="V110" s="2" t="inlineStr">
        <is>
          <t>Jungfrulin
Knippnejlika</t>
        </is>
      </c>
      <c r="W110">
        <f>HYPERLINK("https://klasma.github.io/Logging_0581/artfynd/A 49869-2021 artfynd.xlsx", "A 49869-2021")</f>
        <v/>
      </c>
      <c r="X110">
        <f>HYPERLINK("https://klasma.github.io/Logging_0581/kartor/A 49869-2021 karta.png", "A 49869-2021")</f>
        <v/>
      </c>
      <c r="Y110">
        <f>HYPERLINK("https://klasma.github.io/Logging_0581/kartor_geotiff/A 49869-2021 georefererad karta.tif", "A 49869-2021")</f>
        <v/>
      </c>
      <c r="AA110">
        <f>HYPERLINK("https://klasma.github.io/Logging_0581/klagomål/A 49869-2021 FSC-klagomål.docx", "A 49869-2021")</f>
        <v/>
      </c>
      <c r="AB110">
        <f>HYPERLINK("https://klasma.github.io/Logging_0581/klagomålsmail/A 49869-2021 FSC-klagomål mail.docx", "A 49869-2021")</f>
        <v/>
      </c>
      <c r="AC110">
        <f>HYPERLINK("https://klasma.github.io/Logging_0581/tillsyn/A 49869-2021 tillsynsbegäran.docx", "A 49869-2021")</f>
        <v/>
      </c>
      <c r="AD110">
        <f>HYPERLINK("https://klasma.github.io/Logging_0581/tillsynsmail/A 49869-2021 tillsynsbegäran mail.docx", "A 49869-2021")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46257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46257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46257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46257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46257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46257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46257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48612-2021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46257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HYPERLINK("https://klasma.github.io/Logging_0581/artfynd/A 48612-2021 artfynd.xlsx", "A 48612-2021")</f>
        <v/>
      </c>
      <c r="X118">
        <f>HYPERLINK("https://klasma.github.io/Logging_0581/kartor/A 48612-2021 karta.png", "A 48612-2021")</f>
        <v/>
      </c>
      <c r="Y118">
        <f>HYPERLINK("https://klasma.github.io/Logging_0581/kartor_geotiff/A 48612-2021 georefererad karta.tif", "A 48612-2021")</f>
        <v/>
      </c>
      <c r="AA118">
        <f>HYPERLINK("https://klasma.github.io/Logging_0581/klagomål/A 48612-2021 FSC-klagomål.docx", "A 48612-2021")</f>
        <v/>
      </c>
      <c r="AB118">
        <f>HYPERLINK("https://klasma.github.io/Logging_0581/klagomålsmail/A 48612-2021 FSC-klagomål mail.docx", "A 48612-2021")</f>
        <v/>
      </c>
      <c r="AC118">
        <f>HYPERLINK("https://klasma.github.io/Logging_0581/tillsyn/A 48612-2021 tillsynsbegäran.docx", "A 48612-2021")</f>
        <v/>
      </c>
      <c r="AD118">
        <f>HYPERLINK("https://klasma.github.io/Logging_0581/tillsynsmail/A 48612-2021 tillsynsbegäran mail.docx", "A 48612-2021")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46257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46257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46257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2545-2023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46257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Hasselticka</t>
        </is>
      </c>
      <c r="W122">
        <f>HYPERLINK("https://klasma.github.io/Logging_0581/artfynd/A 2545-2023 artfynd.xlsx", "A 2545-2023")</f>
        <v/>
      </c>
      <c r="X122">
        <f>HYPERLINK("https://klasma.github.io/Logging_0581/kartor/A 2545-2023 karta.png", "A 2545-2023")</f>
        <v/>
      </c>
      <c r="Y122">
        <f>HYPERLINK("https://klasma.github.io/Logging_0581/kartor_geotiff/A 2545-2023 georefererad karta.tif", "A 2545-2023")</f>
        <v/>
      </c>
      <c r="AA122">
        <f>HYPERLINK("https://klasma.github.io/Logging_0581/klagomål/A 2545-2023 FSC-klagomål.docx", "A 2545-2023")</f>
        <v/>
      </c>
      <c r="AB122">
        <f>HYPERLINK("https://klasma.github.io/Logging_0581/klagomålsmail/A 2545-2023 FSC-klagomål mail.docx", "A 2545-2023")</f>
        <v/>
      </c>
      <c r="AC122">
        <f>HYPERLINK("https://klasma.github.io/Logging_0581/tillsyn/A 2545-2023 tillsynsbegäran.docx", "A 2545-2023")</f>
        <v/>
      </c>
      <c r="AD122">
        <f>HYPERLINK("https://klasma.github.io/Logging_0581/tillsynsmail/A 2545-2023 tillsynsbegäran mail.docx", "A 2545-2023")</f>
        <v/>
      </c>
    </row>
    <row r="123" ht="15" customHeight="1">
      <c r="A123" t="inlineStr">
        <is>
          <t>A 3247-2024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46257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Sparvuggla</t>
        </is>
      </c>
      <c r="W123">
        <f>HYPERLINK("https://klasma.github.io/Logging_0581/artfynd/A 3247-2024 artfynd.xlsx", "A 3247-2024")</f>
        <v/>
      </c>
      <c r="X123">
        <f>HYPERLINK("https://klasma.github.io/Logging_0581/kartor/A 3247-2024 karta.png", "A 3247-2024")</f>
        <v/>
      </c>
      <c r="Y123">
        <f>HYPERLINK("https://klasma.github.io/Logging_0581/kartor_geotiff/A 3247-2024 georefererad karta.tif", "A 3247-2024")</f>
        <v/>
      </c>
      <c r="AA123">
        <f>HYPERLINK("https://klasma.github.io/Logging_0581/klagomål/A 3247-2024 FSC-klagomål.docx", "A 3247-2024")</f>
        <v/>
      </c>
      <c r="AB123">
        <f>HYPERLINK("https://klasma.github.io/Logging_0581/klagomålsmail/A 3247-2024 FSC-klagomål mail.docx", "A 3247-2024")</f>
        <v/>
      </c>
      <c r="AC123">
        <f>HYPERLINK("https://klasma.github.io/Logging_0581/tillsyn/A 3247-2024 tillsynsbegäran.docx", "A 3247-2024")</f>
        <v/>
      </c>
      <c r="AD123">
        <f>HYPERLINK("https://klasma.github.io/Logging_0581/tillsynsmail/A 3247-2024 tillsynsbegäran mail.docx", "A 3247-2024")</f>
        <v/>
      </c>
      <c r="AE123">
        <f>HYPERLINK("https://klasma.github.io/Logging_0581/fåglar/A 3247-2024 prioriterade fågelarter.docx", "A 3247-2024")</f>
        <v/>
      </c>
    </row>
    <row r="124" ht="15" customHeight="1">
      <c r="A124" t="inlineStr">
        <is>
          <t>A 46671-2024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46257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Kattfotslav</t>
        </is>
      </c>
      <c r="W124">
        <f>HYPERLINK("https://klasma.github.io/Logging_0581/artfynd/A 46671-2024 artfynd.xlsx", "A 46671-2024")</f>
        <v/>
      </c>
      <c r="X124">
        <f>HYPERLINK("https://klasma.github.io/Logging_0581/kartor/A 46671-2024 karta.png", "A 46671-2024")</f>
        <v/>
      </c>
      <c r="Y124">
        <f>HYPERLINK("https://klasma.github.io/Logging_0581/kartor_geotiff/A 46671-2024 georefererad karta.tif", "A 46671-2024")</f>
        <v/>
      </c>
      <c r="AA124">
        <f>HYPERLINK("https://klasma.github.io/Logging_0581/klagomål/A 46671-2024 FSC-klagomål.docx", "A 46671-2024")</f>
        <v/>
      </c>
      <c r="AB124">
        <f>HYPERLINK("https://klasma.github.io/Logging_0581/klagomålsmail/A 46671-2024 FSC-klagomål mail.docx", "A 46671-2024")</f>
        <v/>
      </c>
      <c r="AC124">
        <f>HYPERLINK("https://klasma.github.io/Logging_0581/tillsyn/A 46671-2024 tillsynsbegäran.docx", "A 46671-2024")</f>
        <v/>
      </c>
      <c r="AD124">
        <f>HYPERLINK("https://klasma.github.io/Logging_0581/tillsynsmail/A 46671-2024 tillsynsbegäran mail.docx", "A 46671-2024")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46257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46257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46257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46257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60899-2024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46257</v>
      </c>
      <c r="F129" t="inlineStr">
        <is>
          <t>ÖSTERGÖTLANDS LÄN</t>
        </is>
      </c>
      <c r="G129" t="inlineStr">
        <is>
          <t>NORRKÖPING</t>
        </is>
      </c>
      <c r="I129" t="n">
        <v>2.4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HYPERLINK("https://klasma.github.io/Logging_0581/artfynd/A 60899-2024 artfynd.xlsx", "A 60899-2024")</f>
        <v/>
      </c>
      <c r="X129">
        <f>HYPERLINK("https://klasma.github.io/Logging_0581/kartor/A 60899-2024 karta.png", "A 60899-2024")</f>
        <v/>
      </c>
      <c r="Y129">
        <f>HYPERLINK("https://klasma.github.io/Logging_0581/kartor_geotiff/A 60899-2024 georefererad karta.tif", "A 60899-2024")</f>
        <v/>
      </c>
      <c r="AA129">
        <f>HYPERLINK("https://klasma.github.io/Logging_0581/klagomål/A 60899-2024 FSC-klagomål.docx", "A 60899-2024")</f>
        <v/>
      </c>
      <c r="AB129">
        <f>HYPERLINK("https://klasma.github.io/Logging_0581/klagomålsmail/A 60899-2024 FSC-klagomål mail.docx", "A 60899-2024")</f>
        <v/>
      </c>
      <c r="AC129">
        <f>HYPERLINK("https://klasma.github.io/Logging_0581/tillsyn/A 60899-2024 tillsynsbegäran.docx", "A 60899-2024")</f>
        <v/>
      </c>
      <c r="AD129">
        <f>HYPERLINK("https://klasma.github.io/Logging_0581/tillsynsmail/A 60899-2024 tillsynsbegäran mail.docx", "A 60899-2024")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46257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46257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46201-2025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46257</v>
      </c>
      <c r="F132" t="inlineStr">
        <is>
          <t>ÖSTERGÖTLANDS LÄN</t>
        </is>
      </c>
      <c r="G132" t="inlineStr">
        <is>
          <t>NORRKÖPING</t>
        </is>
      </c>
      <c r="I132" t="n">
        <v>1.5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Hasselticka</t>
        </is>
      </c>
      <c r="W132">
        <f>HYPERLINK("https://klasma.github.io/Logging_0581/artfynd/A 46201-2025 artfynd.xlsx", "A 46201-2025")</f>
        <v/>
      </c>
      <c r="X132">
        <f>HYPERLINK("https://klasma.github.io/Logging_0581/kartor/A 46201-2025 karta.png", "A 46201-2025")</f>
        <v/>
      </c>
      <c r="Y132">
        <f>HYPERLINK("https://klasma.github.io/Logging_0581/kartor_geotiff/A 46201-2025 georefererad karta.tif", "A 46201-2025")</f>
        <v/>
      </c>
      <c r="AA132">
        <f>HYPERLINK("https://klasma.github.io/Logging_0581/klagomål/A 46201-2025 FSC-klagomål.docx", "A 46201-2025")</f>
        <v/>
      </c>
      <c r="AB132">
        <f>HYPERLINK("https://klasma.github.io/Logging_0581/klagomålsmail/A 46201-2025 FSC-klagomål mail.docx", "A 46201-2025")</f>
        <v/>
      </c>
      <c r="AC132">
        <f>HYPERLINK("https://klasma.github.io/Logging_0581/tillsyn/A 46201-2025 tillsynsbegäran.docx", "A 46201-2025")</f>
        <v/>
      </c>
      <c r="AD132">
        <f>HYPERLINK("https://klasma.github.io/Logging_0581/tillsynsmail/A 46201-2025 tillsynsbegäran mail.docx", "A 46201-2025")</f>
        <v/>
      </c>
    </row>
    <row r="133" ht="15" customHeight="1">
      <c r="A133" t="inlineStr">
        <is>
          <t>A 62973-2021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44504</v>
      </c>
      <c r="E133" s="1" t="n">
        <v>46257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Krusfrö</t>
        </is>
      </c>
      <c r="W133">
        <f>HYPERLINK("https://klasma.github.io/Logging_0581/artfynd/A 62973-2021 artfynd.xlsx", "A 62973-2021")</f>
        <v/>
      </c>
      <c r="X133">
        <f>HYPERLINK("https://klasma.github.io/Logging_0581/kartor/A 62973-2021 karta.png", "A 62973-2021")</f>
        <v/>
      </c>
      <c r="Y133">
        <f>HYPERLINK("https://klasma.github.io/Logging_0581/kartor_geotiff/A 62973-2021 georefererad karta.tif", "A 62973-2021")</f>
        <v/>
      </c>
      <c r="AA133">
        <f>HYPERLINK("https://klasma.github.io/Logging_0581/klagomål/A 62973-2021 FSC-klagomål.docx", "A 62973-2021")</f>
        <v/>
      </c>
      <c r="AB133">
        <f>HYPERLINK("https://klasma.github.io/Logging_0581/klagomålsmail/A 62973-2021 FSC-klagomål mail.docx", "A 62973-2021")</f>
        <v/>
      </c>
      <c r="AC133">
        <f>HYPERLINK("https://klasma.github.io/Logging_0581/tillsyn/A 62973-2021 tillsynsbegäran.docx", "A 62973-2021")</f>
        <v/>
      </c>
      <c r="AD133">
        <f>HYPERLINK("https://klasma.github.io/Logging_0581/tillsynsmail/A 62973-2021 tillsynsbegäran mail.docx", "A 62973-2021")</f>
        <v/>
      </c>
    </row>
    <row r="134" ht="15" customHeight="1">
      <c r="A134" t="inlineStr">
        <is>
          <t>A 9790-2024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46257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5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HYPERLINK("https://klasma.github.io/Logging_0581/artfynd/A 9790-2024 artfynd.xlsx", "A 9790-2024")</f>
        <v/>
      </c>
      <c r="X134">
        <f>HYPERLINK("https://klasma.github.io/Logging_0581/kartor/A 9790-2024 karta.png", "A 9790-2024")</f>
        <v/>
      </c>
      <c r="Y134">
        <f>HYPERLINK("https://klasma.github.io/Logging_0581/kartor_geotiff/A 9790-2024 georefererad karta.tif", "A 9790-2024")</f>
        <v/>
      </c>
      <c r="AA134">
        <f>HYPERLINK("https://klasma.github.io/Logging_0581/klagomål/A 9790-2024 FSC-klagomål.docx", "A 9790-2024")</f>
        <v/>
      </c>
      <c r="AB134">
        <f>HYPERLINK("https://klasma.github.io/Logging_0581/klagomålsmail/A 9790-2024 FSC-klagomål mail.docx", "A 9790-2024")</f>
        <v/>
      </c>
      <c r="AC134">
        <f>HYPERLINK("https://klasma.github.io/Logging_0581/tillsyn/A 9790-2024 tillsynsbegäran.docx", "A 9790-2024")</f>
        <v/>
      </c>
      <c r="AD134">
        <f>HYPERLINK("https://klasma.github.io/Logging_0581/tillsynsmail/A 9790-2024 tillsynsbegäran mail.docx", "A 9790-2024")</f>
        <v/>
      </c>
    </row>
    <row r="135" ht="15" customHeight="1">
      <c r="A135" t="inlineStr">
        <is>
          <t>A 31897-2022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44777</v>
      </c>
      <c r="E135" s="1" t="n">
        <v>46257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Kommuner</t>
        </is>
      </c>
      <c r="I135" t="n">
        <v>1.8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Grönpyrola</t>
        </is>
      </c>
      <c r="W135">
        <f>HYPERLINK("https://klasma.github.io/Logging_0581/artfynd/A 31897-2022 artfynd.xlsx", "A 31897-2022")</f>
        <v/>
      </c>
      <c r="X135">
        <f>HYPERLINK("https://klasma.github.io/Logging_0581/kartor/A 31897-2022 karta.png", "A 31897-2022")</f>
        <v/>
      </c>
      <c r="Y135">
        <f>HYPERLINK("https://klasma.github.io/Logging_0581/kartor_geotiff/A 31897-2022 georefererad karta.tif", "A 31897-2022")</f>
        <v/>
      </c>
      <c r="AA135">
        <f>HYPERLINK("https://klasma.github.io/Logging_0581/klagomål/A 31897-2022 FSC-klagomål.docx", "A 31897-2022")</f>
        <v/>
      </c>
      <c r="AB135">
        <f>HYPERLINK("https://klasma.github.io/Logging_0581/klagomålsmail/A 31897-2022 FSC-klagomål mail.docx", "A 31897-2022")</f>
        <v/>
      </c>
      <c r="AC135">
        <f>HYPERLINK("https://klasma.github.io/Logging_0581/tillsyn/A 31897-2022 tillsynsbegäran.docx", "A 31897-2022")</f>
        <v/>
      </c>
      <c r="AD135">
        <f>HYPERLINK("https://klasma.github.io/Logging_0581/tillsynsmail/A 31897-2022 tillsynsbegäran mail.docx", "A 31897-2022")</f>
        <v/>
      </c>
    </row>
    <row r="136" ht="15" customHeight="1">
      <c r="A136" t="inlineStr">
        <is>
          <t>A 25982-2023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46257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Linmåra/småsnärjmåra</t>
        </is>
      </c>
      <c r="W136">
        <f>HYPERLINK("https://klasma.github.io/Logging_0581/artfynd/A 25982-2023 artfynd.xlsx", "A 25982-2023")</f>
        <v/>
      </c>
      <c r="X136">
        <f>HYPERLINK("https://klasma.github.io/Logging_0581/kartor/A 25982-2023 karta.png", "A 25982-2023")</f>
        <v/>
      </c>
      <c r="Y136">
        <f>HYPERLINK("https://klasma.github.io/Logging_0581/kartor_geotiff/A 25982-2023 georefererad karta.tif", "A 25982-2023")</f>
        <v/>
      </c>
      <c r="AA136">
        <f>HYPERLINK("https://klasma.github.io/Logging_0581/klagomål/A 25982-2023 FSC-klagomål.docx", "A 25982-2023")</f>
        <v/>
      </c>
      <c r="AB136">
        <f>HYPERLINK("https://klasma.github.io/Logging_0581/klagomålsmail/A 25982-2023 FSC-klagomål mail.docx", "A 25982-2023")</f>
        <v/>
      </c>
      <c r="AC136">
        <f>HYPERLINK("https://klasma.github.io/Logging_0581/tillsyn/A 25982-2023 tillsynsbegäran.docx", "A 25982-2023")</f>
        <v/>
      </c>
      <c r="AD136">
        <f>HYPERLINK("https://klasma.github.io/Logging_0581/tillsynsmail/A 25982-2023 tillsynsbegäran mail.docx", "A 25982-2023")</f>
        <v/>
      </c>
    </row>
    <row r="137" ht="15" customHeight="1">
      <c r="A137" t="inlineStr">
        <is>
          <t>A 58318-2023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46257</v>
      </c>
      <c r="F137" t="inlineStr">
        <is>
          <t>ÖSTERGÖTLANDS LÄN</t>
        </is>
      </c>
      <c r="G137" t="inlineStr">
        <is>
          <t>NORRKÖPING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Havsörn</t>
        </is>
      </c>
      <c r="W137">
        <f>HYPERLINK("https://klasma.github.io/Logging_0581/artfynd/A 58318-2023 artfynd.xlsx", "A 58318-2023")</f>
        <v/>
      </c>
      <c r="X137">
        <f>HYPERLINK("https://klasma.github.io/Logging_0581/kartor/A 58318-2023 karta.png", "A 58318-2023")</f>
        <v/>
      </c>
      <c r="Y137">
        <f>HYPERLINK("https://klasma.github.io/Logging_0581/kartor_geotiff/A 58318-2023 georefererad karta.tif", "A 58318-2023")</f>
        <v/>
      </c>
      <c r="AA137">
        <f>HYPERLINK("https://klasma.github.io/Logging_0581/klagomål/A 58318-2023 FSC-klagomål.docx", "A 58318-2023")</f>
        <v/>
      </c>
      <c r="AB137">
        <f>HYPERLINK("https://klasma.github.io/Logging_0581/klagomålsmail/A 58318-2023 FSC-klagomål mail.docx", "A 58318-2023")</f>
        <v/>
      </c>
      <c r="AC137">
        <f>HYPERLINK("https://klasma.github.io/Logging_0581/tillsyn/A 58318-2023 tillsynsbegäran.docx", "A 58318-2023")</f>
        <v/>
      </c>
      <c r="AD137">
        <f>HYPERLINK("https://klasma.github.io/Logging_0581/tillsynsmail/A 58318-2023 tillsynsbegäran mail.docx", "A 58318-2023")</f>
        <v/>
      </c>
      <c r="AE137">
        <f>HYPERLINK("https://klasma.github.io/Logging_0581/fåglar/A 58318-2023 prioriterade fågelarter.docx", "A 58318-2023")</f>
        <v/>
      </c>
    </row>
    <row r="138" ht="15" customHeight="1">
      <c r="A138" t="inlineStr">
        <is>
          <t>A 46806-2024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46257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46806-2024 artfynd.xlsx", "A 46806-2024")</f>
        <v/>
      </c>
      <c r="X138">
        <f>HYPERLINK("https://klasma.github.io/Logging_0581/kartor/A 46806-2024 karta.png", "A 46806-2024")</f>
        <v/>
      </c>
      <c r="Y138">
        <f>HYPERLINK("https://klasma.github.io/Logging_0581/kartor_geotiff/A 46806-2024 georefererad karta.tif", "A 46806-2024")</f>
        <v/>
      </c>
      <c r="AA138">
        <f>HYPERLINK("https://klasma.github.io/Logging_0581/klagomål/A 46806-2024 FSC-klagomål.docx", "A 46806-2024")</f>
        <v/>
      </c>
      <c r="AB138">
        <f>HYPERLINK("https://klasma.github.io/Logging_0581/klagomålsmail/A 46806-2024 FSC-klagomål mail.docx", "A 46806-2024")</f>
        <v/>
      </c>
      <c r="AC138">
        <f>HYPERLINK("https://klasma.github.io/Logging_0581/tillsyn/A 46806-2024 tillsynsbegäran.docx", "A 46806-2024")</f>
        <v/>
      </c>
      <c r="AD138">
        <f>HYPERLINK("https://klasma.github.io/Logging_0581/tillsynsmail/A 46806-2024 tillsynsbegäran mail.docx", "A 46806-2024")</f>
        <v/>
      </c>
    </row>
    <row r="139" ht="15" customHeight="1">
      <c r="A139" t="inlineStr">
        <is>
          <t>A 7317-2025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45702</v>
      </c>
      <c r="E139" s="1" t="n">
        <v>46257</v>
      </c>
      <c r="F139" t="inlineStr">
        <is>
          <t>ÖSTERGÖTLANDS LÄN</t>
        </is>
      </c>
      <c r="G139" t="inlineStr">
        <is>
          <t>NORRKÖPING</t>
        </is>
      </c>
      <c r="I139" t="n">
        <v>1.4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Backklöver</t>
        </is>
      </c>
      <c r="W139">
        <f>HYPERLINK("https://klasma.github.io/Logging_0581/artfynd/A 7317-2025 artfynd.xlsx", "A 7317-2025")</f>
        <v/>
      </c>
      <c r="X139">
        <f>HYPERLINK("https://klasma.github.io/Logging_0581/kartor/A 7317-2025 karta.png", "A 7317-2025")</f>
        <v/>
      </c>
      <c r="Y139">
        <f>HYPERLINK("https://klasma.github.io/Logging_0581/kartor_geotiff/A 7317-2025 georefererad karta.tif", "A 7317-2025")</f>
        <v/>
      </c>
      <c r="AA139">
        <f>HYPERLINK("https://klasma.github.io/Logging_0581/klagomål/A 7317-2025 FSC-klagomål.docx", "A 7317-2025")</f>
        <v/>
      </c>
      <c r="AB139">
        <f>HYPERLINK("https://klasma.github.io/Logging_0581/klagomålsmail/A 7317-2025 FSC-klagomål mail.docx", "A 7317-2025")</f>
        <v/>
      </c>
      <c r="AC139">
        <f>HYPERLINK("https://klasma.github.io/Logging_0581/tillsyn/A 7317-2025 tillsynsbegäran.docx", "A 7317-2025")</f>
        <v/>
      </c>
      <c r="AD139">
        <f>HYPERLINK("https://klasma.github.io/Logging_0581/tillsynsmail/A 7317-2025 tillsynsbegäran mail.docx", "A 7317-2025")</f>
        <v/>
      </c>
    </row>
    <row r="140" ht="15" customHeight="1">
      <c r="A140" t="inlineStr">
        <is>
          <t>A 12682-2025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46257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2.3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Talltita</t>
        </is>
      </c>
      <c r="W140">
        <f>HYPERLINK("https://klasma.github.io/Logging_0581/artfynd/A 12682-2025 artfynd.xlsx", "A 12682-2025")</f>
        <v/>
      </c>
      <c r="X140">
        <f>HYPERLINK("https://klasma.github.io/Logging_0581/kartor/A 12682-2025 karta.png", "A 12682-2025")</f>
        <v/>
      </c>
      <c r="Y140">
        <f>HYPERLINK("https://klasma.github.io/Logging_0581/kartor_geotiff/A 12682-2025 georefererad karta.tif", "A 12682-2025")</f>
        <v/>
      </c>
      <c r="Z140">
        <f>HYPERLINK("https://klasma.github.io/Logging_0581/knärot/A 12682-2025 karta knärot.png", "A 12682-2025")</f>
        <v/>
      </c>
      <c r="AA140">
        <f>HYPERLINK("https://klasma.github.io/Logging_0581/klagomål/A 12682-2025 FSC-klagomål.docx", "A 12682-2025")</f>
        <v/>
      </c>
      <c r="AB140">
        <f>HYPERLINK("https://klasma.github.io/Logging_0581/klagomålsmail/A 12682-2025 FSC-klagomål mail.docx", "A 12682-2025")</f>
        <v/>
      </c>
      <c r="AC140">
        <f>HYPERLINK("https://klasma.github.io/Logging_0581/tillsyn/A 12682-2025 tillsynsbegäran.docx", "A 12682-2025")</f>
        <v/>
      </c>
      <c r="AD140">
        <f>HYPERLINK("https://klasma.github.io/Logging_0581/tillsynsmail/A 12682-2025 tillsynsbegäran mail.docx", "A 12682-2025")</f>
        <v/>
      </c>
      <c r="AE140">
        <f>HYPERLINK("https://klasma.github.io/Logging_0581/fåglar/A 12682-2025 prioriterade fågelarter.docx", "A 12682-2025")</f>
        <v/>
      </c>
    </row>
    <row r="141" ht="15" customHeight="1">
      <c r="A141" t="inlineStr">
        <is>
          <t>A 8245-2023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46257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HYPERLINK("https://klasma.github.io/Logging_0581/artfynd/A 8245-2023 artfynd.xlsx", "A 8245-2023")</f>
        <v/>
      </c>
      <c r="X141">
        <f>HYPERLINK("https://klasma.github.io/Logging_0581/kartor/A 8245-2023 karta.png", "A 8245-2023")</f>
        <v/>
      </c>
      <c r="Y141">
        <f>HYPERLINK("https://klasma.github.io/Logging_0581/kartor_geotiff/A 8245-2023 georefererad karta.tif", "A 8245-2023")</f>
        <v/>
      </c>
      <c r="AA141">
        <f>HYPERLINK("https://klasma.github.io/Logging_0581/klagomål/A 8245-2023 FSC-klagomål.docx", "A 8245-2023")</f>
        <v/>
      </c>
      <c r="AB141">
        <f>HYPERLINK("https://klasma.github.io/Logging_0581/klagomålsmail/A 8245-2023 FSC-klagomål mail.docx", "A 8245-2023")</f>
        <v/>
      </c>
      <c r="AC141">
        <f>HYPERLINK("https://klasma.github.io/Logging_0581/tillsyn/A 8245-2023 tillsynsbegäran.docx", "A 8245-2023")</f>
        <v/>
      </c>
      <c r="AD141">
        <f>HYPERLINK("https://klasma.github.io/Logging_0581/tillsynsmail/A 8245-2023 tillsynsbegäran mail.docx", "A 8245-2023")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46257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57772-2022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46257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Fällmossa</t>
        </is>
      </c>
      <c r="W143">
        <f>HYPERLINK("https://klasma.github.io/Logging_0581/artfynd/A 57772-2022 artfynd.xlsx", "A 57772-2022")</f>
        <v/>
      </c>
      <c r="X143">
        <f>HYPERLINK("https://klasma.github.io/Logging_0581/kartor/A 57772-2022 karta.png", "A 57772-2022")</f>
        <v/>
      </c>
      <c r="Y143">
        <f>HYPERLINK("https://klasma.github.io/Logging_0581/kartor_geotiff/A 57772-2022 georefererad karta.tif", "A 57772-2022")</f>
        <v/>
      </c>
      <c r="AA143">
        <f>HYPERLINK("https://klasma.github.io/Logging_0581/klagomål/A 57772-2022 FSC-klagomål.docx", "A 57772-2022")</f>
        <v/>
      </c>
      <c r="AB143">
        <f>HYPERLINK("https://klasma.github.io/Logging_0581/klagomålsmail/A 57772-2022 FSC-klagomål mail.docx", "A 57772-2022")</f>
        <v/>
      </c>
      <c r="AC143">
        <f>HYPERLINK("https://klasma.github.io/Logging_0581/tillsyn/A 57772-2022 tillsynsbegäran.docx", "A 57772-2022")</f>
        <v/>
      </c>
      <c r="AD143">
        <f>HYPERLINK("https://klasma.github.io/Logging_0581/tillsynsmail/A 57772-2022 tillsynsbegäran mail.docx", "A 57772-2022")</f>
        <v/>
      </c>
    </row>
    <row r="144" ht="15" customHeight="1">
      <c r="A144" t="inlineStr">
        <is>
          <t>A 45953-2024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45580</v>
      </c>
      <c r="E144" s="1" t="n">
        <v>46257</v>
      </c>
      <c r="F144" t="inlineStr">
        <is>
          <t>ÖSTERGÖTLANDS LÄN</t>
        </is>
      </c>
      <c r="G144" t="inlineStr">
        <is>
          <t>NORRKÖPING</t>
        </is>
      </c>
      <c r="I144" t="n">
        <v>1.9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Ekoxe</t>
        </is>
      </c>
      <c r="W144">
        <f>HYPERLINK("https://klasma.github.io/Logging_0581/artfynd/A 45953-2024 artfynd.xlsx", "A 45953-2024")</f>
        <v/>
      </c>
      <c r="X144">
        <f>HYPERLINK("https://klasma.github.io/Logging_0581/kartor/A 45953-2024 karta.png", "A 45953-2024")</f>
        <v/>
      </c>
      <c r="Y144">
        <f>HYPERLINK("https://klasma.github.io/Logging_0581/kartor_geotiff/A 45953-2024 georefererad karta.tif", "A 45953-2024")</f>
        <v/>
      </c>
      <c r="AA144">
        <f>HYPERLINK("https://klasma.github.io/Logging_0581/klagomål/A 45953-2024 FSC-klagomål.docx", "A 45953-2024")</f>
        <v/>
      </c>
      <c r="AB144">
        <f>HYPERLINK("https://klasma.github.io/Logging_0581/klagomålsmail/A 45953-2024 FSC-klagomål mail.docx", "A 45953-2024")</f>
        <v/>
      </c>
      <c r="AC144">
        <f>HYPERLINK("https://klasma.github.io/Logging_0581/tillsyn/A 45953-2024 tillsynsbegäran.docx", "A 45953-2024")</f>
        <v/>
      </c>
      <c r="AD144">
        <f>HYPERLINK("https://klasma.github.io/Logging_0581/tillsynsmail/A 45953-2024 tillsynsbegäran mail.docx", "A 45953-2024")</f>
        <v/>
      </c>
    </row>
    <row r="145" ht="15" customHeight="1">
      <c r="A145" t="inlineStr">
        <is>
          <t>A 41369-2023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46257</v>
      </c>
      <c r="F145" t="inlineStr">
        <is>
          <t>ÖSTERGÖTLANDS LÄN</t>
        </is>
      </c>
      <c r="G145" t="inlineStr">
        <is>
          <t>NORRKÖPING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HYPERLINK("https://klasma.github.io/Logging_0581/artfynd/A 41369-2023 artfynd.xlsx", "A 41369-2023")</f>
        <v/>
      </c>
      <c r="X145">
        <f>HYPERLINK("https://klasma.github.io/Logging_0581/kartor/A 41369-2023 karta.png", "A 41369-2023")</f>
        <v/>
      </c>
      <c r="Y145">
        <f>HYPERLINK("https://klasma.github.io/Logging_0581/kartor_geotiff/A 41369-2023 georefererad karta.tif", "A 41369-2023")</f>
        <v/>
      </c>
      <c r="AA145">
        <f>HYPERLINK("https://klasma.github.io/Logging_0581/klagomål/A 41369-2023 FSC-klagomål.docx", "A 41369-2023")</f>
        <v/>
      </c>
      <c r="AB145">
        <f>HYPERLINK("https://klasma.github.io/Logging_0581/klagomålsmail/A 41369-2023 FSC-klagomål mail.docx", "A 41369-2023")</f>
        <v/>
      </c>
      <c r="AC145">
        <f>HYPERLINK("https://klasma.github.io/Logging_0581/tillsyn/A 41369-2023 tillsynsbegäran.docx", "A 41369-2023")</f>
        <v/>
      </c>
      <c r="AD145">
        <f>HYPERLINK("https://klasma.github.io/Logging_0581/tillsynsmail/A 41369-2023 tillsynsbegäran mail.docx", "A 41369-2023")</f>
        <v/>
      </c>
    </row>
    <row r="146" ht="15" customHeight="1">
      <c r="A146" t="inlineStr">
        <is>
          <t>A 9941-2024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45363</v>
      </c>
      <c r="E146" s="1" t="n">
        <v>46257</v>
      </c>
      <c r="F146" t="inlineStr">
        <is>
          <t>ÖSTERGÖTLANDS LÄN</t>
        </is>
      </c>
      <c r="G146" t="inlineStr">
        <is>
          <t>NORRKÖPING</t>
        </is>
      </c>
      <c r="I146" t="n">
        <v>3.1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Purpurknipprot</t>
        </is>
      </c>
      <c r="W146">
        <f>HYPERLINK("https://klasma.github.io/Logging_0581/artfynd/A 9941-2024 artfynd.xlsx", "A 9941-2024")</f>
        <v/>
      </c>
      <c r="X146">
        <f>HYPERLINK("https://klasma.github.io/Logging_0581/kartor/A 9941-2024 karta.png", "A 9941-2024")</f>
        <v/>
      </c>
      <c r="Y146">
        <f>HYPERLINK("https://klasma.github.io/Logging_0581/kartor_geotiff/A 9941-2024 georefererad karta.tif", "A 9941-2024")</f>
        <v/>
      </c>
      <c r="AA146">
        <f>HYPERLINK("https://klasma.github.io/Logging_0581/klagomål/A 9941-2024 FSC-klagomål.docx", "A 9941-2024")</f>
        <v/>
      </c>
      <c r="AB146">
        <f>HYPERLINK("https://klasma.github.io/Logging_0581/klagomålsmail/A 9941-2024 FSC-klagomål mail.docx", "A 9941-2024")</f>
        <v/>
      </c>
      <c r="AC146">
        <f>HYPERLINK("https://klasma.github.io/Logging_0581/tillsyn/A 9941-2024 tillsynsbegäran.docx", "A 9941-2024")</f>
        <v/>
      </c>
      <c r="AD146">
        <f>HYPERLINK("https://klasma.github.io/Logging_0581/tillsynsmail/A 9941-2024 tillsynsbegäran mail.docx", "A 9941-2024")</f>
        <v/>
      </c>
    </row>
    <row r="147" ht="15" customHeight="1">
      <c r="A147" t="inlineStr">
        <is>
          <t>A 1077-2023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46257</v>
      </c>
      <c r="F147" t="inlineStr">
        <is>
          <t>ÖSTERGÖTLANDS LÄN</t>
        </is>
      </c>
      <c r="G147" t="inlineStr">
        <is>
          <t>NORRKÖPING</t>
        </is>
      </c>
      <c r="I147" t="n">
        <v>3.4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Äkta lopplummer</t>
        </is>
      </c>
      <c r="W147">
        <f>HYPERLINK("https://klasma.github.io/Logging_0581/artfynd/A 1077-2023 artfynd.xlsx", "A 1077-2023")</f>
        <v/>
      </c>
      <c r="X147">
        <f>HYPERLINK("https://klasma.github.io/Logging_0581/kartor/A 1077-2023 karta.png", "A 1077-2023")</f>
        <v/>
      </c>
      <c r="Y147">
        <f>HYPERLINK("https://klasma.github.io/Logging_0581/kartor_geotiff/A 1077-2023 georefererad karta.tif", "A 1077-2023")</f>
        <v/>
      </c>
      <c r="AA147">
        <f>HYPERLINK("https://klasma.github.io/Logging_0581/klagomål/A 1077-2023 FSC-klagomål.docx", "A 1077-2023")</f>
        <v/>
      </c>
      <c r="AB147">
        <f>HYPERLINK("https://klasma.github.io/Logging_0581/klagomålsmail/A 1077-2023 FSC-klagomål mail.docx", "A 1077-2023")</f>
        <v/>
      </c>
      <c r="AC147">
        <f>HYPERLINK("https://klasma.github.io/Logging_0581/tillsyn/A 1077-2023 tillsynsbegäran.docx", "A 1077-2023")</f>
        <v/>
      </c>
      <c r="AD147">
        <f>HYPERLINK("https://klasma.github.io/Logging_0581/tillsynsmail/A 1077-2023 tillsynsbegäran mail.docx", "A 1077-2023")</f>
        <v/>
      </c>
    </row>
    <row r="148" ht="15" customHeight="1">
      <c r="A148" t="inlineStr">
        <is>
          <t>A 14044-2023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46257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HYPERLINK("https://klasma.github.io/Logging_0581/artfynd/A 14044-2023 artfynd.xlsx", "A 14044-2023")</f>
        <v/>
      </c>
      <c r="X148">
        <f>HYPERLINK("https://klasma.github.io/Logging_0581/kartor/A 14044-2023 karta.png", "A 14044-2023")</f>
        <v/>
      </c>
      <c r="Y148">
        <f>HYPERLINK("https://klasma.github.io/Logging_0581/kartor_geotiff/A 14044-2023 georefererad karta.tif", "A 14044-2023")</f>
        <v/>
      </c>
      <c r="AA148">
        <f>HYPERLINK("https://klasma.github.io/Logging_0581/klagomål/A 14044-2023 FSC-klagomål.docx", "A 14044-2023")</f>
        <v/>
      </c>
      <c r="AB148">
        <f>HYPERLINK("https://klasma.github.io/Logging_0581/klagomålsmail/A 14044-2023 FSC-klagomål mail.docx", "A 14044-2023")</f>
        <v/>
      </c>
      <c r="AC148">
        <f>HYPERLINK("https://klasma.github.io/Logging_0581/tillsyn/A 14044-2023 tillsynsbegäran.docx", "A 14044-2023")</f>
        <v/>
      </c>
      <c r="AD148">
        <f>HYPERLINK("https://klasma.github.io/Logging_0581/tillsynsmail/A 14044-2023 tillsynsbegäran mail.docx", "A 14044-2023")</f>
        <v/>
      </c>
      <c r="AE148">
        <f>HYPERLINK("https://klasma.github.io/Logging_0581/fåglar/A 14044-2023 prioriterade fågelarter.docx", "A 14044-2023")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46257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27236-2023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46257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HYPERLINK("https://klasma.github.io/Logging_0581/artfynd/A 27236-2023 artfynd.xlsx", "A 27236-2023")</f>
        <v/>
      </c>
      <c r="X150">
        <f>HYPERLINK("https://klasma.github.io/Logging_0581/kartor/A 27236-2023 karta.png", "A 27236-2023")</f>
        <v/>
      </c>
      <c r="Y150">
        <f>HYPERLINK("https://klasma.github.io/Logging_0581/kartor_geotiff/A 27236-2023 georefererad karta.tif", "A 27236-2023")</f>
        <v/>
      </c>
      <c r="AA150">
        <f>HYPERLINK("https://klasma.github.io/Logging_0581/klagomål/A 27236-2023 FSC-klagomål.docx", "A 27236-2023")</f>
        <v/>
      </c>
      <c r="AB150">
        <f>HYPERLINK("https://klasma.github.io/Logging_0581/klagomålsmail/A 27236-2023 FSC-klagomål mail.docx", "A 27236-2023")</f>
        <v/>
      </c>
      <c r="AC150">
        <f>HYPERLINK("https://klasma.github.io/Logging_0581/tillsyn/A 27236-2023 tillsynsbegäran.docx", "A 27236-2023")</f>
        <v/>
      </c>
      <c r="AD150">
        <f>HYPERLINK("https://klasma.github.io/Logging_0581/tillsynsmail/A 27236-2023 tillsynsbegäran mail.docx", "A 27236-2023")</f>
        <v/>
      </c>
    </row>
    <row r="151" ht="15" customHeight="1">
      <c r="A151" t="inlineStr">
        <is>
          <t>A 15124-2025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46257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3.8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2</v>
      </c>
      <c r="V151" s="2" t="inlineStr">
        <is>
          <t>Vedskivlav</t>
        </is>
      </c>
      <c r="W151">
        <f>HYPERLINK("https://klasma.github.io/Logging_0581/artfynd/A 15124-2025 artfynd.xlsx", "A 15124-2025")</f>
        <v/>
      </c>
      <c r="X151">
        <f>HYPERLINK("https://klasma.github.io/Logging_0581/kartor/A 15124-2025 karta.png", "A 15124-2025")</f>
        <v/>
      </c>
      <c r="Y151">
        <f>HYPERLINK("https://klasma.github.io/Logging_0581/kartor_geotiff/A 15124-2025 georefererad karta.tif", "A 15124-2025")</f>
        <v/>
      </c>
      <c r="AA151">
        <f>HYPERLINK("https://klasma.github.io/Logging_0581/klagomål/A 15124-2025 FSC-klagomål.docx", "A 15124-2025")</f>
        <v/>
      </c>
      <c r="AB151">
        <f>HYPERLINK("https://klasma.github.io/Logging_0581/klagomålsmail/A 15124-2025 FSC-klagomål mail.docx", "A 15124-2025")</f>
        <v/>
      </c>
      <c r="AC151">
        <f>HYPERLINK("https://klasma.github.io/Logging_0581/tillsyn/A 15124-2025 tillsynsbegäran.docx", "A 15124-2025")</f>
        <v/>
      </c>
      <c r="AD151">
        <f>HYPERLINK("https://klasma.github.io/Logging_0581/tillsynsmail/A 15124-2025 tillsynsbegäran mail.docx", "A 15124-2025")</f>
        <v/>
      </c>
    </row>
    <row r="152" ht="15" customHeight="1">
      <c r="A152" t="inlineStr">
        <is>
          <t>A 14329-2022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44652</v>
      </c>
      <c r="E152" s="1" t="n">
        <v>46257</v>
      </c>
      <c r="F152" t="inlineStr">
        <is>
          <t>ÖSTERGÖTLANDS LÄN</t>
        </is>
      </c>
      <c r="G152" t="inlineStr">
        <is>
          <t>NORRKÖPING</t>
        </is>
      </c>
      <c r="I152" t="n">
        <v>2.7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skogslilja</t>
        </is>
      </c>
      <c r="W152">
        <f>HYPERLINK("https://klasma.github.io/Logging_0581/artfynd/A 14329-2022 artfynd.xlsx", "A 14329-2022")</f>
        <v/>
      </c>
      <c r="X152">
        <f>HYPERLINK("https://klasma.github.io/Logging_0581/kartor/A 14329-2022 karta.png", "A 14329-2022")</f>
        <v/>
      </c>
      <c r="Y152">
        <f>HYPERLINK("https://klasma.github.io/Logging_0581/kartor_geotiff/A 14329-2022 georefererad karta.tif", "A 14329-2022")</f>
        <v/>
      </c>
      <c r="AA152">
        <f>HYPERLINK("https://klasma.github.io/Logging_0581/klagomål/A 14329-2022 FSC-klagomål.docx", "A 14329-2022")</f>
        <v/>
      </c>
      <c r="AB152">
        <f>HYPERLINK("https://klasma.github.io/Logging_0581/klagomålsmail/A 14329-2022 FSC-klagomål mail.docx", "A 14329-2022")</f>
        <v/>
      </c>
      <c r="AC152">
        <f>HYPERLINK("https://klasma.github.io/Logging_0581/tillsyn/A 14329-2022 tillsynsbegäran.docx", "A 14329-2022")</f>
        <v/>
      </c>
      <c r="AD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15143-2025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46257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Vedskivlav</t>
        </is>
      </c>
      <c r="W153">
        <f>HYPERLINK("https://klasma.github.io/Logging_0581/artfynd/A 15143-2025 artfynd.xlsx", "A 15143-2025")</f>
        <v/>
      </c>
      <c r="X153">
        <f>HYPERLINK("https://klasma.github.io/Logging_0581/kartor/A 15143-2025 karta.png", "A 15143-2025")</f>
        <v/>
      </c>
      <c r="Y153">
        <f>HYPERLINK("https://klasma.github.io/Logging_0581/kartor_geotiff/A 15143-2025 georefererad karta.tif", "A 15143-2025")</f>
        <v/>
      </c>
      <c r="AA153">
        <f>HYPERLINK("https://klasma.github.io/Logging_0581/klagomål/A 15143-2025 FSC-klagomål.docx", "A 15143-2025")</f>
        <v/>
      </c>
      <c r="AB153">
        <f>HYPERLINK("https://klasma.github.io/Logging_0581/klagomålsmail/A 15143-2025 FSC-klagomål mail.docx", "A 15143-2025")</f>
        <v/>
      </c>
      <c r="AC153">
        <f>HYPERLINK("https://klasma.github.io/Logging_0581/tillsyn/A 15143-2025 tillsynsbegäran.docx", "A 15143-2025")</f>
        <v/>
      </c>
      <c r="AD153">
        <f>HYPERLINK("https://klasma.github.io/Logging_0581/tillsynsmail/A 15143-2025 tillsynsbegäran mail.docx", "A 15143-2025")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46257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Vedskivlav</t>
        </is>
      </c>
      <c r="W154">
        <f>HYPERLINK("https://klasma.github.io/Logging_0581/artfynd/A 46957-2023 artfynd.xlsx", "A 46957-2023")</f>
        <v/>
      </c>
      <c r="X154">
        <f>HYPERLINK("https://klasma.github.io/Logging_0581/kartor/A 46957-2023 karta.png", "A 46957-2023")</f>
        <v/>
      </c>
      <c r="Y154">
        <f>HYPERLINK("https://klasma.github.io/Logging_0581/kartor_geotiff/A 46957-2023 georefererad karta.tif", "A 46957-2023")</f>
        <v/>
      </c>
      <c r="AA154">
        <f>HYPERLINK("https://klasma.github.io/Logging_0581/klagomål/A 46957-2023 FSC-klagomål.docx", "A 46957-2023")</f>
        <v/>
      </c>
      <c r="AB154">
        <f>HYPERLINK("https://klasma.github.io/Logging_0581/klagomålsmail/A 46957-2023 FSC-klagomål mail.docx", "A 46957-2023")</f>
        <v/>
      </c>
      <c r="AC154">
        <f>HYPERLINK("https://klasma.github.io/Logging_0581/tillsyn/A 46957-2023 tillsynsbegäran.docx", "A 46957-2023")</f>
        <v/>
      </c>
      <c r="AD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24629-2025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46257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0.6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Kråka</t>
        </is>
      </c>
      <c r="W155">
        <f>HYPERLINK("https://klasma.github.io/Logging_0581/artfynd/A 24629-2025 artfynd.xlsx", "A 24629-2025")</f>
        <v/>
      </c>
      <c r="X155">
        <f>HYPERLINK("https://klasma.github.io/Logging_0581/kartor/A 24629-2025 karta.png", "A 24629-2025")</f>
        <v/>
      </c>
      <c r="Y155">
        <f>HYPERLINK("https://klasma.github.io/Logging_0581/kartor_geotiff/A 24629-2025 georefererad karta.tif", "A 24629-2025")</f>
        <v/>
      </c>
      <c r="AA155">
        <f>HYPERLINK("https://klasma.github.io/Logging_0581/klagomål/A 24629-2025 FSC-klagomål.docx", "A 24629-2025")</f>
        <v/>
      </c>
      <c r="AB155">
        <f>HYPERLINK("https://klasma.github.io/Logging_0581/klagomålsmail/A 24629-2025 FSC-klagomål mail.docx", "A 24629-2025")</f>
        <v/>
      </c>
      <c r="AC155">
        <f>HYPERLINK("https://klasma.github.io/Logging_0581/tillsyn/A 24629-2025 tillsynsbegäran.docx", "A 24629-2025")</f>
        <v/>
      </c>
      <c r="AD155">
        <f>HYPERLINK("https://klasma.github.io/Logging_0581/tillsynsmail/A 24629-2025 tillsynsbegäran mail.docx", "A 24629-2025")</f>
        <v/>
      </c>
    </row>
    <row r="156" ht="15" customHeight="1">
      <c r="A156" t="inlineStr">
        <is>
          <t>A 2832-2026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46257</v>
      </c>
      <c r="F156" t="inlineStr">
        <is>
          <t>ÖSTERGÖTLANDS LÄN</t>
        </is>
      </c>
      <c r="G156" t="inlineStr">
        <is>
          <t>NORRKÖPING</t>
        </is>
      </c>
      <c r="I156" t="n">
        <v>5.5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Grönpyrola</t>
        </is>
      </c>
      <c r="W156">
        <f>HYPERLINK("https://klasma.github.io/Logging_0581/artfynd/A 2832-2026 artfynd.xlsx", "A 2832-2026")</f>
        <v/>
      </c>
      <c r="X156">
        <f>HYPERLINK("https://klasma.github.io/Logging_0581/kartor/A 2832-2026 karta.png", "A 2832-2026")</f>
        <v/>
      </c>
      <c r="Y156">
        <f>HYPERLINK("https://klasma.github.io/Logging_0581/kartor_geotiff/A 2832-2026 georefererad karta.tif", "A 2832-2026")</f>
        <v/>
      </c>
      <c r="AA156">
        <f>HYPERLINK("https://klasma.github.io/Logging_0581/klagomål/A 2832-2026 FSC-klagomål.docx", "A 2832-2026")</f>
        <v/>
      </c>
      <c r="AB156">
        <f>HYPERLINK("https://klasma.github.io/Logging_0581/klagomålsmail/A 2832-2026 FSC-klagomål mail.docx", "A 2832-2026")</f>
        <v/>
      </c>
      <c r="AC156">
        <f>HYPERLINK("https://klasma.github.io/Logging_0581/tillsyn/A 2832-2026 tillsynsbegäran.docx", "A 2832-2026")</f>
        <v/>
      </c>
      <c r="AD156">
        <f>HYPERLINK("https://klasma.github.io/Logging_0581/tillsynsmail/A 2832-2026 tillsynsbegäran mail.docx", "A 2832-2026")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46257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31231-2026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46217</v>
      </c>
      <c r="E158" s="1" t="n">
        <v>46257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4.2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HYPERLINK("https://klasma.github.io/Logging_0581/artfynd/A 31231-2026 artfynd.xlsx", "A 31231-2026")</f>
        <v/>
      </c>
      <c r="X158">
        <f>HYPERLINK("https://klasma.github.io/Logging_0581/kartor/A 31231-2026 karta.png", "A 31231-2026")</f>
        <v/>
      </c>
      <c r="Y158">
        <f>HYPERLINK("https://klasma.github.io/Logging_0581/kartor_geotiff/A 31231-2026 georefererad karta.tif", "A 31231-2026")</f>
        <v/>
      </c>
      <c r="AA158">
        <f>HYPERLINK("https://klasma.github.io/Logging_0581/klagomål/A 31231-2026 FSC-klagomål.docx", "A 31231-2026")</f>
        <v/>
      </c>
      <c r="AB158">
        <f>HYPERLINK("https://klasma.github.io/Logging_0581/klagomålsmail/A 31231-2026 FSC-klagomål mail.docx", "A 31231-2026")</f>
        <v/>
      </c>
      <c r="AC158">
        <f>HYPERLINK("https://klasma.github.io/Logging_0581/tillsyn/A 31231-2026 tillsynsbegäran.docx", "A 31231-2026")</f>
        <v/>
      </c>
      <c r="AD158">
        <f>HYPERLINK("https://klasma.github.io/Logging_0581/tillsynsmail/A 31231-2026 tillsynsbegäran mail.docx", "A 31231-2026")</f>
        <v/>
      </c>
    </row>
    <row r="159" ht="15" customHeight="1">
      <c r="A159" t="inlineStr">
        <is>
          <t>A 31582-2023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46257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31582-2023 artfynd.xlsx", "A 31582-2023")</f>
        <v/>
      </c>
      <c r="X159">
        <f>HYPERLINK("https://klasma.github.io/Logging_0581/kartor/A 31582-2023 karta.png", "A 31582-2023")</f>
        <v/>
      </c>
      <c r="Y159">
        <f>HYPERLINK("https://klasma.github.io/Logging_0581/kartor_geotiff/A 31582-2023 georefererad karta.tif", "A 31582-2023")</f>
        <v/>
      </c>
      <c r="AA159">
        <f>HYPERLINK("https://klasma.github.io/Logging_0581/klagomål/A 31582-2023 FSC-klagomål.docx", "A 31582-2023")</f>
        <v/>
      </c>
      <c r="AB159">
        <f>HYPERLINK("https://klasma.github.io/Logging_0581/klagomålsmail/A 31582-2023 FSC-klagomål mail.docx", "A 31582-2023")</f>
        <v/>
      </c>
      <c r="AC159">
        <f>HYPERLINK("https://klasma.github.io/Logging_0581/tillsyn/A 31582-2023 tillsynsbegäran.docx", "A 31582-2023")</f>
        <v/>
      </c>
      <c r="AD159">
        <f>HYPERLINK("https://klasma.github.io/Logging_0581/tillsynsmail/A 31582-2023 tillsynsbegäran mail.docx", "A 31582-2023")</f>
        <v/>
      </c>
      <c r="AE159">
        <f>HYPERLINK("https://klasma.github.io/Logging_0581/fåglar/A 31582-2023 prioriterade fågelarter.docx", "A 31582-2023")</f>
        <v/>
      </c>
    </row>
    <row r="160" ht="15" customHeight="1">
      <c r="A160" t="inlineStr">
        <is>
          <t>A 31325-2026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46219</v>
      </c>
      <c r="E160" s="1" t="n">
        <v>46257</v>
      </c>
      <c r="F160" t="inlineStr">
        <is>
          <t>ÖSTERGÖTLANDS LÄN</t>
        </is>
      </c>
      <c r="G160" t="inlineStr">
        <is>
          <t>NORRKÖPING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Bergsslok</t>
        </is>
      </c>
      <c r="W160">
        <f>HYPERLINK("https://klasma.github.io/Logging_0581/artfynd/A 31325-2026 artfynd.xlsx", "A 31325-2026")</f>
        <v/>
      </c>
      <c r="X160">
        <f>HYPERLINK("https://klasma.github.io/Logging_0581/kartor/A 31325-2026 karta.png", "A 31325-2026")</f>
        <v/>
      </c>
      <c r="Y160">
        <f>HYPERLINK("https://klasma.github.io/Logging_0581/kartor_geotiff/A 31325-2026 georefererad karta.tif", "A 31325-2026")</f>
        <v/>
      </c>
      <c r="AA160">
        <f>HYPERLINK("https://klasma.github.io/Logging_0581/klagomål/A 31325-2026 FSC-klagomål.docx", "A 31325-2026")</f>
        <v/>
      </c>
      <c r="AB160">
        <f>HYPERLINK("https://klasma.github.io/Logging_0581/klagomålsmail/A 31325-2026 FSC-klagomål mail.docx", "A 31325-2026")</f>
        <v/>
      </c>
      <c r="AC160">
        <f>HYPERLINK("https://klasma.github.io/Logging_0581/tillsyn/A 31325-2026 tillsynsbegäran.docx", "A 31325-2026")</f>
        <v/>
      </c>
      <c r="AD160">
        <f>HYPERLINK("https://klasma.github.io/Logging_0581/tillsynsmail/A 31325-2026 tillsynsbegäran mail.docx", "A 31325-2026")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46257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25707-2026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46257</v>
      </c>
      <c r="F162" t="inlineStr">
        <is>
          <t>ÖSTERGÖTLANDS LÄN</t>
        </is>
      </c>
      <c r="G162" t="inlineStr">
        <is>
          <t>NORRKÖPING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Tallticka</t>
        </is>
      </c>
      <c r="W162">
        <f>HYPERLINK("https://klasma.github.io/Logging_0581/artfynd/A 25707-2026 artfynd.xlsx", "A 25707-2026")</f>
        <v/>
      </c>
      <c r="X162">
        <f>HYPERLINK("https://klasma.github.io/Logging_0581/kartor/A 25707-2026 karta.png", "A 25707-2026")</f>
        <v/>
      </c>
      <c r="Y162">
        <f>HYPERLINK("https://klasma.github.io/Logging_0581/kartor_geotiff/A 25707-2026 georefererad karta.tif", "A 25707-2026")</f>
        <v/>
      </c>
      <c r="AA162">
        <f>HYPERLINK("https://klasma.github.io/Logging_0581/klagomål/A 25707-2026 FSC-klagomål.docx", "A 25707-2026")</f>
        <v/>
      </c>
      <c r="AB162">
        <f>HYPERLINK("https://klasma.github.io/Logging_0581/klagomålsmail/A 25707-2026 FSC-klagomål mail.docx", "A 25707-2026")</f>
        <v/>
      </c>
      <c r="AC162">
        <f>HYPERLINK("https://klasma.github.io/Logging_0581/tillsyn/A 25707-2026 tillsynsbegäran.docx", "A 25707-2026")</f>
        <v/>
      </c>
      <c r="AD162">
        <f>HYPERLINK("https://klasma.github.io/Logging_0581/tillsynsmail/A 25707-2026 tillsynsbegäran mail.docx", "A 25707-2026")</f>
        <v/>
      </c>
    </row>
    <row r="163" ht="15" customHeight="1">
      <c r="A163" t="inlineStr">
        <is>
          <t>A 11126-2026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46257</v>
      </c>
      <c r="F163" t="inlineStr">
        <is>
          <t>ÖSTERGÖTLANDS LÄN</t>
        </is>
      </c>
      <c r="G163" t="inlineStr">
        <is>
          <t>NORRKÖPING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Svinrot</t>
        </is>
      </c>
      <c r="W163">
        <f>HYPERLINK("https://klasma.github.io/Logging_0581/artfynd/A 11126-2026 artfynd.xlsx", "A 11126-2026")</f>
        <v/>
      </c>
      <c r="X163">
        <f>HYPERLINK("https://klasma.github.io/Logging_0581/kartor/A 11126-2026 karta.png", "A 11126-2026")</f>
        <v/>
      </c>
      <c r="Y163">
        <f>HYPERLINK("https://klasma.github.io/Logging_0581/kartor_geotiff/A 11126-2026 georefererad karta.tif", "A 11126-2026")</f>
        <v/>
      </c>
      <c r="AA163">
        <f>HYPERLINK("https://klasma.github.io/Logging_0581/klagomål/A 11126-2026 FSC-klagomål.docx", "A 11126-2026")</f>
        <v/>
      </c>
      <c r="AB163">
        <f>HYPERLINK("https://klasma.github.io/Logging_0581/klagomålsmail/A 11126-2026 FSC-klagomål mail.docx", "A 11126-2026")</f>
        <v/>
      </c>
      <c r="AC163">
        <f>HYPERLINK("https://klasma.github.io/Logging_0581/tillsyn/A 11126-2026 tillsynsbegäran.docx", "A 11126-2026")</f>
        <v/>
      </c>
      <c r="AD163">
        <f>HYPERLINK("https://klasma.github.io/Logging_0581/tillsynsmail/A 11126-2026 tillsynsbegäran mail.docx", "A 11126-2026")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46257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11714-2026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46257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Gulsparv</t>
        </is>
      </c>
      <c r="W165">
        <f>HYPERLINK("https://klasma.github.io/Logging_0581/artfynd/A 11714-2026 artfynd.xlsx", "A 11714-2026")</f>
        <v/>
      </c>
      <c r="X165">
        <f>HYPERLINK("https://klasma.github.io/Logging_0581/kartor/A 11714-2026 karta.png", "A 11714-2026")</f>
        <v/>
      </c>
      <c r="Y165">
        <f>HYPERLINK("https://klasma.github.io/Logging_0581/kartor_geotiff/A 11714-2026 georefererad karta.tif", "A 11714-2026")</f>
        <v/>
      </c>
      <c r="AA165">
        <f>HYPERLINK("https://klasma.github.io/Logging_0581/klagomål/A 11714-2026 FSC-klagomål.docx", "A 11714-2026")</f>
        <v/>
      </c>
      <c r="AB165">
        <f>HYPERLINK("https://klasma.github.io/Logging_0581/klagomålsmail/A 11714-2026 FSC-klagomål mail.docx", "A 11714-2026")</f>
        <v/>
      </c>
      <c r="AC165">
        <f>HYPERLINK("https://klasma.github.io/Logging_0581/tillsyn/A 11714-2026 tillsynsbegäran.docx", "A 11714-2026")</f>
        <v/>
      </c>
      <c r="AD165">
        <f>HYPERLINK("https://klasma.github.io/Logging_0581/tillsynsmail/A 11714-2026 tillsynsbegäran mail.docx", "A 11714-2026")</f>
        <v/>
      </c>
      <c r="AE165">
        <f>HYPERLINK("https://klasma.github.io/Logging_0581/fåglar/A 11714-2026 prioriterade fågelarter.docx", "A 11714-2026")</f>
        <v/>
      </c>
    </row>
    <row r="166" ht="15" customHeight="1">
      <c r="A166" t="inlineStr">
        <is>
          <t>A 12279-2026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46257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6.9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Lopplummer (aggregat)</t>
        </is>
      </c>
      <c r="W166">
        <f>HYPERLINK("https://klasma.github.io/Logging_0581/artfynd/A 12279-2026 artfynd.xlsx", "A 12279-2026")</f>
        <v/>
      </c>
      <c r="X166">
        <f>HYPERLINK("https://klasma.github.io/Logging_0581/kartor/A 12279-2026 karta.png", "A 12279-2026")</f>
        <v/>
      </c>
      <c r="Y166">
        <f>HYPERLINK("https://klasma.github.io/Logging_0581/kartor_geotiff/A 12279-2026 georefererad karta.tif", "A 12279-2026")</f>
        <v/>
      </c>
      <c r="AA166">
        <f>HYPERLINK("https://klasma.github.io/Logging_0581/klagomål/A 12279-2026 FSC-klagomål.docx", "A 12279-2026")</f>
        <v/>
      </c>
      <c r="AB166">
        <f>HYPERLINK("https://klasma.github.io/Logging_0581/klagomålsmail/A 12279-2026 FSC-klagomål mail.docx", "A 12279-2026")</f>
        <v/>
      </c>
      <c r="AC166">
        <f>HYPERLINK("https://klasma.github.io/Logging_0581/tillsyn/A 12279-2026 tillsynsbegäran.docx", "A 12279-2026")</f>
        <v/>
      </c>
      <c r="AD166">
        <f>HYPERLINK("https://klasma.github.io/Logging_0581/tillsynsmail/A 12279-2026 tillsynsbegäran mail.docx", "A 12279-2026")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46257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16610-2024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46257</v>
      </c>
      <c r="F168" t="inlineStr">
        <is>
          <t>ÖSTERGÖTLANDS LÄN</t>
        </is>
      </c>
      <c r="G168" t="inlineStr">
        <is>
          <t>NORRKÖPING</t>
        </is>
      </c>
      <c r="I168" t="n">
        <v>5.8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Knärot</t>
        </is>
      </c>
      <c r="W168">
        <f>HYPERLINK("https://klasma.github.io/Logging_0581/artfynd/A 16610-2024 artfynd.xlsx", "A 16610-2024")</f>
        <v/>
      </c>
      <c r="X168">
        <f>HYPERLINK("https://klasma.github.io/Logging_0581/kartor/A 16610-2024 karta.png", "A 16610-2024")</f>
        <v/>
      </c>
      <c r="Y168">
        <f>HYPERLINK("https://klasma.github.io/Logging_0581/kartor_geotiff/A 16610-2024 georefererad karta.tif", "A 16610-2024")</f>
        <v/>
      </c>
      <c r="Z168">
        <f>HYPERLINK("https://klasma.github.io/Logging_0581/knärot/A 16610-2024 karta knärot.png", "A 16610-2024")</f>
        <v/>
      </c>
      <c r="AA168">
        <f>HYPERLINK("https://klasma.github.io/Logging_0581/klagomål/A 16610-2024 FSC-klagomål.docx", "A 16610-2024")</f>
        <v/>
      </c>
      <c r="AB168">
        <f>HYPERLINK("https://klasma.github.io/Logging_0581/klagomålsmail/A 16610-2024 FSC-klagomål mail.docx", "A 16610-2024")</f>
        <v/>
      </c>
      <c r="AC168">
        <f>HYPERLINK("https://klasma.github.io/Logging_0581/tillsyn/A 16610-2024 tillsynsbegäran.docx", "A 16610-2024")</f>
        <v/>
      </c>
      <c r="AD168">
        <f>HYPERLINK("https://klasma.github.io/Logging_0581/tillsynsmail/A 16610-2024 tillsynsbegäran mail.docx", "A 16610-2024")</f>
        <v/>
      </c>
    </row>
    <row r="169" ht="15" customHeight="1">
      <c r="A169" t="inlineStr">
        <is>
          <t>A 32815-2026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46257</v>
      </c>
      <c r="F169" t="inlineStr">
        <is>
          <t>ÖSTERGÖTLANDS LÄN</t>
        </is>
      </c>
      <c r="G169" t="inlineStr">
        <is>
          <t>NORRKÖPING</t>
        </is>
      </c>
      <c r="I169" t="n">
        <v>2.2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Ärtsångare</t>
        </is>
      </c>
      <c r="W169">
        <f>HYPERLINK("https://klasma.github.io/Logging_0581/artfynd/A 32815-2026 artfynd.xlsx", "A 32815-2026")</f>
        <v/>
      </c>
      <c r="X169">
        <f>HYPERLINK("https://klasma.github.io/Logging_0581/kartor/A 32815-2026 karta.png", "A 32815-2026")</f>
        <v/>
      </c>
      <c r="Y169">
        <f>HYPERLINK("https://klasma.github.io/Logging_0581/kartor_geotiff/A 32815-2026 georefererad karta.tif", "A 32815-2026")</f>
        <v/>
      </c>
      <c r="AA169">
        <f>HYPERLINK("https://klasma.github.io/Logging_0581/klagomål/A 32815-2026 FSC-klagomål.docx", "A 32815-2026")</f>
        <v/>
      </c>
      <c r="AB169">
        <f>HYPERLINK("https://klasma.github.io/Logging_0581/klagomålsmail/A 32815-2026 FSC-klagomål mail.docx", "A 32815-2026")</f>
        <v/>
      </c>
      <c r="AC169">
        <f>HYPERLINK("https://klasma.github.io/Logging_0581/tillsyn/A 32815-2026 tillsynsbegäran.docx", "A 32815-2026")</f>
        <v/>
      </c>
      <c r="AD169">
        <f>HYPERLINK("https://klasma.github.io/Logging_0581/tillsynsmail/A 32815-2026 tillsynsbegäran mail.docx", "A 32815-2026")</f>
        <v/>
      </c>
    </row>
    <row r="170" ht="15" customHeight="1">
      <c r="A170" t="inlineStr">
        <is>
          <t>A 29202-2026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46257</v>
      </c>
      <c r="F170" t="inlineStr">
        <is>
          <t>ÖSTERGÖTLANDS LÄN</t>
        </is>
      </c>
      <c r="G170" t="inlineStr">
        <is>
          <t>NORRKÖPING</t>
        </is>
      </c>
      <c r="I170" t="n">
        <v>2.5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Tibast</t>
        </is>
      </c>
      <c r="W170">
        <f>HYPERLINK("https://klasma.github.io/Logging_0581/artfynd/A 29202-2026 artfynd.xlsx", "A 29202-2026")</f>
        <v/>
      </c>
      <c r="X170">
        <f>HYPERLINK("https://klasma.github.io/Logging_0581/kartor/A 29202-2026 karta.png", "A 29202-2026")</f>
        <v/>
      </c>
      <c r="Y170">
        <f>HYPERLINK("https://klasma.github.io/Logging_0581/kartor_geotiff/A 29202-2026 georefererad karta.tif", "A 29202-2026")</f>
        <v/>
      </c>
      <c r="AA170">
        <f>HYPERLINK("https://klasma.github.io/Logging_0581/klagomål/A 29202-2026 FSC-klagomål.docx", "A 29202-2026")</f>
        <v/>
      </c>
      <c r="AB170">
        <f>HYPERLINK("https://klasma.github.io/Logging_0581/klagomålsmail/A 29202-2026 FSC-klagomål mail.docx", "A 29202-2026")</f>
        <v/>
      </c>
      <c r="AC170">
        <f>HYPERLINK("https://klasma.github.io/Logging_0581/tillsyn/A 29202-2026 tillsynsbegäran.docx", "A 29202-2026")</f>
        <v/>
      </c>
      <c r="AD170">
        <f>HYPERLINK("https://klasma.github.io/Logging_0581/tillsynsmail/A 29202-2026 tillsynsbegäran mail.docx", "A 29202-2026")</f>
        <v/>
      </c>
    </row>
    <row r="171" ht="15" customHeight="1">
      <c r="A171" t="inlineStr">
        <is>
          <t>A 12145-2024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46257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10.4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Gullgröppa</t>
        </is>
      </c>
      <c r="W171">
        <f>HYPERLINK("https://klasma.github.io/Logging_0581/artfynd/A 12145-2024 artfynd.xlsx", "A 12145-2024")</f>
        <v/>
      </c>
      <c r="X171">
        <f>HYPERLINK("https://klasma.github.io/Logging_0581/kartor/A 12145-2024 karta.png", "A 12145-2024")</f>
        <v/>
      </c>
      <c r="Y171">
        <f>HYPERLINK("https://klasma.github.io/Logging_0581/kartor_geotiff/A 12145-2024 georefererad karta.tif", "A 12145-2024")</f>
        <v/>
      </c>
      <c r="AA171">
        <f>HYPERLINK("https://klasma.github.io/Logging_0581/klagomål/A 12145-2024 FSC-klagomål.docx", "A 12145-2024")</f>
        <v/>
      </c>
      <c r="AB171">
        <f>HYPERLINK("https://klasma.github.io/Logging_0581/klagomålsmail/A 12145-2024 FSC-klagomål mail.docx", "A 12145-2024")</f>
        <v/>
      </c>
      <c r="AC171">
        <f>HYPERLINK("https://klasma.github.io/Logging_0581/tillsyn/A 12145-2024 tillsynsbegäran.docx", "A 12145-2024")</f>
        <v/>
      </c>
      <c r="AD171">
        <f>HYPERLINK("https://klasma.github.io/Logging_0581/tillsynsmail/A 12145-2024 tillsynsbegäran mail.docx", "A 12145-2024")</f>
        <v/>
      </c>
    </row>
    <row r="172" ht="15" customHeight="1">
      <c r="A172" t="inlineStr">
        <is>
          <t>A 20170-2026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46257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Igelkott</t>
        </is>
      </c>
      <c r="W172">
        <f>HYPERLINK("https://klasma.github.io/Logging_0581/artfynd/A 20170-2026 artfynd.xlsx", "A 20170-2026")</f>
        <v/>
      </c>
      <c r="X172">
        <f>HYPERLINK("https://klasma.github.io/Logging_0581/kartor/A 20170-2026 karta.png", "A 20170-2026")</f>
        <v/>
      </c>
      <c r="Y172">
        <f>HYPERLINK("https://klasma.github.io/Logging_0581/kartor_geotiff/A 20170-2026 georefererad karta.tif", "A 20170-2026")</f>
        <v/>
      </c>
      <c r="AA172">
        <f>HYPERLINK("https://klasma.github.io/Logging_0581/klagomål/A 20170-2026 FSC-klagomål.docx", "A 20170-2026")</f>
        <v/>
      </c>
      <c r="AB172">
        <f>HYPERLINK("https://klasma.github.io/Logging_0581/klagomålsmail/A 20170-2026 FSC-klagomål mail.docx", "A 20170-2026")</f>
        <v/>
      </c>
      <c r="AC172">
        <f>HYPERLINK("https://klasma.github.io/Logging_0581/tillsyn/A 20170-2026 tillsynsbegäran.docx", "A 20170-2026")</f>
        <v/>
      </c>
      <c r="AD172">
        <f>HYPERLINK("https://klasma.github.io/Logging_0581/tillsynsmail/A 20170-2026 tillsynsbegäran mail.docx", "A 20170-2026")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46257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58711-2023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46257</v>
      </c>
      <c r="F174" t="inlineStr">
        <is>
          <t>ÖSTERGÖTLANDS LÄN</t>
        </is>
      </c>
      <c r="G174" t="inlineStr">
        <is>
          <t>NORRKÖPING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58711-2023 artfynd.xlsx", "A 58711-2023")</f>
        <v/>
      </c>
      <c r="X174">
        <f>HYPERLINK("https://klasma.github.io/Logging_0581/kartor/A 58711-2023 karta.png", "A 58711-2023")</f>
        <v/>
      </c>
      <c r="Y174">
        <f>HYPERLINK("https://klasma.github.io/Logging_0581/kartor_geotiff/A 58711-2023 georefererad karta.tif", "A 58711-2023")</f>
        <v/>
      </c>
      <c r="AA174">
        <f>HYPERLINK("https://klasma.github.io/Logging_0581/klagomål/A 58711-2023 FSC-klagomål.docx", "A 58711-2023")</f>
        <v/>
      </c>
      <c r="AB174">
        <f>HYPERLINK("https://klasma.github.io/Logging_0581/klagomålsmail/A 58711-2023 FSC-klagomål mail.docx", "A 58711-2023")</f>
        <v/>
      </c>
      <c r="AC174">
        <f>HYPERLINK("https://klasma.github.io/Logging_0581/tillsyn/A 58711-2023 tillsynsbegäran.docx", "A 58711-2023")</f>
        <v/>
      </c>
      <c r="AD174">
        <f>HYPERLINK("https://klasma.github.io/Logging_0581/tillsynsmail/A 58711-2023 tillsynsbegäran mail.docx", "A 58711-2023")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46257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A 23627-2026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46257</v>
      </c>
      <c r="F176" t="inlineStr">
        <is>
          <t>ÖSTERGÖTLANDS LÄN</t>
        </is>
      </c>
      <c r="G176" t="inlineStr">
        <is>
          <t>NORRKÖPING</t>
        </is>
      </c>
      <c r="I176" t="n">
        <v>4.1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Ekoxe</t>
        </is>
      </c>
      <c r="W176">
        <f>HYPERLINK("https://klasma.github.io/Logging_0581/artfynd/A 23627-2026 artfynd.xlsx", "A 23627-2026")</f>
        <v/>
      </c>
      <c r="X176">
        <f>HYPERLINK("https://klasma.github.io/Logging_0581/kartor/A 23627-2026 karta.png", "A 23627-2026")</f>
        <v/>
      </c>
      <c r="Y176">
        <f>HYPERLINK("https://klasma.github.io/Logging_0581/kartor_geotiff/A 23627-2026 georefererad karta.tif", "A 23627-2026")</f>
        <v/>
      </c>
      <c r="AA176">
        <f>HYPERLINK("https://klasma.github.io/Logging_0581/klagomål/A 23627-2026 FSC-klagomål.docx", "A 23627-2026")</f>
        <v/>
      </c>
      <c r="AB176">
        <f>HYPERLINK("https://klasma.github.io/Logging_0581/klagomålsmail/A 23627-2026 FSC-klagomål mail.docx", "A 23627-2026")</f>
        <v/>
      </c>
      <c r="AC176">
        <f>HYPERLINK("https://klasma.github.io/Logging_0581/tillsyn/A 23627-2026 tillsynsbegäran.docx", "A 23627-2026")</f>
        <v/>
      </c>
      <c r="AD176">
        <f>HYPERLINK("https://klasma.github.io/Logging_0581/tillsynsmail/A 23627-2026 tillsynsbegäran mail.docx", "A 23627-2026")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46257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46257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46257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46257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46257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46257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46257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46257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46257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46257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46257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46257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46257</v>
      </c>
      <c r="F189" t="inlineStr">
        <is>
          <t>ÖSTERGÖTLANDS LÄN</t>
        </is>
      </c>
      <c r="G189" t="inlineStr">
        <is>
          <t>NORRKÖPING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46257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46257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46257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46257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46257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46257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46257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46257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46257</v>
      </c>
      <c r="F198" t="inlineStr">
        <is>
          <t>ÖSTERGÖTLANDS LÄN</t>
        </is>
      </c>
      <c r="G198" t="inlineStr">
        <is>
          <t>NORRKÖPING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46257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46257</v>
      </c>
      <c r="F200" t="inlineStr">
        <is>
          <t>ÖSTERGÖTLANDS LÄN</t>
        </is>
      </c>
      <c r="G200" t="inlineStr">
        <is>
          <t>NORRKÖPING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46257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46257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46257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46257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46257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46257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46257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46257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46257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46257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46257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46257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46257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46257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46257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46257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46257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46257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46257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46257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46257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46257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46257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46257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46257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46257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46257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46257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46257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46257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46257</v>
      </c>
      <c r="F231" t="inlineStr">
        <is>
          <t>ÖSTERGÖTLANDS LÄN</t>
        </is>
      </c>
      <c r="G231" t="inlineStr">
        <is>
          <t>NORRKÖPING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46257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48591-2021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44452</v>
      </c>
      <c r="E233" s="1" t="n">
        <v>46257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46257</v>
      </c>
      <c r="F234" t="inlineStr">
        <is>
          <t>ÖSTERGÖTLANDS LÄN</t>
        </is>
      </c>
      <c r="G234" t="inlineStr">
        <is>
          <t>NORRKÖPING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45408</v>
      </c>
      <c r="E235" s="1" t="n">
        <v>46257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45769</v>
      </c>
      <c r="E236" s="1" t="n">
        <v>46257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46257</v>
      </c>
      <c r="F237" t="inlineStr">
        <is>
          <t>ÖSTERGÖTLANDS LÄN</t>
        </is>
      </c>
      <c r="G237" t="inlineStr">
        <is>
          <t>NORRKÖPING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46257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44923</v>
      </c>
      <c r="E239" s="1" t="n">
        <v>46257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46257</v>
      </c>
      <c r="F240" t="inlineStr">
        <is>
          <t>ÖSTERGÖTLANDS LÄN</t>
        </is>
      </c>
      <c r="G240" t="inlineStr">
        <is>
          <t>NORRKÖPING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44726</v>
      </c>
      <c r="E241" s="1" t="n">
        <v>46257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Allmännings- och besparingsskogar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46257</v>
      </c>
      <c r="F242" t="inlineStr">
        <is>
          <t>ÖSTERGÖTLANDS LÄN</t>
        </is>
      </c>
      <c r="G242" t="inlineStr">
        <is>
          <t>NORRKÖPING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46257</v>
      </c>
      <c r="F243" t="inlineStr">
        <is>
          <t>ÖSTERGÖTLANDS LÄN</t>
        </is>
      </c>
      <c r="G243" t="inlineStr">
        <is>
          <t>NORRKÖPING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46257</v>
      </c>
      <c r="F244" t="inlineStr">
        <is>
          <t>ÖSTERGÖTLANDS LÄN</t>
        </is>
      </c>
      <c r="G244" t="inlineStr">
        <is>
          <t>NORRKÖPING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45762</v>
      </c>
      <c r="E245" s="1" t="n">
        <v>46257</v>
      </c>
      <c r="F245" t="inlineStr">
        <is>
          <t>ÖSTERGÖTLANDS LÄN</t>
        </is>
      </c>
      <c r="G245" t="inlineStr">
        <is>
          <t>NORRKÖPING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58093-2021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46257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46257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44596</v>
      </c>
      <c r="E248" s="1" t="n">
        <v>46257</v>
      </c>
      <c r="F248" t="inlineStr">
        <is>
          <t>ÖSTERGÖTLANDS LÄN</t>
        </is>
      </c>
      <c r="G248" t="inlineStr">
        <is>
          <t>NORRKÖPING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46257</v>
      </c>
      <c r="F249" t="inlineStr">
        <is>
          <t>ÖSTERGÖTLANDS LÄN</t>
        </is>
      </c>
      <c r="G249" t="inlineStr">
        <is>
          <t>NORRKÖPING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53444-2021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44468</v>
      </c>
      <c r="E250" s="1" t="n">
        <v>46257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46257</v>
      </c>
      <c r="F251" t="inlineStr">
        <is>
          <t>ÖSTERGÖTLANDS LÄN</t>
        </is>
      </c>
      <c r="G251" t="inlineStr">
        <is>
          <t>NORRKÖPING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46257</v>
      </c>
      <c r="F252" t="inlineStr">
        <is>
          <t>ÖSTERGÖTLANDS LÄN</t>
        </is>
      </c>
      <c r="G252" t="inlineStr">
        <is>
          <t>NORRKÖPING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46257</v>
      </c>
      <c r="F253" t="inlineStr">
        <is>
          <t>ÖSTERGÖTLANDS LÄN</t>
        </is>
      </c>
      <c r="G253" t="inlineStr">
        <is>
          <t>NORRKÖPING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46257</v>
      </c>
      <c r="F254" t="inlineStr">
        <is>
          <t>ÖSTERGÖTLANDS LÄN</t>
        </is>
      </c>
      <c r="G254" t="inlineStr">
        <is>
          <t>NORRKÖPING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50157-2022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44865</v>
      </c>
      <c r="E255" s="1" t="n">
        <v>46257</v>
      </c>
      <c r="F255" t="inlineStr">
        <is>
          <t>ÖSTERGÖTLANDS LÄN</t>
        </is>
      </c>
      <c r="G255" t="inlineStr">
        <is>
          <t>NORRKÖPING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44630</v>
      </c>
      <c r="E256" s="1" t="n">
        <v>46257</v>
      </c>
      <c r="F256" t="inlineStr">
        <is>
          <t>ÖSTERGÖTLANDS LÄN</t>
        </is>
      </c>
      <c r="G256" t="inlineStr">
        <is>
          <t>NORRKÖPING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46257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45362-2021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44439</v>
      </c>
      <c r="E258" s="1" t="n">
        <v>46257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Allmännings- och besparingsskogar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46257</v>
      </c>
      <c r="F259" t="inlineStr">
        <is>
          <t>ÖSTERGÖTLANDS LÄN</t>
        </is>
      </c>
      <c r="G259" t="inlineStr">
        <is>
          <t>NORRKÖPING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46257</v>
      </c>
      <c r="F260" t="inlineStr">
        <is>
          <t>ÖSTERGÖTLANDS LÄN</t>
        </is>
      </c>
      <c r="G260" t="inlineStr">
        <is>
          <t>NORRKÖPING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46580-2021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44445</v>
      </c>
      <c r="E261" s="1" t="n">
        <v>46257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50117-2023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46257</v>
      </c>
      <c r="F262" t="inlineStr">
        <is>
          <t>ÖSTERGÖTLANDS LÄN</t>
        </is>
      </c>
      <c r="G262" t="inlineStr">
        <is>
          <t>NORRKÖPING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46257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44869</v>
      </c>
      <c r="E264" s="1" t="n">
        <v>46257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46257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46257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46257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46257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46257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Naturvårdsverket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46257</v>
      </c>
      <c r="F270" t="inlineStr">
        <is>
          <t>ÖSTERGÖTLANDS LÄN</t>
        </is>
      </c>
      <c r="G270" t="inlineStr">
        <is>
          <t>NORRKÖPING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46257</v>
      </c>
      <c r="F271" t="inlineStr">
        <is>
          <t>ÖSTERGÖTLANDS LÄN</t>
        </is>
      </c>
      <c r="G271" t="inlineStr">
        <is>
          <t>NORRKÖPING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46257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44651</v>
      </c>
      <c r="E273" s="1" t="n">
        <v>46257</v>
      </c>
      <c r="F273" t="inlineStr">
        <is>
          <t>ÖSTERGÖTLANDS LÄN</t>
        </is>
      </c>
      <c r="G273" t="inlineStr">
        <is>
          <t>NORRKÖPING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45215</v>
      </c>
      <c r="E274" s="1" t="n">
        <v>46257</v>
      </c>
      <c r="F274" t="inlineStr">
        <is>
          <t>ÖSTERGÖTLANDS LÄN</t>
        </is>
      </c>
      <c r="G274" t="inlineStr">
        <is>
          <t>NORRKÖPING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31850-2023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45106</v>
      </c>
      <c r="E275" s="1" t="n">
        <v>46257</v>
      </c>
      <c r="F275" t="inlineStr">
        <is>
          <t>ÖSTERGÖTLANDS LÄN</t>
        </is>
      </c>
      <c r="G275" t="inlineStr">
        <is>
          <t>NORRKÖPING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44957</v>
      </c>
      <c r="E276" s="1" t="n">
        <v>46257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46257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45141</v>
      </c>
      <c r="E278" s="1" t="n">
        <v>46257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Allmännings- och besparingsskogar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46257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46257</v>
      </c>
      <c r="F280" t="inlineStr">
        <is>
          <t>ÖSTERGÖTLANDS LÄN</t>
        </is>
      </c>
      <c r="G280" t="inlineStr">
        <is>
          <t>NORRKÖPING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46257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44826</v>
      </c>
      <c r="E282" s="1" t="n">
        <v>46257</v>
      </c>
      <c r="F282" t="inlineStr">
        <is>
          <t>ÖSTERGÖTLANDS LÄN</t>
        </is>
      </c>
      <c r="G282" t="inlineStr">
        <is>
          <t>NORRKÖPING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46257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46257</v>
      </c>
      <c r="F284" t="inlineStr">
        <is>
          <t>ÖSTERGÖTLANDS LÄN</t>
        </is>
      </c>
      <c r="G284" t="inlineStr">
        <is>
          <t>NORRKÖPING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46257</v>
      </c>
      <c r="F285" t="inlineStr">
        <is>
          <t>ÖSTERGÖTLANDS LÄN</t>
        </is>
      </c>
      <c r="G285" t="inlineStr">
        <is>
          <t>NORRKÖPING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46257</v>
      </c>
      <c r="F286" t="inlineStr">
        <is>
          <t>ÖSTERGÖTLANDS LÄN</t>
        </is>
      </c>
      <c r="G286" t="inlineStr">
        <is>
          <t>NORRKÖPING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46257</v>
      </c>
      <c r="F287" t="inlineStr">
        <is>
          <t>ÖSTERGÖTLANDS LÄN</t>
        </is>
      </c>
      <c r="G287" t="inlineStr">
        <is>
          <t>NORRKÖPING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46257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46257</v>
      </c>
      <c r="F289" t="inlineStr">
        <is>
          <t>ÖSTERGÖTLANDS LÄN</t>
        </is>
      </c>
      <c r="G289" t="inlineStr">
        <is>
          <t>NORRKÖPING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45006</v>
      </c>
      <c r="E290" s="1" t="n">
        <v>46257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46257</v>
      </c>
      <c r="F291" t="inlineStr">
        <is>
          <t>ÖSTERGÖTLANDS LÄN</t>
        </is>
      </c>
      <c r="G291" t="inlineStr">
        <is>
          <t>NORRKÖPING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46257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Allmännings- och besparingsskogar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45903</v>
      </c>
      <c r="E293" s="1" t="n">
        <v>46257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45820</v>
      </c>
      <c r="E294" s="1" t="n">
        <v>46257</v>
      </c>
      <c r="F294" t="inlineStr">
        <is>
          <t>ÖSTERGÖTLANDS LÄN</t>
        </is>
      </c>
      <c r="G294" t="inlineStr">
        <is>
          <t>NORRKÖPING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46257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45118</v>
      </c>
      <c r="E296" s="1" t="n">
        <v>46257</v>
      </c>
      <c r="F296" t="inlineStr">
        <is>
          <t>ÖSTERGÖTLANDS LÄN</t>
        </is>
      </c>
      <c r="G296" t="inlineStr">
        <is>
          <t>NORRKÖPING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45386</v>
      </c>
      <c r="E297" s="1" t="n">
        <v>46257</v>
      </c>
      <c r="F297" t="inlineStr">
        <is>
          <t>ÖSTERGÖTLANDS LÄN</t>
        </is>
      </c>
      <c r="G297" t="inlineStr">
        <is>
          <t>NORRKÖPING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46257</v>
      </c>
      <c r="F298" t="inlineStr">
        <is>
          <t>ÖSTERGÖTLANDS LÄN</t>
        </is>
      </c>
      <c r="G298" t="inlineStr">
        <is>
          <t>NORRKÖPING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46257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46257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46257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Allmännings- och besparingsskogar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64898-2021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44512</v>
      </c>
      <c r="E302" s="1" t="n">
        <v>46257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46257</v>
      </c>
      <c r="F303" t="inlineStr">
        <is>
          <t>ÖSTERGÖTLANDS LÄN</t>
        </is>
      </c>
      <c r="G303" t="inlineStr">
        <is>
          <t>NORRKÖPING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32630-2022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44783</v>
      </c>
      <c r="E304" s="1" t="n">
        <v>46257</v>
      </c>
      <c r="F304" t="inlineStr">
        <is>
          <t>ÖSTERGÖTLANDS LÄN</t>
        </is>
      </c>
      <c r="G304" t="inlineStr">
        <is>
          <t>NORRKÖPING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46257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46257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45386</v>
      </c>
      <c r="E307" s="1" t="n">
        <v>46257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46257</v>
      </c>
      <c r="F308" t="inlineStr">
        <is>
          <t>ÖSTERGÖTLANDS LÄN</t>
        </is>
      </c>
      <c r="G308" t="inlineStr">
        <is>
          <t>NORRKÖPING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43773-2021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44433</v>
      </c>
      <c r="E309" s="1" t="n">
        <v>46257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45030</v>
      </c>
      <c r="E310" s="1" t="n">
        <v>46257</v>
      </c>
      <c r="F310" t="inlineStr">
        <is>
          <t>ÖSTERGÖTLANDS LÄN</t>
        </is>
      </c>
      <c r="G310" t="inlineStr">
        <is>
          <t>NORRKÖPING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2021-2023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44939</v>
      </c>
      <c r="E311" s="1" t="n">
        <v>46257</v>
      </c>
      <c r="F311" t="inlineStr">
        <is>
          <t>ÖSTERGÖTLANDS LÄN</t>
        </is>
      </c>
      <c r="G311" t="inlineStr">
        <is>
          <t>NORRKÖPING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46257</v>
      </c>
      <c r="F312" t="inlineStr">
        <is>
          <t>ÖSTERGÖTLANDS LÄN</t>
        </is>
      </c>
      <c r="G312" t="inlineStr">
        <is>
          <t>NORRKÖPING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46257</v>
      </c>
      <c r="F313" t="inlineStr">
        <is>
          <t>ÖSTERGÖTLANDS LÄN</t>
        </is>
      </c>
      <c r="G313" t="inlineStr">
        <is>
          <t>NORRKÖPING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45093</v>
      </c>
      <c r="E314" s="1" t="n">
        <v>46257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Allmännings- och besparingsskogar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46257</v>
      </c>
      <c r="F315" t="inlineStr">
        <is>
          <t>ÖSTERGÖTLANDS LÄN</t>
        </is>
      </c>
      <c r="G315" t="inlineStr">
        <is>
          <t>NORRKÖPING</t>
        </is>
      </c>
      <c r="I315" t="n">
        <v>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46257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46257</v>
      </c>
      <c r="F317" t="inlineStr">
        <is>
          <t>ÖSTERGÖTLANDS LÄN</t>
        </is>
      </c>
      <c r="G317" t="inlineStr">
        <is>
          <t>NORRKÖPING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46257</v>
      </c>
      <c r="F318" t="inlineStr">
        <is>
          <t>ÖSTERGÖTLANDS LÄN</t>
        </is>
      </c>
      <c r="G318" t="inlineStr">
        <is>
          <t>NORRKÖPING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45832</v>
      </c>
      <c r="E319" s="1" t="n">
        <v>46257</v>
      </c>
      <c r="F319" t="inlineStr">
        <is>
          <t>ÖSTERGÖTLANDS LÄN</t>
        </is>
      </c>
      <c r="G319" t="inlineStr">
        <is>
          <t>NORRKÖPING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46257</v>
      </c>
      <c r="F320" t="inlineStr">
        <is>
          <t>ÖSTERGÖTLANDS LÄN</t>
        </is>
      </c>
      <c r="G320" t="inlineStr">
        <is>
          <t>NORRKÖPING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46257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46257</v>
      </c>
      <c r="F322" t="inlineStr">
        <is>
          <t>ÖSTERGÖTLANDS LÄN</t>
        </is>
      </c>
      <c r="G322" t="inlineStr">
        <is>
          <t>NORRKÖPING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45709</v>
      </c>
      <c r="E323" s="1" t="n">
        <v>46257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46257</v>
      </c>
      <c r="F324" t="inlineStr">
        <is>
          <t>ÖSTERGÖTLANDS LÄN</t>
        </is>
      </c>
      <c r="G324" t="inlineStr">
        <is>
          <t>NORRKÖPING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46257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46257</v>
      </c>
      <c r="F326" t="inlineStr">
        <is>
          <t>ÖSTERGÖTLANDS LÄN</t>
        </is>
      </c>
      <c r="G326" t="inlineStr">
        <is>
          <t>NORRKÖPING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46257</v>
      </c>
      <c r="F327" t="inlineStr">
        <is>
          <t>ÖSTERGÖTLANDS LÄN</t>
        </is>
      </c>
      <c r="G327" t="inlineStr">
        <is>
          <t>NORRKÖPING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50960-2022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46257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Allmännings- och besparingsskogar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46257</v>
      </c>
      <c r="F329" t="inlineStr">
        <is>
          <t>ÖSTERGÖTLANDS LÄN</t>
        </is>
      </c>
      <c r="G329" t="inlineStr">
        <is>
          <t>NORRKÖPING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45373</v>
      </c>
      <c r="E330" s="1" t="n">
        <v>46257</v>
      </c>
      <c r="F330" t="inlineStr">
        <is>
          <t>ÖSTERGÖTLANDS LÄN</t>
        </is>
      </c>
      <c r="G330" t="inlineStr">
        <is>
          <t>NORRKÖPING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46257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45016</v>
      </c>
      <c r="E332" s="1" t="n">
        <v>46257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46257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46257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45254</v>
      </c>
      <c r="E335" s="1" t="n">
        <v>46257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46257</v>
      </c>
      <c r="F336" t="inlineStr">
        <is>
          <t>ÖSTERGÖTLANDS LÄN</t>
        </is>
      </c>
      <c r="G336" t="inlineStr">
        <is>
          <t>NORRKÖPING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44998</v>
      </c>
      <c r="E337" s="1" t="n">
        <v>46257</v>
      </c>
      <c r="F337" t="inlineStr">
        <is>
          <t>ÖSTERGÖTLANDS LÄN</t>
        </is>
      </c>
      <c r="G337" t="inlineStr">
        <is>
          <t>NORRKÖPING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62061-2023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45266</v>
      </c>
      <c r="E338" s="1" t="n">
        <v>46257</v>
      </c>
      <c r="F338" t="inlineStr">
        <is>
          <t>ÖSTERGÖTLANDS LÄN</t>
        </is>
      </c>
      <c r="G338" t="inlineStr">
        <is>
          <t>NORRKÖPING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46257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26391-2023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46257</v>
      </c>
      <c r="F340" t="inlineStr">
        <is>
          <t>ÖSTERGÖTLANDS LÄN</t>
        </is>
      </c>
      <c r="G340" t="inlineStr">
        <is>
          <t>NORRKÖPING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45497</v>
      </c>
      <c r="E341" s="1" t="n">
        <v>46257</v>
      </c>
      <c r="F341" t="inlineStr">
        <is>
          <t>ÖSTERGÖTLANDS LÄN</t>
        </is>
      </c>
      <c r="G341" t="inlineStr">
        <is>
          <t>NORRKÖPING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46257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44861</v>
      </c>
      <c r="E343" s="1" t="n">
        <v>46257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46257</v>
      </c>
      <c r="F344" t="inlineStr">
        <is>
          <t>ÖSTERGÖTLANDS LÄN</t>
        </is>
      </c>
      <c r="G344" t="inlineStr">
        <is>
          <t>NORRKÖPING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45313</v>
      </c>
      <c r="E345" s="1" t="n">
        <v>46257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46257</v>
      </c>
      <c r="F346" t="inlineStr">
        <is>
          <t>ÖSTERGÖTLANDS LÄN</t>
        </is>
      </c>
      <c r="G346" t="inlineStr">
        <is>
          <t>NORRKÖPING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7709-2022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44607</v>
      </c>
      <c r="E347" s="1" t="n">
        <v>46257</v>
      </c>
      <c r="F347" t="inlineStr">
        <is>
          <t>ÖSTERGÖTLANDS LÄN</t>
        </is>
      </c>
      <c r="G347" t="inlineStr">
        <is>
          <t>NORRKÖPING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45238</v>
      </c>
      <c r="E348" s="1" t="n">
        <v>46257</v>
      </c>
      <c r="F348" t="inlineStr">
        <is>
          <t>ÖSTERGÖTLANDS LÄN</t>
        </is>
      </c>
      <c r="G348" t="inlineStr">
        <is>
          <t>NORRKÖPING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57405-2024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45629</v>
      </c>
      <c r="E349" s="1" t="n">
        <v>46257</v>
      </c>
      <c r="F349" t="inlineStr">
        <is>
          <t>ÖSTERGÖTLANDS LÄN</t>
        </is>
      </c>
      <c r="G349" t="inlineStr">
        <is>
          <t>NORRKÖPING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47202-2025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46257</v>
      </c>
      <c r="F350" t="inlineStr">
        <is>
          <t>ÖSTERGÖTLANDS LÄN</t>
        </is>
      </c>
      <c r="G350" t="inlineStr">
        <is>
          <t>NORRKÖPING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46257</v>
      </c>
      <c r="F351" t="inlineStr">
        <is>
          <t>ÖSTERGÖTLANDS LÄN</t>
        </is>
      </c>
      <c r="G351" t="inlineStr">
        <is>
          <t>NORRKÖPING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46257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46257</v>
      </c>
      <c r="F353" t="inlineStr">
        <is>
          <t>ÖSTERGÖTLANDS LÄN</t>
        </is>
      </c>
      <c r="G353" t="inlineStr">
        <is>
          <t>NORRKÖPING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46257</v>
      </c>
      <c r="F354" t="inlineStr">
        <is>
          <t>ÖSTERGÖTLANDS LÄN</t>
        </is>
      </c>
      <c r="G354" t="inlineStr">
        <is>
          <t>NORRKÖPING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46257</v>
      </c>
      <c r="F355" t="inlineStr">
        <is>
          <t>ÖSTERGÖTLANDS LÄN</t>
        </is>
      </c>
      <c r="G355" t="inlineStr">
        <is>
          <t>NORRKÖPING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45769</v>
      </c>
      <c r="E356" s="1" t="n">
        <v>46257</v>
      </c>
      <c r="F356" t="inlineStr">
        <is>
          <t>ÖSTERGÖTLANDS LÄN</t>
        </is>
      </c>
      <c r="G356" t="inlineStr">
        <is>
          <t>NORRKÖPING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46257</v>
      </c>
      <c r="F357" t="inlineStr">
        <is>
          <t>ÖSTERGÖTLANDS LÄN</t>
        </is>
      </c>
      <c r="G357" t="inlineStr">
        <is>
          <t>NORRKÖPING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45435</v>
      </c>
      <c r="E358" s="1" t="n">
        <v>46257</v>
      </c>
      <c r="F358" t="inlineStr">
        <is>
          <t>ÖSTERGÖTLANDS LÄN</t>
        </is>
      </c>
      <c r="G358" t="inlineStr">
        <is>
          <t>NORRKÖPING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46257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46257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46257</v>
      </c>
      <c r="F361" t="inlineStr">
        <is>
          <t>ÖSTERGÖTLANDS LÄN</t>
        </is>
      </c>
      <c r="G361" t="inlineStr">
        <is>
          <t>NORRKÖPING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11344-2022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44630</v>
      </c>
      <c r="E362" s="1" t="n">
        <v>46257</v>
      </c>
      <c r="F362" t="inlineStr">
        <is>
          <t>ÖSTERGÖTLANDS LÄN</t>
        </is>
      </c>
      <c r="G362" t="inlineStr">
        <is>
          <t>NORRKÖPING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46257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46257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44783</v>
      </c>
      <c r="E365" s="1" t="n">
        <v>46257</v>
      </c>
      <c r="F365" t="inlineStr">
        <is>
          <t>ÖSTERGÖTLANDS LÄN</t>
        </is>
      </c>
      <c r="G365" t="inlineStr">
        <is>
          <t>NORRKÖPING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45873</v>
      </c>
      <c r="E366" s="1" t="n">
        <v>46257</v>
      </c>
      <c r="F366" t="inlineStr">
        <is>
          <t>ÖSTERGÖTLANDS LÄN</t>
        </is>
      </c>
      <c r="G366" t="inlineStr">
        <is>
          <t>NORRKÖPING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45386</v>
      </c>
      <c r="E367" s="1" t="n">
        <v>46257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44977</v>
      </c>
      <c r="E368" s="1" t="n">
        <v>46257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45022</v>
      </c>
      <c r="E369" s="1" t="n">
        <v>46257</v>
      </c>
      <c r="F369" t="inlineStr">
        <is>
          <t>ÖSTERGÖTLANDS LÄN</t>
        </is>
      </c>
      <c r="G369" t="inlineStr">
        <is>
          <t>NORRKÖPING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46257</v>
      </c>
      <c r="F370" t="inlineStr">
        <is>
          <t>ÖSTERGÖTLANDS LÄN</t>
        </is>
      </c>
      <c r="G370" t="inlineStr">
        <is>
          <t>NORRKÖPING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46257</v>
      </c>
      <c r="F371" t="inlineStr">
        <is>
          <t>ÖSTERGÖTLANDS LÄN</t>
        </is>
      </c>
      <c r="G371" t="inlineStr">
        <is>
          <t>NORRKÖPING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44719</v>
      </c>
      <c r="E372" s="1" t="n">
        <v>46257</v>
      </c>
      <c r="F372" t="inlineStr">
        <is>
          <t>ÖSTERGÖTLANDS LÄN</t>
        </is>
      </c>
      <c r="G372" t="inlineStr">
        <is>
          <t>NORRKÖPING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46257</v>
      </c>
      <c r="F373" t="inlineStr">
        <is>
          <t>ÖSTERGÖTLANDS LÄN</t>
        </is>
      </c>
      <c r="G373" t="inlineStr">
        <is>
          <t>NORRKÖPING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44970</v>
      </c>
      <c r="E374" s="1" t="n">
        <v>46257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46257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49778-2022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44862</v>
      </c>
      <c r="E376" s="1" t="n">
        <v>46257</v>
      </c>
      <c r="F376" t="inlineStr">
        <is>
          <t>ÖSTERGÖTLANDS LÄN</t>
        </is>
      </c>
      <c r="G376" t="inlineStr">
        <is>
          <t>NORRKÖPING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46257</v>
      </c>
      <c r="F377" t="inlineStr">
        <is>
          <t>ÖSTERGÖTLANDS LÄN</t>
        </is>
      </c>
      <c r="G377" t="inlineStr">
        <is>
          <t>NORRKÖPING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18128-2025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45761</v>
      </c>
      <c r="E378" s="1" t="n">
        <v>46257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46257</v>
      </c>
      <c r="F379" t="inlineStr">
        <is>
          <t>ÖSTERGÖTLANDS LÄN</t>
        </is>
      </c>
      <c r="G379" t="inlineStr">
        <is>
          <t>NORRKÖPING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45153</v>
      </c>
      <c r="E380" s="1" t="n">
        <v>46257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45490</v>
      </c>
      <c r="E381" s="1" t="n">
        <v>46257</v>
      </c>
      <c r="F381" t="inlineStr">
        <is>
          <t>ÖSTERGÖTLANDS LÄN</t>
        </is>
      </c>
      <c r="G381" t="inlineStr">
        <is>
          <t>NORRKÖPING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43559-2021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44433</v>
      </c>
      <c r="E382" s="1" t="n">
        <v>46257</v>
      </c>
      <c r="F382" t="inlineStr">
        <is>
          <t>ÖSTERGÖTLANDS LÄN</t>
        </is>
      </c>
      <c r="G382" t="inlineStr">
        <is>
          <t>NORRKÖPING</t>
        </is>
      </c>
      <c r="I382" t="n">
        <v>11.1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46696-2024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46257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45535</v>
      </c>
      <c r="E384" s="1" t="n">
        <v>46257</v>
      </c>
      <c r="F384" t="inlineStr">
        <is>
          <t>ÖSTERGÖTLANDS LÄN</t>
        </is>
      </c>
      <c r="G384" t="inlineStr">
        <is>
          <t>NORRKÖPING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45370</v>
      </c>
      <c r="E385" s="1" t="n">
        <v>46257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46257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44907</v>
      </c>
      <c r="E387" s="1" t="n">
        <v>46257</v>
      </c>
      <c r="F387" t="inlineStr">
        <is>
          <t>ÖSTERGÖTLANDS LÄN</t>
        </is>
      </c>
      <c r="G387" t="inlineStr">
        <is>
          <t>NORRKÖPING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45117</v>
      </c>
      <c r="E388" s="1" t="n">
        <v>46257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46257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45840</v>
      </c>
      <c r="E390" s="1" t="n">
        <v>46257</v>
      </c>
      <c r="F390" t="inlineStr">
        <is>
          <t>ÖSTERGÖTLANDS LÄN</t>
        </is>
      </c>
      <c r="G390" t="inlineStr">
        <is>
          <t>NORRKÖPING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45733</v>
      </c>
      <c r="E391" s="1" t="n">
        <v>46257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8805-2024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46257</v>
      </c>
      <c r="F392" t="inlineStr">
        <is>
          <t>ÖSTERGÖTLANDS LÄN</t>
        </is>
      </c>
      <c r="G392" t="inlineStr">
        <is>
          <t>NORRKÖPING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44980</v>
      </c>
      <c r="E393" s="1" t="n">
        <v>46257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44956</v>
      </c>
      <c r="E394" s="1" t="n">
        <v>46257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44966</v>
      </c>
      <c r="E395" s="1" t="n">
        <v>46257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46257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53694-2025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45960</v>
      </c>
      <c r="E397" s="1" t="n">
        <v>46257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46257</v>
      </c>
      <c r="F398" t="inlineStr">
        <is>
          <t>ÖSTERGÖTLANDS LÄN</t>
        </is>
      </c>
      <c r="G398" t="inlineStr">
        <is>
          <t>NORRKÖPING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46257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57495-2023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46257</v>
      </c>
      <c r="F400" t="inlineStr">
        <is>
          <t>ÖSTERGÖTLANDS LÄN</t>
        </is>
      </c>
      <c r="G400" t="inlineStr">
        <is>
          <t>NORRKÖPING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53881-2025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45961</v>
      </c>
      <c r="E401" s="1" t="n">
        <v>46257</v>
      </c>
      <c r="F401" t="inlineStr">
        <is>
          <t>ÖSTERGÖTLANDS LÄN</t>
        </is>
      </c>
      <c r="G401" t="inlineStr">
        <is>
          <t>NORRKÖPING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45678</v>
      </c>
      <c r="E402" s="1" t="n">
        <v>46257</v>
      </c>
      <c r="F402" t="inlineStr">
        <is>
          <t>ÖSTERGÖTLANDS LÄN</t>
        </is>
      </c>
      <c r="G402" t="inlineStr">
        <is>
          <t>NORRKÖPING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44575</v>
      </c>
      <c r="E403" s="1" t="n">
        <v>46257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30834-2022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44767</v>
      </c>
      <c r="E404" s="1" t="n">
        <v>46257</v>
      </c>
      <c r="F404" t="inlineStr">
        <is>
          <t>ÖSTERGÖTLANDS LÄN</t>
        </is>
      </c>
      <c r="G404" t="inlineStr">
        <is>
          <t>NORRKÖPING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45414</v>
      </c>
      <c r="E405" s="1" t="n">
        <v>46257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46257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45072</v>
      </c>
      <c r="E407" s="1" t="n">
        <v>46257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46257</v>
      </c>
      <c r="F408" t="inlineStr">
        <is>
          <t>ÖSTERGÖTLANDS LÄN</t>
        </is>
      </c>
      <c r="G408" t="inlineStr">
        <is>
          <t>NORRKÖPING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62875-2023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45272</v>
      </c>
      <c r="E409" s="1" t="n">
        <v>46257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46257</v>
      </c>
      <c r="F410" t="inlineStr">
        <is>
          <t>ÖSTERGÖTLANDS LÄN</t>
        </is>
      </c>
      <c r="G410" t="inlineStr">
        <is>
          <t>NORRKÖPING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46257</v>
      </c>
      <c r="F411" t="inlineStr">
        <is>
          <t>ÖSTERGÖTLANDS LÄN</t>
        </is>
      </c>
      <c r="G411" t="inlineStr">
        <is>
          <t>NORRKÖPING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45400</v>
      </c>
      <c r="E412" s="1" t="n">
        <v>46257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46257</v>
      </c>
      <c r="F413" t="inlineStr">
        <is>
          <t>ÖSTERGÖTLANDS LÄN</t>
        </is>
      </c>
      <c r="G413" t="inlineStr">
        <is>
          <t>NORRKÖPING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46257</v>
      </c>
      <c r="F414" t="inlineStr">
        <is>
          <t>ÖSTERGÖTLANDS LÄN</t>
        </is>
      </c>
      <c r="G414" t="inlineStr">
        <is>
          <t>NORRKÖPING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46257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45727</v>
      </c>
      <c r="E416" s="1" t="n">
        <v>46257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44754</v>
      </c>
      <c r="E417" s="1" t="n">
        <v>46257</v>
      </c>
      <c r="F417" t="inlineStr">
        <is>
          <t>ÖSTERGÖTLANDS LÄN</t>
        </is>
      </c>
      <c r="G417" t="inlineStr">
        <is>
          <t>NORRKÖPING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45090</v>
      </c>
      <c r="E418" s="1" t="n">
        <v>46257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Allmännings- och besparingsskogar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45758</v>
      </c>
      <c r="E419" s="1" t="n">
        <v>46257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46257</v>
      </c>
      <c r="F420" t="inlineStr">
        <is>
          <t>ÖSTERGÖTLANDS LÄN</t>
        </is>
      </c>
      <c r="G420" t="inlineStr">
        <is>
          <t>NORRKÖPING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45174</v>
      </c>
      <c r="E421" s="1" t="n">
        <v>46257</v>
      </c>
      <c r="F421" t="inlineStr">
        <is>
          <t>ÖSTERGÖTLANDS LÄN</t>
        </is>
      </c>
      <c r="G421" t="inlineStr">
        <is>
          <t>NORRKÖPING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41375-2023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45174</v>
      </c>
      <c r="E422" s="1" t="n">
        <v>46257</v>
      </c>
      <c r="F422" t="inlineStr">
        <is>
          <t>ÖSTERGÖTLANDS LÄN</t>
        </is>
      </c>
      <c r="G422" t="inlineStr">
        <is>
          <t>NORRKÖPING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44462</v>
      </c>
      <c r="E423" s="1" t="n">
        <v>46257</v>
      </c>
      <c r="F423" t="inlineStr">
        <is>
          <t>ÖSTERGÖTLANDS LÄN</t>
        </is>
      </c>
      <c r="G423" t="inlineStr">
        <is>
          <t>NORRKÖPING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56589-2025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46257</v>
      </c>
      <c r="F424" t="inlineStr">
        <is>
          <t>ÖSTERGÖTLANDS LÄN</t>
        </is>
      </c>
      <c r="G424" t="inlineStr">
        <is>
          <t>NORRKÖPING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48122-2023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46257</v>
      </c>
      <c r="F425" t="inlineStr">
        <is>
          <t>ÖSTERGÖTLANDS LÄN</t>
        </is>
      </c>
      <c r="G425" t="inlineStr">
        <is>
          <t>NORRKÖPING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56876-2024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45628</v>
      </c>
      <c r="E426" s="1" t="n">
        <v>46257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57733-2022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46257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22319-2024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45446</v>
      </c>
      <c r="E428" s="1" t="n">
        <v>46257</v>
      </c>
      <c r="F428" t="inlineStr">
        <is>
          <t>ÖSTERGÖTLANDS LÄN</t>
        </is>
      </c>
      <c r="G428" t="inlineStr">
        <is>
          <t>NORRKÖPING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45446</v>
      </c>
      <c r="E429" s="1" t="n">
        <v>46257</v>
      </c>
      <c r="F429" t="inlineStr">
        <is>
          <t>ÖSTERGÖTLANDS LÄN</t>
        </is>
      </c>
      <c r="G429" t="inlineStr">
        <is>
          <t>NORRKÖPING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23630-2023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46257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45092</v>
      </c>
      <c r="E431" s="1" t="n">
        <v>46257</v>
      </c>
      <c r="F431" t="inlineStr">
        <is>
          <t>ÖSTERGÖTLANDS LÄN</t>
        </is>
      </c>
      <c r="G431" t="inlineStr">
        <is>
          <t>NORRKÖPING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46257</v>
      </c>
      <c r="F432" t="inlineStr">
        <is>
          <t>ÖSTERGÖTLANDS LÄN</t>
        </is>
      </c>
      <c r="G432" t="inlineStr">
        <is>
          <t>NORRKÖPING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44935</v>
      </c>
      <c r="E433" s="1" t="n">
        <v>46257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46257</v>
      </c>
      <c r="F434" t="inlineStr">
        <is>
          <t>ÖSTERGÖTLANDS LÄN</t>
        </is>
      </c>
      <c r="G434" t="inlineStr">
        <is>
          <t>NORRKÖPING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45976</v>
      </c>
      <c r="E435" s="1" t="n">
        <v>46257</v>
      </c>
      <c r="F435" t="inlineStr">
        <is>
          <t>ÖSTERGÖTLANDS LÄN</t>
        </is>
      </c>
      <c r="G435" t="inlineStr">
        <is>
          <t>NORRKÖPING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45030</v>
      </c>
      <c r="E436" s="1" t="n">
        <v>46257</v>
      </c>
      <c r="F436" t="inlineStr">
        <is>
          <t>ÖSTERGÖTLANDS LÄN</t>
        </is>
      </c>
      <c r="G436" t="inlineStr">
        <is>
          <t>NORRKÖPING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45399</v>
      </c>
      <c r="E437" s="1" t="n">
        <v>46257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38874-2024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46257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Allmännings- och besparingsskogar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45159</v>
      </c>
      <c r="E439" s="1" t="n">
        <v>46257</v>
      </c>
      <c r="F439" t="inlineStr">
        <is>
          <t>ÖSTERGÖTLANDS LÄN</t>
        </is>
      </c>
      <c r="G439" t="inlineStr">
        <is>
          <t>NORRKÖPING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32511-2023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45121</v>
      </c>
      <c r="E440" s="1" t="n">
        <v>46257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45699</v>
      </c>
      <c r="E441" s="1" t="n">
        <v>46257</v>
      </c>
      <c r="F441" t="inlineStr">
        <is>
          <t>ÖSTERGÖTLANDS LÄN</t>
        </is>
      </c>
      <c r="G441" t="inlineStr">
        <is>
          <t>NORRKÖPING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46257</v>
      </c>
      <c r="F442" t="inlineStr">
        <is>
          <t>ÖSTERGÖTLANDS LÄN</t>
        </is>
      </c>
      <c r="G442" t="inlineStr">
        <is>
          <t>NORRKÖPING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57413-2022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44896</v>
      </c>
      <c r="E443" s="1" t="n">
        <v>46257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44858</v>
      </c>
      <c r="E444" s="1" t="n">
        <v>46257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20583-2024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45436</v>
      </c>
      <c r="E445" s="1" t="n">
        <v>46257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46257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60233-2022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46257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46257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46257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45637</v>
      </c>
      <c r="E450" s="1" t="n">
        <v>46257</v>
      </c>
      <c r="F450" t="inlineStr">
        <is>
          <t>ÖSTERGÖTLANDS LÄN</t>
        </is>
      </c>
      <c r="G450" t="inlineStr">
        <is>
          <t>NORRKÖPING</t>
        </is>
      </c>
      <c r="I450" t="n">
        <v>24.7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13173-2022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44644</v>
      </c>
      <c r="E451" s="1" t="n">
        <v>46257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Allmännings- och besparingsskogar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46257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46257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46257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49452-2021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44454</v>
      </c>
      <c r="E455" s="1" t="n">
        <v>46257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45110</v>
      </c>
      <c r="E456" s="1" t="n">
        <v>46257</v>
      </c>
      <c r="F456" t="inlineStr">
        <is>
          <t>ÖSTERGÖTLANDS LÄN</t>
        </is>
      </c>
      <c r="G456" t="inlineStr">
        <is>
          <t>NORRKÖPING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46257</v>
      </c>
      <c r="F457" t="inlineStr">
        <is>
          <t>ÖSTERGÖTLANDS LÄN</t>
        </is>
      </c>
      <c r="G457" t="inlineStr">
        <is>
          <t>NORRKÖPING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46257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46257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45736</v>
      </c>
      <c r="E460" s="1" t="n">
        <v>46257</v>
      </c>
      <c r="F460" t="inlineStr">
        <is>
          <t>ÖSTERGÖTLANDS LÄN</t>
        </is>
      </c>
      <c r="G460" t="inlineStr">
        <is>
          <t>NORRKÖPING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14901-2023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45014</v>
      </c>
      <c r="E461" s="1" t="n">
        <v>46257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35701-2024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45532</v>
      </c>
      <c r="E462" s="1" t="n">
        <v>46257</v>
      </c>
      <c r="F462" t="inlineStr">
        <is>
          <t>ÖSTERGÖTLANDS LÄN</t>
        </is>
      </c>
      <c r="G462" t="inlineStr">
        <is>
          <t>NORRKÖPING</t>
        </is>
      </c>
      <c r="I462" t="n">
        <v>11.7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62028-2023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45266</v>
      </c>
      <c r="E463" s="1" t="n">
        <v>46257</v>
      </c>
      <c r="F463" t="inlineStr">
        <is>
          <t>ÖSTERGÖTLANDS LÄN</t>
        </is>
      </c>
      <c r="G463" t="inlineStr">
        <is>
          <t>NORRKÖPING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46257</v>
      </c>
      <c r="F464" t="inlineStr">
        <is>
          <t>ÖSTERGÖTLANDS LÄN</t>
        </is>
      </c>
      <c r="G464" t="inlineStr">
        <is>
          <t>NORRKÖPING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19260-2023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45049</v>
      </c>
      <c r="E465" s="1" t="n">
        <v>46257</v>
      </c>
      <c r="F465" t="inlineStr">
        <is>
          <t>ÖSTERGÖTLANDS LÄN</t>
        </is>
      </c>
      <c r="G465" t="inlineStr">
        <is>
          <t>NORRKÖPING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46257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46257</v>
      </c>
      <c r="F467" t="inlineStr">
        <is>
          <t>ÖSTERGÖTLANDS LÄN</t>
        </is>
      </c>
      <c r="G467" t="inlineStr">
        <is>
          <t>NORRKÖPING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46257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55063-2023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45237</v>
      </c>
      <c r="E469" s="1" t="n">
        <v>46257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Kyrkan</t>
        </is>
      </c>
      <c r="I469" t="n">
        <v>9.699999999999999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45597</v>
      </c>
      <c r="E470" s="1" t="n">
        <v>46257</v>
      </c>
      <c r="F470" t="inlineStr">
        <is>
          <t>ÖSTERGÖTLANDS LÄN</t>
        </is>
      </c>
      <c r="G470" t="inlineStr">
        <is>
          <t>NORRKÖPING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46257</v>
      </c>
      <c r="F471" t="inlineStr">
        <is>
          <t>ÖSTERGÖTLANDS LÄN</t>
        </is>
      </c>
      <c r="G471" t="inlineStr">
        <is>
          <t>NORRKÖPING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45678</v>
      </c>
      <c r="E472" s="1" t="n">
        <v>46257</v>
      </c>
      <c r="F472" t="inlineStr">
        <is>
          <t>ÖSTERGÖTLANDS LÄN</t>
        </is>
      </c>
      <c r="G472" t="inlineStr">
        <is>
          <t>NORRKÖPING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44889</v>
      </c>
      <c r="E473" s="1" t="n">
        <v>46257</v>
      </c>
      <c r="F473" t="inlineStr">
        <is>
          <t>ÖSTERGÖTLANDS LÄN</t>
        </is>
      </c>
      <c r="G473" t="inlineStr">
        <is>
          <t>NORRKÖPING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8220-2023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46257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45678</v>
      </c>
      <c r="E475" s="1" t="n">
        <v>46257</v>
      </c>
      <c r="F475" t="inlineStr">
        <is>
          <t>ÖSTERGÖTLANDS LÄN</t>
        </is>
      </c>
      <c r="G475" t="inlineStr">
        <is>
          <t>NORRKÖPING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45317</v>
      </c>
      <c r="E476" s="1" t="n">
        <v>46257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44965</v>
      </c>
      <c r="E477" s="1" t="n">
        <v>46257</v>
      </c>
      <c r="F477" t="inlineStr">
        <is>
          <t>ÖSTERGÖTLANDS LÄN</t>
        </is>
      </c>
      <c r="G477" t="inlineStr">
        <is>
          <t>NORRKÖPING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47345-2023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45202</v>
      </c>
      <c r="E478" s="1" t="n">
        <v>46257</v>
      </c>
      <c r="F478" t="inlineStr">
        <is>
          <t>ÖSTERGÖTLANDS LÄN</t>
        </is>
      </c>
      <c r="G478" t="inlineStr">
        <is>
          <t>NORRKÖPING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45043</v>
      </c>
      <c r="E479" s="1" t="n">
        <v>46257</v>
      </c>
      <c r="F479" t="inlineStr">
        <is>
          <t>ÖSTERGÖTLANDS LÄN</t>
        </is>
      </c>
      <c r="G479" t="inlineStr">
        <is>
          <t>NORRKÖPING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43322-2022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44834</v>
      </c>
      <c r="E480" s="1" t="n">
        <v>46257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46257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46257</v>
      </c>
      <c r="F482" t="inlineStr">
        <is>
          <t>ÖSTERGÖTLANDS LÄN</t>
        </is>
      </c>
      <c r="G482" t="inlineStr">
        <is>
          <t>NORRKÖPING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44596</v>
      </c>
      <c r="E483" s="1" t="n">
        <v>46257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17249-2024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45414</v>
      </c>
      <c r="E484" s="1" t="n">
        <v>46257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45771</v>
      </c>
      <c r="E485" s="1" t="n">
        <v>46257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46257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62370-2025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46257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43277-2023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45183</v>
      </c>
      <c r="E488" s="1" t="n">
        <v>46257</v>
      </c>
      <c r="F488" t="inlineStr">
        <is>
          <t>ÖSTERGÖTLANDS LÄN</t>
        </is>
      </c>
      <c r="G488" t="inlineStr">
        <is>
          <t>NORRKÖPING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46257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45764</v>
      </c>
      <c r="E490" s="1" t="n">
        <v>46257</v>
      </c>
      <c r="F490" t="inlineStr">
        <is>
          <t>ÖSTERGÖTLANDS LÄN</t>
        </is>
      </c>
      <c r="G490" t="inlineStr">
        <is>
          <t>NORRKÖPING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46257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46257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45229</v>
      </c>
      <c r="E493" s="1" t="n">
        <v>46257</v>
      </c>
      <c r="F493" t="inlineStr">
        <is>
          <t>ÖSTERGÖTLANDS LÄN</t>
        </is>
      </c>
      <c r="G493" t="inlineStr">
        <is>
          <t>NORRKÖPING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46257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62107-2025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46257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45043</v>
      </c>
      <c r="E496" s="1" t="n">
        <v>46257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46257</v>
      </c>
      <c r="F497" t="inlineStr">
        <is>
          <t>ÖSTERGÖTLANDS LÄN</t>
        </is>
      </c>
      <c r="G497" t="inlineStr">
        <is>
          <t>NORRKÖPING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45030</v>
      </c>
      <c r="E498" s="1" t="n">
        <v>46257</v>
      </c>
      <c r="F498" t="inlineStr">
        <is>
          <t>ÖSTERGÖTLANDS LÄN</t>
        </is>
      </c>
      <c r="G498" t="inlineStr">
        <is>
          <t>NORRKÖPING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45188</v>
      </c>
      <c r="E499" s="1" t="n">
        <v>46257</v>
      </c>
      <c r="F499" t="inlineStr">
        <is>
          <t>ÖSTERGÖTLANDS LÄN</t>
        </is>
      </c>
      <c r="G499" t="inlineStr">
        <is>
          <t>NORRKÖPING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17582-2025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46257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46257</v>
      </c>
      <c r="F501" t="inlineStr">
        <is>
          <t>ÖSTERGÖTLANDS LÄN</t>
        </is>
      </c>
      <c r="G501" t="inlineStr">
        <is>
          <t>NORRKÖPING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45268</v>
      </c>
      <c r="E502" s="1" t="n">
        <v>46257</v>
      </c>
      <c r="F502" t="inlineStr">
        <is>
          <t>ÖSTERGÖTLANDS LÄN</t>
        </is>
      </c>
      <c r="G502" t="inlineStr">
        <is>
          <t>NORRKÖPING</t>
        </is>
      </c>
      <c r="I502" t="n">
        <v>12.5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56210-2023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45240</v>
      </c>
      <c r="E503" s="1" t="n">
        <v>46257</v>
      </c>
      <c r="F503" t="inlineStr">
        <is>
          <t>ÖSTERGÖTLANDS LÄN</t>
        </is>
      </c>
      <c r="G503" t="inlineStr">
        <is>
          <t>NORRKÖPING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39232-2024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45550</v>
      </c>
      <c r="E504" s="1" t="n">
        <v>46257</v>
      </c>
      <c r="F504" t="inlineStr">
        <is>
          <t>ÖSTERGÖTLANDS LÄN</t>
        </is>
      </c>
      <c r="G504" t="inlineStr">
        <is>
          <t>NORRKÖPING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45118</v>
      </c>
      <c r="E505" s="1" t="n">
        <v>46257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46010</v>
      </c>
      <c r="E506" s="1" t="n">
        <v>46257</v>
      </c>
      <c r="F506" t="inlineStr">
        <is>
          <t>ÖSTERGÖTLANDS LÄN</t>
        </is>
      </c>
      <c r="G506" t="inlineStr">
        <is>
          <t>NORRKÖPING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63229-2025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46257</v>
      </c>
      <c r="F507" t="inlineStr">
        <is>
          <t>ÖSTERGÖTLANDS LÄN</t>
        </is>
      </c>
      <c r="G507" t="inlineStr">
        <is>
          <t>NORRKÖPING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63165-2025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46257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46257</v>
      </c>
      <c r="F509" t="inlineStr">
        <is>
          <t>ÖSTERGÖTLANDS LÄN</t>
        </is>
      </c>
      <c r="G509" t="inlineStr">
        <is>
          <t>NORRKÖPING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46257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45362-2021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44439</v>
      </c>
      <c r="E511" s="1" t="n">
        <v>46257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70378-2021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46257</v>
      </c>
      <c r="F512" t="inlineStr">
        <is>
          <t>ÖSTERGÖTLANDS LÄN</t>
        </is>
      </c>
      <c r="G512" t="inlineStr">
        <is>
          <t>NORRKÖPING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45053</v>
      </c>
      <c r="E513" s="1" t="n">
        <v>46257</v>
      </c>
      <c r="F513" t="inlineStr">
        <is>
          <t>ÖSTERGÖTLANDS LÄN</t>
        </is>
      </c>
      <c r="G513" t="inlineStr">
        <is>
          <t>NORRKÖPING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44860</v>
      </c>
      <c r="E514" s="1" t="n">
        <v>46257</v>
      </c>
      <c r="F514" t="inlineStr">
        <is>
          <t>ÖSTERGÖTLANDS LÄN</t>
        </is>
      </c>
      <c r="G514" t="inlineStr">
        <is>
          <t>NORRKÖPING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45153</v>
      </c>
      <c r="E515" s="1" t="n">
        <v>46257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44597</v>
      </c>
      <c r="E516" s="1" t="n">
        <v>46257</v>
      </c>
      <c r="F516" t="inlineStr">
        <is>
          <t>ÖSTERGÖTLANDS LÄN</t>
        </is>
      </c>
      <c r="G516" t="inlineStr">
        <is>
          <t>NORRKÖPING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45014</v>
      </c>
      <c r="E517" s="1" t="n">
        <v>46257</v>
      </c>
      <c r="F517" t="inlineStr">
        <is>
          <t>ÖSTERGÖTLANDS LÄN</t>
        </is>
      </c>
      <c r="G517" t="inlineStr">
        <is>
          <t>NORRKÖPING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46257</v>
      </c>
      <c r="F518" t="inlineStr">
        <is>
          <t>ÖSTERGÖTLANDS LÄN</t>
        </is>
      </c>
      <c r="G518" t="inlineStr">
        <is>
          <t>NORRKÖPING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44936</v>
      </c>
      <c r="E519" s="1" t="n">
        <v>46257</v>
      </c>
      <c r="F519" t="inlineStr">
        <is>
          <t>ÖSTERGÖTLANDS LÄN</t>
        </is>
      </c>
      <c r="G519" t="inlineStr">
        <is>
          <t>NORRKÖPING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45096</v>
      </c>
      <c r="E520" s="1" t="n">
        <v>46257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44599</v>
      </c>
      <c r="E521" s="1" t="n">
        <v>46257</v>
      </c>
      <c r="F521" t="inlineStr">
        <is>
          <t>ÖSTERGÖTLANDS LÄN</t>
        </is>
      </c>
      <c r="G521" t="inlineStr">
        <is>
          <t>NORRKÖPING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12511-2023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44999</v>
      </c>
      <c r="E522" s="1" t="n">
        <v>46257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46257</v>
      </c>
      <c r="F523" t="inlineStr">
        <is>
          <t>ÖSTERGÖTLANDS LÄN</t>
        </is>
      </c>
      <c r="G523" t="inlineStr">
        <is>
          <t>NORRKÖPING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46257</v>
      </c>
      <c r="F524" t="inlineStr">
        <is>
          <t>ÖSTERGÖTLANDS LÄN</t>
        </is>
      </c>
      <c r="G524" t="inlineStr">
        <is>
          <t>NORRKÖPING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45330</v>
      </c>
      <c r="E525" s="1" t="n">
        <v>46257</v>
      </c>
      <c r="F525" t="inlineStr">
        <is>
          <t>ÖSTERGÖTLANDS LÄN</t>
        </is>
      </c>
      <c r="G525" t="inlineStr">
        <is>
          <t>NORRKÖPING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45723</v>
      </c>
      <c r="E526" s="1" t="n">
        <v>46257</v>
      </c>
      <c r="F526" t="inlineStr">
        <is>
          <t>ÖSTERGÖTLANDS LÄN</t>
        </is>
      </c>
      <c r="G526" t="inlineStr">
        <is>
          <t>NORRKÖPING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46257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Allmännings- och besparingsskogar</t>
        </is>
      </c>
      <c r="I527" t="n">
        <v>11.6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49882-2021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44455</v>
      </c>
      <c r="E528" s="1" t="n">
        <v>46257</v>
      </c>
      <c r="F528" t="inlineStr">
        <is>
          <t>ÖSTERGÖTLANDS LÄN</t>
        </is>
      </c>
      <c r="G528" t="inlineStr">
        <is>
          <t>NORRKÖPING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44588</v>
      </c>
      <c r="E529" s="1" t="n">
        <v>46257</v>
      </c>
      <c r="F529" t="inlineStr">
        <is>
          <t>ÖSTERGÖTLANDS LÄN</t>
        </is>
      </c>
      <c r="G529" t="inlineStr">
        <is>
          <t>NORRKÖPING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51124-2023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45219</v>
      </c>
      <c r="E530" s="1" t="n">
        <v>46257</v>
      </c>
      <c r="F530" t="inlineStr">
        <is>
          <t>ÖSTERGÖTLANDS LÄN</t>
        </is>
      </c>
      <c r="G530" t="inlineStr">
        <is>
          <t>NORRKÖPING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46257</v>
      </c>
      <c r="F531" t="inlineStr">
        <is>
          <t>ÖSTERGÖTLANDS LÄN</t>
        </is>
      </c>
      <c r="G531" t="inlineStr">
        <is>
          <t>NORRKÖPING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45468</v>
      </c>
      <c r="E532" s="1" t="n">
        <v>46257</v>
      </c>
      <c r="F532" t="inlineStr">
        <is>
          <t>ÖSTERGÖTLANDS LÄN</t>
        </is>
      </c>
      <c r="G532" t="inlineStr">
        <is>
          <t>NORRKÖPING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46257</v>
      </c>
      <c r="F533" t="inlineStr">
        <is>
          <t>ÖSTERGÖTLANDS LÄN</t>
        </is>
      </c>
      <c r="G533" t="inlineStr">
        <is>
          <t>NORRKÖPING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46257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46035</v>
      </c>
      <c r="E535" s="1" t="n">
        <v>46257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Allmännings- och besparingsskogar</t>
        </is>
      </c>
      <c r="I535" t="n">
        <v>12.4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46257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59768-2021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44494</v>
      </c>
      <c r="E537" s="1" t="n">
        <v>46257</v>
      </c>
      <c r="F537" t="inlineStr">
        <is>
          <t>ÖSTERGÖTLANDS LÄN</t>
        </is>
      </c>
      <c r="G537" t="inlineStr">
        <is>
          <t>NORRKÖPING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46257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46257</v>
      </c>
      <c r="F539" t="inlineStr">
        <is>
          <t>ÖSTERGÖTLANDS LÄN</t>
        </is>
      </c>
      <c r="G539" t="inlineStr">
        <is>
          <t>NORRKÖPING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46257</v>
      </c>
      <c r="F540" t="inlineStr">
        <is>
          <t>ÖSTERGÖTLANDS LÄN</t>
        </is>
      </c>
      <c r="G540" t="inlineStr">
        <is>
          <t>NORRKÖPING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46257</v>
      </c>
      <c r="F541" t="inlineStr">
        <is>
          <t>ÖSTERGÖTLANDS LÄN</t>
        </is>
      </c>
      <c r="G541" t="inlineStr">
        <is>
          <t>NORRKÖPING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45274</v>
      </c>
      <c r="E542" s="1" t="n">
        <v>46257</v>
      </c>
      <c r="F542" t="inlineStr">
        <is>
          <t>ÖSTERGÖTLANDS LÄN</t>
        </is>
      </c>
      <c r="G542" t="inlineStr">
        <is>
          <t>NORRKÖPING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46257</v>
      </c>
      <c r="F543" t="inlineStr">
        <is>
          <t>ÖSTERGÖTLANDS LÄN</t>
        </is>
      </c>
      <c r="G543" t="inlineStr">
        <is>
          <t>NORRKÖPING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46043</v>
      </c>
      <c r="E544" s="1" t="n">
        <v>46257</v>
      </c>
      <c r="F544" t="inlineStr">
        <is>
          <t>ÖSTERGÖTLANDS LÄN</t>
        </is>
      </c>
      <c r="G544" t="inlineStr">
        <is>
          <t>NORRKÖPING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46043</v>
      </c>
      <c r="E545" s="1" t="n">
        <v>46257</v>
      </c>
      <c r="F545" t="inlineStr">
        <is>
          <t>ÖSTERGÖTLANDS LÄN</t>
        </is>
      </c>
      <c r="G545" t="inlineStr">
        <is>
          <t>NORRKÖPING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45317</v>
      </c>
      <c r="E546" s="1" t="n">
        <v>46257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46257</v>
      </c>
      <c r="F547" t="inlineStr">
        <is>
          <t>ÖSTERGÖTLANDS LÄN</t>
        </is>
      </c>
      <c r="G547" t="inlineStr">
        <is>
          <t>NORRKÖPING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45558</v>
      </c>
      <c r="E548" s="1" t="n">
        <v>46257</v>
      </c>
      <c r="F548" t="inlineStr">
        <is>
          <t>ÖSTERGÖTLANDS LÄN</t>
        </is>
      </c>
      <c r="G548" t="inlineStr">
        <is>
          <t>NORRKÖPING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48786-2022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44859</v>
      </c>
      <c r="E549" s="1" t="n">
        <v>46257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10393-2024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45365</v>
      </c>
      <c r="E550" s="1" t="n">
        <v>46257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Kommuner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5938-2024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45336</v>
      </c>
      <c r="E551" s="1" t="n">
        <v>46257</v>
      </c>
      <c r="F551" t="inlineStr">
        <is>
          <t>ÖSTERGÖTLANDS LÄN</t>
        </is>
      </c>
      <c r="G551" t="inlineStr">
        <is>
          <t>NORRKÖPING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46257</v>
      </c>
      <c r="F552" t="inlineStr">
        <is>
          <t>ÖSTERGÖTLANDS LÄN</t>
        </is>
      </c>
      <c r="G552" t="inlineStr">
        <is>
          <t>NORRKÖPING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44582</v>
      </c>
      <c r="E553" s="1" t="n">
        <v>46257</v>
      </c>
      <c r="F553" t="inlineStr">
        <is>
          <t>ÖSTERGÖTLANDS LÄN</t>
        </is>
      </c>
      <c r="G553" t="inlineStr">
        <is>
          <t>NORRKÖPING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45442</v>
      </c>
      <c r="E554" s="1" t="n">
        <v>46257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45183</v>
      </c>
      <c r="E555" s="1" t="n">
        <v>46257</v>
      </c>
      <c r="F555" t="inlineStr">
        <is>
          <t>ÖSTERGÖTLANDS LÄN</t>
        </is>
      </c>
      <c r="G555" t="inlineStr">
        <is>
          <t>NORRKÖPING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43346-2023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45183</v>
      </c>
      <c r="E556" s="1" t="n">
        <v>46257</v>
      </c>
      <c r="F556" t="inlineStr">
        <is>
          <t>ÖSTERGÖTLANDS LÄN</t>
        </is>
      </c>
      <c r="G556" t="inlineStr">
        <is>
          <t>NORRKÖPING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46257</v>
      </c>
      <c r="F557" t="inlineStr">
        <is>
          <t>ÖSTERGÖTLANDS LÄN</t>
        </is>
      </c>
      <c r="G557" t="inlineStr">
        <is>
          <t>NORRKÖPING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46257</v>
      </c>
      <c r="F558" t="inlineStr">
        <is>
          <t>ÖSTERGÖTLANDS LÄN</t>
        </is>
      </c>
      <c r="G558" t="inlineStr">
        <is>
          <t>NORRKÖPING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45432</v>
      </c>
      <c r="E559" s="1" t="n">
        <v>46257</v>
      </c>
      <c r="F559" t="inlineStr">
        <is>
          <t>ÖSTERGÖTLANDS LÄN</t>
        </is>
      </c>
      <c r="G559" t="inlineStr">
        <is>
          <t>NORRKÖPING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45043</v>
      </c>
      <c r="E560" s="1" t="n">
        <v>46257</v>
      </c>
      <c r="F560" t="inlineStr">
        <is>
          <t>ÖSTERGÖTLANDS LÄN</t>
        </is>
      </c>
      <c r="G560" t="inlineStr">
        <is>
          <t>NORRKÖPING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46046</v>
      </c>
      <c r="E561" s="1" t="n">
        <v>46257</v>
      </c>
      <c r="F561" t="inlineStr">
        <is>
          <t>ÖSTERGÖTLANDS LÄN</t>
        </is>
      </c>
      <c r="G561" t="inlineStr">
        <is>
          <t>NORRKÖPING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4521-2026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46046</v>
      </c>
      <c r="E562" s="1" t="n">
        <v>46257</v>
      </c>
      <c r="F562" t="inlineStr">
        <is>
          <t>ÖSTERGÖTLANDS LÄN</t>
        </is>
      </c>
      <c r="G562" t="inlineStr">
        <is>
          <t>NORRKÖPING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45509</v>
      </c>
      <c r="E563" s="1" t="n">
        <v>46257</v>
      </c>
      <c r="F563" t="inlineStr">
        <is>
          <t>ÖSTERGÖTLANDS LÄN</t>
        </is>
      </c>
      <c r="G563" t="inlineStr">
        <is>
          <t>NORRKÖPING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46257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Allmännings- och besparingsskogar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45889</v>
      </c>
      <c r="E565" s="1" t="n">
        <v>46257</v>
      </c>
      <c r="F565" t="inlineStr">
        <is>
          <t>ÖSTERGÖTLANDS LÄN</t>
        </is>
      </c>
      <c r="G565" t="inlineStr">
        <is>
          <t>NORRKÖPING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57380-2024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45629</v>
      </c>
      <c r="E566" s="1" t="n">
        <v>46257</v>
      </c>
      <c r="F566" t="inlineStr">
        <is>
          <t>ÖSTERGÖTLANDS LÄN</t>
        </is>
      </c>
      <c r="G566" t="inlineStr">
        <is>
          <t>NORRKÖPING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35148-2023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45145</v>
      </c>
      <c r="E567" s="1" t="n">
        <v>46257</v>
      </c>
      <c r="F567" t="inlineStr">
        <is>
          <t>ÖSTERGÖTLANDS LÄN</t>
        </is>
      </c>
      <c r="G567" t="inlineStr">
        <is>
          <t>NORRKÖPING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46257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Kommuner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46061</v>
      </c>
      <c r="E569" s="1" t="n">
        <v>46257</v>
      </c>
      <c r="F569" t="inlineStr">
        <is>
          <t>ÖSTERGÖTLANDS LÄN</t>
        </is>
      </c>
      <c r="G569" t="inlineStr">
        <is>
          <t>NORRKÖPING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46257</v>
      </c>
      <c r="F570" t="inlineStr">
        <is>
          <t>ÖSTERGÖTLANDS LÄN</t>
        </is>
      </c>
      <c r="G570" t="inlineStr">
        <is>
          <t>NORRKÖPING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46257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46257</v>
      </c>
      <c r="F572" t="inlineStr">
        <is>
          <t>ÖSTERGÖTLANDS LÄN</t>
        </is>
      </c>
      <c r="G572" t="inlineStr">
        <is>
          <t>NORRKÖPING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50119-2023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45215</v>
      </c>
      <c r="E573" s="1" t="n">
        <v>46257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23946-2025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45796</v>
      </c>
      <c r="E574" s="1" t="n">
        <v>46257</v>
      </c>
      <c r="F574" t="inlineStr">
        <is>
          <t>ÖSTERGÖTLANDS LÄN</t>
        </is>
      </c>
      <c r="G574" t="inlineStr">
        <is>
          <t>NORRKÖPING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44936</v>
      </c>
      <c r="E575" s="1" t="n">
        <v>46257</v>
      </c>
      <c r="F575" t="inlineStr">
        <is>
          <t>ÖSTERGÖTLANDS LÄN</t>
        </is>
      </c>
      <c r="G575" t="inlineStr">
        <is>
          <t>NORRKÖPING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46257</v>
      </c>
      <c r="F576" t="inlineStr">
        <is>
          <t>ÖSTERGÖTLANDS LÄN</t>
        </is>
      </c>
      <c r="G576" t="inlineStr">
        <is>
          <t>NORRKÖPING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56331-2022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44890</v>
      </c>
      <c r="E577" s="1" t="n">
        <v>46257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45881</v>
      </c>
      <c r="E578" s="1" t="n">
        <v>46257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45769</v>
      </c>
      <c r="E579" s="1" t="n">
        <v>46257</v>
      </c>
      <c r="F579" t="inlineStr">
        <is>
          <t>ÖSTERGÖTLANDS LÄN</t>
        </is>
      </c>
      <c r="G579" t="inlineStr">
        <is>
          <t>NORRKÖPING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46216</v>
      </c>
      <c r="E580" s="1" t="n">
        <v>46257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46257</v>
      </c>
      <c r="F581" t="inlineStr">
        <is>
          <t>ÖSTERGÖTLANDS LÄN</t>
        </is>
      </c>
      <c r="G581" t="inlineStr">
        <is>
          <t>NORRKÖPING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38455-2025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46257</v>
      </c>
      <c r="F582" t="inlineStr">
        <is>
          <t>ÖSTERGÖTLANDS LÄN</t>
        </is>
      </c>
      <c r="G582" t="inlineStr">
        <is>
          <t>NORRKÖPING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44956</v>
      </c>
      <c r="E583" s="1" t="n">
        <v>46257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45883</v>
      </c>
      <c r="E584" s="1" t="n">
        <v>46257</v>
      </c>
      <c r="F584" t="inlineStr">
        <is>
          <t>ÖSTERGÖTLANDS LÄN</t>
        </is>
      </c>
      <c r="G584" t="inlineStr">
        <is>
          <t>NORRKÖPING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46257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45883</v>
      </c>
      <c r="E586" s="1" t="n">
        <v>46257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Allmännings- och besparingsskogar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23783-2022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44721</v>
      </c>
      <c r="E587" s="1" t="n">
        <v>46257</v>
      </c>
      <c r="F587" t="inlineStr">
        <is>
          <t>ÖSTERGÖTLANDS LÄN</t>
        </is>
      </c>
      <c r="G587" t="inlineStr">
        <is>
          <t>NORRKÖPING</t>
        </is>
      </c>
      <c r="I587" t="n">
        <v>11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46217</v>
      </c>
      <c r="E588" s="1" t="n">
        <v>46257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38463-2025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46257</v>
      </c>
      <c r="F589" t="inlineStr">
        <is>
          <t>ÖSTERGÖTLANDS LÄN</t>
        </is>
      </c>
      <c r="G589" t="inlineStr">
        <is>
          <t>NORRKÖPING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18537-2025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45763</v>
      </c>
      <c r="E590" s="1" t="n">
        <v>46257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45217</v>
      </c>
      <c r="E591" s="1" t="n">
        <v>46257</v>
      </c>
      <c r="F591" t="inlineStr">
        <is>
          <t>ÖSTERGÖTLANDS LÄN</t>
        </is>
      </c>
      <c r="G591" t="inlineStr">
        <is>
          <t>NORRKÖPING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45075-2023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45191</v>
      </c>
      <c r="E592" s="1" t="n">
        <v>46257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46218</v>
      </c>
      <c r="E593" s="1" t="n">
        <v>46257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46218</v>
      </c>
      <c r="E594" s="1" t="n">
        <v>46257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12814-2025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45733</v>
      </c>
      <c r="E595" s="1" t="n">
        <v>46257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47895-2021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44448</v>
      </c>
      <c r="E596" s="1" t="n">
        <v>46257</v>
      </c>
      <c r="F596" t="inlineStr">
        <is>
          <t>ÖSTERGÖTLANDS LÄN</t>
        </is>
      </c>
      <c r="G596" t="inlineStr">
        <is>
          <t>NORRKÖPING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46175</v>
      </c>
      <c r="E597" s="1" t="n">
        <v>46257</v>
      </c>
      <c r="F597" t="inlineStr">
        <is>
          <t>ÖSTERGÖTLANDS LÄN</t>
        </is>
      </c>
      <c r="G597" t="inlineStr">
        <is>
          <t>NORRKÖPING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44803</v>
      </c>
      <c r="E598" s="1" t="n">
        <v>46257</v>
      </c>
      <c r="F598" t="inlineStr">
        <is>
          <t>ÖSTERGÖTLANDS LÄN</t>
        </is>
      </c>
      <c r="G598" t="inlineStr">
        <is>
          <t>NORRKÖPING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49062-2022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44860</v>
      </c>
      <c r="E599" s="1" t="n">
        <v>46257</v>
      </c>
      <c r="F599" t="inlineStr">
        <is>
          <t>ÖSTERGÖTLANDS LÄN</t>
        </is>
      </c>
      <c r="G599" t="inlineStr">
        <is>
          <t>NORRKÖPING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25693-2026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46257</v>
      </c>
      <c r="F600" t="inlineStr">
        <is>
          <t>ÖSTERGÖTLANDS LÄN</t>
        </is>
      </c>
      <c r="G600" t="inlineStr">
        <is>
          <t>NORRKÖPING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46257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Kyrkan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46257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Kyrkan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46257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46257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46257</v>
      </c>
      <c r="F605" t="inlineStr">
        <is>
          <t>ÖSTERGÖTLANDS LÄN</t>
        </is>
      </c>
      <c r="G605" t="inlineStr">
        <is>
          <t>NORRKÖPING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1914-2023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44939</v>
      </c>
      <c r="E606" s="1" t="n">
        <v>46257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Naturvårdsverket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46257</v>
      </c>
      <c r="F607" t="inlineStr">
        <is>
          <t>ÖSTERGÖTLANDS LÄN</t>
        </is>
      </c>
      <c r="G607" t="inlineStr">
        <is>
          <t>NORRKÖPING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46257</v>
      </c>
      <c r="F608" t="inlineStr">
        <is>
          <t>ÖSTERGÖTLANDS LÄN</t>
        </is>
      </c>
      <c r="G608" t="inlineStr">
        <is>
          <t>NORRKÖPING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44956</v>
      </c>
      <c r="E609" s="1" t="n">
        <v>46257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46257</v>
      </c>
      <c r="F610" t="inlineStr">
        <is>
          <t>ÖSTERGÖTLANDS LÄN</t>
        </is>
      </c>
      <c r="G610" t="inlineStr">
        <is>
          <t>NORRKÖPING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46178</v>
      </c>
      <c r="E611" s="1" t="n">
        <v>46257</v>
      </c>
      <c r="F611" t="inlineStr">
        <is>
          <t>ÖSTERGÖTLANDS LÄN</t>
        </is>
      </c>
      <c r="G611" t="inlineStr">
        <is>
          <t>NORRKÖPING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46257</v>
      </c>
      <c r="F612" t="inlineStr">
        <is>
          <t>ÖSTERGÖTLANDS LÄN</t>
        </is>
      </c>
      <c r="G612" t="inlineStr">
        <is>
          <t>NORRKÖPING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12538-2024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45379</v>
      </c>
      <c r="E613" s="1" t="n">
        <v>46257</v>
      </c>
      <c r="F613" t="inlineStr">
        <is>
          <t>ÖSTERGÖTLANDS LÄN</t>
        </is>
      </c>
      <c r="G613" t="inlineStr">
        <is>
          <t>NORRKÖPING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46257</v>
      </c>
      <c r="F614" t="inlineStr">
        <is>
          <t>ÖSTERGÖTLANDS LÄN</t>
        </is>
      </c>
      <c r="G614" t="inlineStr">
        <is>
          <t>NORRKÖPING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17138-2022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44677</v>
      </c>
      <c r="E615" s="1" t="n">
        <v>46257</v>
      </c>
      <c r="F615" t="inlineStr">
        <is>
          <t>ÖSTERGÖTLANDS LÄN</t>
        </is>
      </c>
      <c r="G615" t="inlineStr">
        <is>
          <t>NORRKÖPING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46257</v>
      </c>
      <c r="F616" t="inlineStr">
        <is>
          <t>ÖSTERGÖTLANDS LÄN</t>
        </is>
      </c>
      <c r="G616" t="inlineStr">
        <is>
          <t>NORRKÖPING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26349-2026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46257</v>
      </c>
      <c r="F617" t="inlineStr">
        <is>
          <t>ÖSTERGÖTLANDS LÄN</t>
        </is>
      </c>
      <c r="G617" t="inlineStr">
        <is>
          <t>NORRKÖPING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11031-2026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46079</v>
      </c>
      <c r="E618" s="1" t="n">
        <v>46257</v>
      </c>
      <c r="F618" t="inlineStr">
        <is>
          <t>ÖSTERGÖTLANDS LÄN</t>
        </is>
      </c>
      <c r="G618" t="inlineStr">
        <is>
          <t>NORRKÖPING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33170-2023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45126</v>
      </c>
      <c r="E619" s="1" t="n">
        <v>46257</v>
      </c>
      <c r="F619" t="inlineStr">
        <is>
          <t>ÖSTERGÖTLANDS LÄN</t>
        </is>
      </c>
      <c r="G619" t="inlineStr">
        <is>
          <t>NORRKÖPING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33171-2023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46257</v>
      </c>
      <c r="F620" t="inlineStr">
        <is>
          <t>ÖSTERGÖTLANDS LÄN</t>
        </is>
      </c>
      <c r="G620" t="inlineStr">
        <is>
          <t>NORRKÖPING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46225</v>
      </c>
      <c r="E621" s="1" t="n">
        <v>46257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11041-2026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46079</v>
      </c>
      <c r="E622" s="1" t="n">
        <v>46257</v>
      </c>
      <c r="F622" t="inlineStr">
        <is>
          <t>ÖSTERGÖTLANDS LÄN</t>
        </is>
      </c>
      <c r="G622" t="inlineStr">
        <is>
          <t>NORRKÖPING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46181</v>
      </c>
      <c r="E623" s="1" t="n">
        <v>46257</v>
      </c>
      <c r="F623" t="inlineStr">
        <is>
          <t>ÖSTERGÖTLANDS LÄN</t>
        </is>
      </c>
      <c r="G623" t="inlineStr">
        <is>
          <t>NORRKÖPING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46257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Allmännings- och besparingsskogar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26360-2026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46257</v>
      </c>
      <c r="F625" t="inlineStr">
        <is>
          <t>ÖSTERGÖTLANDS LÄN</t>
        </is>
      </c>
      <c r="G625" t="inlineStr">
        <is>
          <t>NORRKÖPING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46257</v>
      </c>
      <c r="F626" t="inlineStr">
        <is>
          <t>ÖSTERGÖTLANDS LÄN</t>
        </is>
      </c>
      <c r="G626" t="inlineStr">
        <is>
          <t>NORRKÖPING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62529-2023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45268</v>
      </c>
      <c r="E627" s="1" t="n">
        <v>46257</v>
      </c>
      <c r="F627" t="inlineStr">
        <is>
          <t>ÖSTERGÖTLANDS LÄN</t>
        </is>
      </c>
      <c r="G627" t="inlineStr">
        <is>
          <t>NORRKÖPING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59586-2022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44907</v>
      </c>
      <c r="E628" s="1" t="n">
        <v>46257</v>
      </c>
      <c r="F628" t="inlineStr">
        <is>
          <t>ÖSTERGÖTLANDS LÄN</t>
        </is>
      </c>
      <c r="G628" t="inlineStr">
        <is>
          <t>NORRKÖPING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45114</v>
      </c>
      <c r="E629" s="1" t="n">
        <v>46257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45114</v>
      </c>
      <c r="E630" s="1" t="n">
        <v>46257</v>
      </c>
      <c r="F630" t="inlineStr">
        <is>
          <t>ÖSTERGÖTLANDS LÄN</t>
        </is>
      </c>
      <c r="G630" t="inlineStr">
        <is>
          <t>NORRKÖPING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53899-2021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44469</v>
      </c>
      <c r="E631" s="1" t="n">
        <v>46257</v>
      </c>
      <c r="F631" t="inlineStr">
        <is>
          <t>ÖSTERGÖTLANDS LÄN</t>
        </is>
      </c>
      <c r="G631" t="inlineStr">
        <is>
          <t>NORRKÖPING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46257</v>
      </c>
      <c r="F632" t="inlineStr">
        <is>
          <t>ÖSTERGÖTLANDS LÄN</t>
        </is>
      </c>
      <c r="G632" t="inlineStr">
        <is>
          <t>NORRKÖPING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12584-2026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46090</v>
      </c>
      <c r="E633" s="1" t="n">
        <v>46257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45723</v>
      </c>
      <c r="E634" s="1" t="n">
        <v>46257</v>
      </c>
      <c r="F634" t="inlineStr">
        <is>
          <t>ÖSTERGÖTLANDS LÄN</t>
        </is>
      </c>
      <c r="G634" t="inlineStr">
        <is>
          <t>NORRKÖPING</t>
        </is>
      </c>
      <c r="I634" t="n">
        <v>13.9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46257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44679</v>
      </c>
      <c r="E636" s="1" t="n">
        <v>46257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Allmännings- och besparingsskogar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46257</v>
      </c>
      <c r="F637" t="inlineStr">
        <is>
          <t>ÖSTERGÖTLANDS LÄN</t>
        </is>
      </c>
      <c r="G637" t="inlineStr">
        <is>
          <t>NORRKÖPING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46072</v>
      </c>
      <c r="E638" s="1" t="n">
        <v>46257</v>
      </c>
      <c r="F638" t="inlineStr">
        <is>
          <t>ÖSTERGÖTLANDS LÄN</t>
        </is>
      </c>
      <c r="G638" t="inlineStr">
        <is>
          <t>NORRKÖPING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13009-2026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46257</v>
      </c>
      <c r="F639" t="inlineStr">
        <is>
          <t>ÖSTERGÖTLANDS LÄN</t>
        </is>
      </c>
      <c r="G639" t="inlineStr">
        <is>
          <t>NORRKÖPING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46257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46231</v>
      </c>
      <c r="E641" s="1" t="n">
        <v>46257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46257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45359</v>
      </c>
      <c r="E643" s="1" t="n">
        <v>46257</v>
      </c>
      <c r="F643" t="inlineStr">
        <is>
          <t>ÖSTERGÖTLANDS LÄN</t>
        </is>
      </c>
      <c r="G643" t="inlineStr">
        <is>
          <t>NORRKÖPING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46072</v>
      </c>
      <c r="E644" s="1" t="n">
        <v>46257</v>
      </c>
      <c r="F644" t="inlineStr">
        <is>
          <t>ÖSTERGÖTLANDS LÄN</t>
        </is>
      </c>
      <c r="G644" t="inlineStr">
        <is>
          <t>NORRKÖPING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46257</v>
      </c>
      <c r="F645" t="inlineStr">
        <is>
          <t>ÖSTERGÖTLANDS LÄN</t>
        </is>
      </c>
      <c r="G645" t="inlineStr">
        <is>
          <t>NORRKÖPING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26999-2026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46257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46257</v>
      </c>
      <c r="F647" t="inlineStr">
        <is>
          <t>ÖSTERGÖTLANDS LÄN</t>
        </is>
      </c>
      <c r="G647" t="inlineStr">
        <is>
          <t>NORRKÖPING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13330-2026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46257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13388-2026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46257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46257</v>
      </c>
      <c r="F650" t="inlineStr">
        <is>
          <t>ÖSTERGÖTLANDS LÄN</t>
        </is>
      </c>
      <c r="G650" t="inlineStr">
        <is>
          <t>NORRKÖPING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13342-2026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46257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13091-2026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46257</v>
      </c>
      <c r="F652" t="inlineStr">
        <is>
          <t>ÖSTERGÖTLANDS LÄN</t>
        </is>
      </c>
      <c r="G652" t="inlineStr">
        <is>
          <t>NORRKÖPING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46257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53747-2022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44880</v>
      </c>
      <c r="E654" s="1" t="n">
        <v>46257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46257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46257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46257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46257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46257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46257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46257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46257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32028-2026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46257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44936</v>
      </c>
      <c r="E664" s="1" t="n">
        <v>46257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44936</v>
      </c>
      <c r="E665" s="1" t="n">
        <v>46257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46257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46257</v>
      </c>
      <c r="F667" t="inlineStr">
        <is>
          <t>ÖSTERGÖTLANDS LÄN</t>
        </is>
      </c>
      <c r="G667" t="inlineStr">
        <is>
          <t>NORRKÖPING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46257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15402-2025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45747</v>
      </c>
      <c r="E669" s="1" t="n">
        <v>46257</v>
      </c>
      <c r="F669" t="inlineStr">
        <is>
          <t>ÖSTERGÖTLANDS LÄN</t>
        </is>
      </c>
      <c r="G669" t="inlineStr">
        <is>
          <t>NORRKÖPING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46257</v>
      </c>
      <c r="F670" t="inlineStr">
        <is>
          <t>ÖSTERGÖTLANDS LÄN</t>
        </is>
      </c>
      <c r="G670" t="inlineStr">
        <is>
          <t>NORRKÖPING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15531-2026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46257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58525-2021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44488</v>
      </c>
      <c r="E672" s="1" t="n">
        <v>46257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11612-2023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44994</v>
      </c>
      <c r="E673" s="1" t="n">
        <v>46257</v>
      </c>
      <c r="F673" t="inlineStr">
        <is>
          <t>ÖSTERGÖTLANDS LÄN</t>
        </is>
      </c>
      <c r="G673" t="inlineStr">
        <is>
          <t>NORRKÖPING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16253-2023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45028</v>
      </c>
      <c r="E674" s="1" t="n">
        <v>46257</v>
      </c>
      <c r="F674" t="inlineStr">
        <is>
          <t>ÖSTERGÖTLANDS LÄN</t>
        </is>
      </c>
      <c r="G674" t="inlineStr">
        <is>
          <t>NORRKÖPING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45442</v>
      </c>
      <c r="E675" s="1" t="n">
        <v>46257</v>
      </c>
      <c r="F675" t="inlineStr">
        <is>
          <t>ÖSTERGÖTLANDS LÄN</t>
        </is>
      </c>
      <c r="G675" t="inlineStr">
        <is>
          <t>NORRKÖPING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16590-2024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45408</v>
      </c>
      <c r="E676" s="1" t="n">
        <v>46257</v>
      </c>
      <c r="F676" t="inlineStr">
        <is>
          <t>ÖSTERGÖTLANDS LÄN</t>
        </is>
      </c>
      <c r="G676" t="inlineStr">
        <is>
          <t>NORRKÖPING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16083-2026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46108</v>
      </c>
      <c r="E677" s="1" t="n">
        <v>46257</v>
      </c>
      <c r="F677" t="inlineStr">
        <is>
          <t>ÖSTERGÖTLANDS LÄN</t>
        </is>
      </c>
      <c r="G677" t="inlineStr">
        <is>
          <t>NORRKÖPING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46257</v>
      </c>
      <c r="F678" t="inlineStr">
        <is>
          <t>ÖSTERGÖTLANDS LÄN</t>
        </is>
      </c>
      <c r="G678" t="inlineStr">
        <is>
          <t>NORRKÖPING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46257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49799-2022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44862</v>
      </c>
      <c r="E680" s="1" t="n">
        <v>46257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46257</v>
      </c>
      <c r="F681" t="inlineStr">
        <is>
          <t>ÖSTERGÖTLANDS LÄN</t>
        </is>
      </c>
      <c r="G681" t="inlineStr">
        <is>
          <t>NORRKÖPING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24018-2025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45796</v>
      </c>
      <c r="E682" s="1" t="n">
        <v>46257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28256-2026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46257</v>
      </c>
      <c r="F683" t="inlineStr">
        <is>
          <t>ÖSTERGÖTLANDS LÄN</t>
        </is>
      </c>
      <c r="G683" t="inlineStr">
        <is>
          <t>NORRKÖPING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45043</v>
      </c>
      <c r="E684" s="1" t="n">
        <v>46257</v>
      </c>
      <c r="F684" t="inlineStr">
        <is>
          <t>ÖSTERGÖTLANDS LÄN</t>
        </is>
      </c>
      <c r="G684" t="inlineStr">
        <is>
          <t>NORRKÖPING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28271-2026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46257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28255-2026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46196</v>
      </c>
      <c r="E686" s="1" t="n">
        <v>46257</v>
      </c>
      <c r="F686" t="inlineStr">
        <is>
          <t>ÖSTERGÖTLANDS LÄN</t>
        </is>
      </c>
      <c r="G686" t="inlineStr">
        <is>
          <t>NORRKÖPING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16682-2026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46257</v>
      </c>
      <c r="F687" t="inlineStr">
        <is>
          <t>ÖSTERGÖTLANDS LÄN</t>
        </is>
      </c>
      <c r="G687" t="inlineStr">
        <is>
          <t>NORRKÖPING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28258-2026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46257</v>
      </c>
      <c r="F688" t="inlineStr">
        <is>
          <t>ÖSTERGÖTLANDS LÄN</t>
        </is>
      </c>
      <c r="G688" t="inlineStr">
        <is>
          <t>NORRKÖPING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29285-2026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46197</v>
      </c>
      <c r="E689" s="1" t="n">
        <v>46257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7.9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17453-2026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46257</v>
      </c>
      <c r="F690" t="inlineStr">
        <is>
          <t>ÖSTERGÖTLANDS LÄN</t>
        </is>
      </c>
      <c r="G690" t="inlineStr">
        <is>
          <t>NORRKÖPING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46257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46257</v>
      </c>
      <c r="F692" t="inlineStr">
        <is>
          <t>ÖSTERGÖTLANDS LÄN</t>
        </is>
      </c>
      <c r="G692" t="inlineStr">
        <is>
          <t>NORRKÖPING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36954-2022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44805</v>
      </c>
      <c r="E693" s="1" t="n">
        <v>46257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47051-2023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46257</v>
      </c>
      <c r="F694" t="inlineStr">
        <is>
          <t>ÖSTERGÖTLANDS LÄN</t>
        </is>
      </c>
      <c r="G694" t="inlineStr">
        <is>
          <t>NORRKÖPING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28835-2026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46257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34393-2023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45132</v>
      </c>
      <c r="E696" s="1" t="n">
        <v>46257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11641-2024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45373</v>
      </c>
      <c r="E697" s="1" t="n">
        <v>46257</v>
      </c>
      <c r="F697" t="inlineStr">
        <is>
          <t>ÖSTERGÖTLANDS LÄN</t>
        </is>
      </c>
      <c r="G697" t="inlineStr">
        <is>
          <t>NORRKÖPING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11261-2023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44992</v>
      </c>
      <c r="E698" s="1" t="n">
        <v>46257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46257</v>
      </c>
      <c r="F699" t="inlineStr">
        <is>
          <t>ÖSTERGÖTLANDS LÄN</t>
        </is>
      </c>
      <c r="G699" t="inlineStr">
        <is>
          <t>NORRKÖPING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10796-2024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45369</v>
      </c>
      <c r="E700" s="1" t="n">
        <v>46257</v>
      </c>
      <c r="F700" t="inlineStr">
        <is>
          <t>ÖSTERGÖTLANDS LÄN</t>
        </is>
      </c>
      <c r="G700" t="inlineStr">
        <is>
          <t>NORRKÖPING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46257</v>
      </c>
      <c r="F701" t="inlineStr">
        <is>
          <t>ÖSTERGÖTLANDS LÄN</t>
        </is>
      </c>
      <c r="G701" t="inlineStr">
        <is>
          <t>NORRKÖPING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46257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2287-2025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45673</v>
      </c>
      <c r="E703" s="1" t="n">
        <v>46257</v>
      </c>
      <c r="F703" t="inlineStr">
        <is>
          <t>ÖSTERGÖTLANDS LÄN</t>
        </is>
      </c>
      <c r="G703" t="inlineStr">
        <is>
          <t>NORRKÖPING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33341-2023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45128</v>
      </c>
      <c r="E704" s="1" t="n">
        <v>46257</v>
      </c>
      <c r="F704" t="inlineStr">
        <is>
          <t>ÖSTERGÖTLANDS LÄN</t>
        </is>
      </c>
      <c r="G704" t="inlineStr">
        <is>
          <t>NORRKÖPING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14441-2025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45741</v>
      </c>
      <c r="E705" s="1" t="n">
        <v>46257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46257</v>
      </c>
      <c r="F706" t="inlineStr">
        <is>
          <t>ÖSTERGÖTLANDS LÄN</t>
        </is>
      </c>
      <c r="G706" t="inlineStr">
        <is>
          <t>NORRKÖPING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18819-2026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46257</v>
      </c>
      <c r="F707" t="inlineStr">
        <is>
          <t>ÖSTERGÖTLANDS LÄN</t>
        </is>
      </c>
      <c r="G707" t="inlineStr">
        <is>
          <t>NORRKÖPING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29010-2023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45096</v>
      </c>
      <c r="E708" s="1" t="n">
        <v>46257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Allmännings- och besparingsskogar</t>
        </is>
      </c>
      <c r="I708" t="n">
        <v>12.3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46257</v>
      </c>
      <c r="F709" t="inlineStr">
        <is>
          <t>ÖSTERGÖTLANDS LÄN</t>
        </is>
      </c>
      <c r="G709" t="inlineStr">
        <is>
          <t>NORRKÖPING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32926-2026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46257</v>
      </c>
      <c r="F710" t="inlineStr">
        <is>
          <t>ÖSTERGÖTLANDS LÄN</t>
        </is>
      </c>
      <c r="G710" t="inlineStr">
        <is>
          <t>NORRKÖPING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32814-2026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46241</v>
      </c>
      <c r="E711" s="1" t="n">
        <v>46257</v>
      </c>
      <c r="F711" t="inlineStr">
        <is>
          <t>ÖSTERGÖTLANDS LÄN</t>
        </is>
      </c>
      <c r="G711" t="inlineStr">
        <is>
          <t>NORRKÖPING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46241</v>
      </c>
      <c r="E712" s="1" t="n">
        <v>46257</v>
      </c>
      <c r="F712" t="inlineStr">
        <is>
          <t>ÖSTERGÖTLANDS LÄN</t>
        </is>
      </c>
      <c r="G712" t="inlineStr">
        <is>
          <t>NORRKÖPING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46257</v>
      </c>
      <c r="F713" t="inlineStr">
        <is>
          <t>ÖSTERGÖTLANDS LÄN</t>
        </is>
      </c>
      <c r="G713" t="inlineStr">
        <is>
          <t>NORRKÖPING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46245</v>
      </c>
      <c r="E714" s="1" t="n">
        <v>46257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46257</v>
      </c>
      <c r="F715" t="inlineStr">
        <is>
          <t>ÖSTERGÖTLANDS LÄN</t>
        </is>
      </c>
      <c r="G715" t="inlineStr">
        <is>
          <t>NORRKÖPING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46257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46257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46257</v>
      </c>
      <c r="F718" t="inlineStr">
        <is>
          <t>ÖSTERGÖTLANDS LÄN</t>
        </is>
      </c>
      <c r="G718" t="inlineStr">
        <is>
          <t>NORRKÖPING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57492-2023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46257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57496-2023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45246</v>
      </c>
      <c r="E720" s="1" t="n">
        <v>46257</v>
      </c>
      <c r="F720" t="inlineStr">
        <is>
          <t>ÖSTERGÖTLANDS LÄN</t>
        </is>
      </c>
      <c r="G720" t="inlineStr">
        <is>
          <t>NORRKÖPING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33013-2026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46257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46257</v>
      </c>
      <c r="F722" t="inlineStr">
        <is>
          <t>ÖSTERGÖTLANDS LÄN</t>
        </is>
      </c>
      <c r="G722" t="inlineStr">
        <is>
          <t>NORRKÖPING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20001-2026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46135</v>
      </c>
      <c r="E723" s="1" t="n">
        <v>46257</v>
      </c>
      <c r="F723" t="inlineStr">
        <is>
          <t>ÖSTERGÖTLANDS LÄN</t>
        </is>
      </c>
      <c r="G723" t="inlineStr">
        <is>
          <t>NORRKÖPING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33124-2026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46245</v>
      </c>
      <c r="E724" s="1" t="n">
        <v>46257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19801-2026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46257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46257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41381-2023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46257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46257</v>
      </c>
      <c r="F728" t="inlineStr">
        <is>
          <t>ÖSTERGÖTLANDS LÄN</t>
        </is>
      </c>
      <c r="G728" t="inlineStr">
        <is>
          <t>NORRKÖPING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39863-2025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45891</v>
      </c>
      <c r="E729" s="1" t="n">
        <v>46257</v>
      </c>
      <c r="F729" t="inlineStr">
        <is>
          <t>ÖSTERGÖTLANDS LÄN</t>
        </is>
      </c>
      <c r="G729" t="inlineStr">
        <is>
          <t>NORRKÖPING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45457</v>
      </c>
      <c r="E730" s="1" t="n">
        <v>46257</v>
      </c>
      <c r="F730" t="inlineStr">
        <is>
          <t>ÖSTERGÖTLANDS LÄN</t>
        </is>
      </c>
      <c r="G730" t="inlineStr">
        <is>
          <t>NORRKÖPING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62176-2024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45657</v>
      </c>
      <c r="E731" s="1" t="n">
        <v>46257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46257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26407-2023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45092</v>
      </c>
      <c r="E733" s="1" t="n">
        <v>46257</v>
      </c>
      <c r="F733" t="inlineStr">
        <is>
          <t>ÖSTERGÖTLANDS LÄN</t>
        </is>
      </c>
      <c r="G733" t="inlineStr">
        <is>
          <t>NORRKÖPING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59964-2023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45254</v>
      </c>
      <c r="E734" s="1" t="n">
        <v>46257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16594-2023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45027</v>
      </c>
      <c r="E735" s="1" t="n">
        <v>46257</v>
      </c>
      <c r="F735" t="inlineStr">
        <is>
          <t>ÖSTERGÖTLANDS LÄN</t>
        </is>
      </c>
      <c r="G735" t="inlineStr">
        <is>
          <t>NORRKÖPING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18592-2024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45425</v>
      </c>
      <c r="E736" s="1" t="n">
        <v>46257</v>
      </c>
      <c r="F736" t="inlineStr">
        <is>
          <t>ÖSTERGÖTLANDS LÄN</t>
        </is>
      </c>
      <c r="G736" t="inlineStr">
        <is>
          <t>NORRKÖPING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46270-2024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45581</v>
      </c>
      <c r="E737" s="1" t="n">
        <v>46257</v>
      </c>
      <c r="F737" t="inlineStr">
        <is>
          <t>ÖSTERGÖTLANDS LÄN</t>
        </is>
      </c>
      <c r="G737" t="inlineStr">
        <is>
          <t>NORRKÖPING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20352-2026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46139</v>
      </c>
      <c r="E738" s="1" t="n">
        <v>46257</v>
      </c>
      <c r="F738" t="inlineStr">
        <is>
          <t>ÖSTERGÖTLANDS LÄN</t>
        </is>
      </c>
      <c r="G738" t="inlineStr">
        <is>
          <t>NORRKÖPING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26977-2023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45091</v>
      </c>
      <c r="E739" s="1" t="n">
        <v>46257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46257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46257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45043</v>
      </c>
      <c r="E742" s="1" t="n">
        <v>46257</v>
      </c>
      <c r="F742" t="inlineStr">
        <is>
          <t>ÖSTERGÖTLANDS LÄN</t>
        </is>
      </c>
      <c r="G742" t="inlineStr">
        <is>
          <t>NORRKÖPING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12727-2022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44641</v>
      </c>
      <c r="E743" s="1" t="n">
        <v>46257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29416-2026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46257</v>
      </c>
      <c r="F744" t="inlineStr">
        <is>
          <t>ÖSTERGÖTLANDS LÄN</t>
        </is>
      </c>
      <c r="G744" t="inlineStr">
        <is>
          <t>NORRKÖPING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38571-2025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45884</v>
      </c>
      <c r="E745" s="1" t="n">
        <v>46257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45442</v>
      </c>
      <c r="E746" s="1" t="n">
        <v>46257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45008</v>
      </c>
      <c r="E747" s="1" t="n">
        <v>46257</v>
      </c>
      <c r="F747" t="inlineStr">
        <is>
          <t>ÖSTERGÖTLANDS LÄN</t>
        </is>
      </c>
      <c r="G747" t="inlineStr">
        <is>
          <t>NORRKÖPING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46205-2025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45924</v>
      </c>
      <c r="E748" s="1" t="n">
        <v>46257</v>
      </c>
      <c r="F748" t="inlineStr">
        <is>
          <t>ÖSTERGÖTLANDS LÄN</t>
        </is>
      </c>
      <c r="G748" t="inlineStr">
        <is>
          <t>NORRKÖPING</t>
        </is>
      </c>
      <c r="I748" t="n">
        <v>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45833</v>
      </c>
      <c r="E749" s="1" t="n">
        <v>46257</v>
      </c>
      <c r="F749" t="inlineStr">
        <is>
          <t>ÖSTERGÖTLANDS LÄN</t>
        </is>
      </c>
      <c r="G749" t="inlineStr">
        <is>
          <t>NORRKÖPING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6490-2024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45339</v>
      </c>
      <c r="E750" s="1" t="n">
        <v>46257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17852-2025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45758</v>
      </c>
      <c r="E751" s="1" t="n">
        <v>46257</v>
      </c>
      <c r="F751" t="inlineStr">
        <is>
          <t>ÖSTERGÖTLANDS LÄN</t>
        </is>
      </c>
      <c r="G751" t="inlineStr">
        <is>
          <t>NORRKÖPING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38719-2025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45886</v>
      </c>
      <c r="E752" s="1" t="n">
        <v>46257</v>
      </c>
      <c r="F752" t="inlineStr">
        <is>
          <t>ÖSTERGÖTLANDS LÄN</t>
        </is>
      </c>
      <c r="G752" t="inlineStr">
        <is>
          <t>NORRKÖPING</t>
        </is>
      </c>
      <c r="I752" t="n">
        <v>14.3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54851-2025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45966</v>
      </c>
      <c r="E753" s="1" t="n">
        <v>46257</v>
      </c>
      <c r="F753" t="inlineStr">
        <is>
          <t>ÖSTERGÖTLANDS LÄN</t>
        </is>
      </c>
      <c r="G753" t="inlineStr">
        <is>
          <t>NORRKÖPING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39224-2025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45889</v>
      </c>
      <c r="E754" s="1" t="n">
        <v>46257</v>
      </c>
      <c r="F754" t="inlineStr">
        <is>
          <t>ÖSTERGÖTLANDS LÄN</t>
        </is>
      </c>
      <c r="G754" t="inlineStr">
        <is>
          <t>NORRKÖPING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23941-2025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45796</v>
      </c>
      <c r="E755" s="1" t="n">
        <v>46257</v>
      </c>
      <c r="F755" t="inlineStr">
        <is>
          <t>ÖSTERGÖTLANDS LÄN</t>
        </is>
      </c>
      <c r="G755" t="inlineStr">
        <is>
          <t>NORRKÖPING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45093</v>
      </c>
      <c r="E756" s="1" t="n">
        <v>46257</v>
      </c>
      <c r="F756" t="inlineStr">
        <is>
          <t>ÖSTERGÖTLANDS LÄN</t>
        </is>
      </c>
      <c r="G756" t="inlineStr">
        <is>
          <t>NORRKÖPING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46257</v>
      </c>
      <c r="F757" t="inlineStr">
        <is>
          <t>ÖSTERGÖTLANDS LÄN</t>
        </is>
      </c>
      <c r="G757" t="inlineStr">
        <is>
          <t>NORRKÖPING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44992</v>
      </c>
      <c r="E758" s="1" t="n">
        <v>46257</v>
      </c>
      <c r="F758" t="inlineStr">
        <is>
          <t>ÖSTERGÖTLANDS LÄN</t>
        </is>
      </c>
      <c r="G758" t="inlineStr">
        <is>
          <t>NORRKÖPING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9233-2023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44980</v>
      </c>
      <c r="E759" s="1" t="n">
        <v>46257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30217-2026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46257</v>
      </c>
      <c r="F760" t="inlineStr">
        <is>
          <t>ÖSTERGÖTLANDS LÄN</t>
        </is>
      </c>
      <c r="G760" t="inlineStr">
        <is>
          <t>NORRKÖPING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23349-2024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45453</v>
      </c>
      <c r="E761" s="1" t="n">
        <v>46257</v>
      </c>
      <c r="F761" t="inlineStr">
        <is>
          <t>ÖSTERGÖTLANDS LÄN</t>
        </is>
      </c>
      <c r="G761" t="inlineStr">
        <is>
          <t>NORRKÖPING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33703-2024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45520</v>
      </c>
      <c r="E762" s="1" t="n">
        <v>46257</v>
      </c>
      <c r="F762" t="inlineStr">
        <is>
          <t>ÖSTERGÖTLANDS LÄN</t>
        </is>
      </c>
      <c r="G762" t="inlineStr">
        <is>
          <t>NORRKÖPING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59077-2023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45252</v>
      </c>
      <c r="E763" s="1" t="n">
        <v>46257</v>
      </c>
      <c r="F763" t="inlineStr">
        <is>
          <t>ÖSTERGÖTLANDS LÄN</t>
        </is>
      </c>
      <c r="G763" t="inlineStr">
        <is>
          <t>NORRKÖPING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58884-2024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45636</v>
      </c>
      <c r="E764" s="1" t="n">
        <v>46257</v>
      </c>
      <c r="F764" t="inlineStr">
        <is>
          <t>ÖSTERGÖTLANDS LÄN</t>
        </is>
      </c>
      <c r="G764" t="inlineStr">
        <is>
          <t>NORRKÖPING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45636</v>
      </c>
      <c r="E765" s="1" t="n">
        <v>46257</v>
      </c>
      <c r="F765" t="inlineStr">
        <is>
          <t>ÖSTERGÖTLANDS LÄN</t>
        </is>
      </c>
      <c r="G765" t="inlineStr">
        <is>
          <t>NORRKÖPING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39861-2025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45891</v>
      </c>
      <c r="E766" s="1" t="n">
        <v>46257</v>
      </c>
      <c r="F766" t="inlineStr">
        <is>
          <t>ÖSTERGÖTLANDS LÄN</t>
        </is>
      </c>
      <c r="G766" t="inlineStr">
        <is>
          <t>NORRKÖPING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1506-2022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44573</v>
      </c>
      <c r="E767" s="1" t="n">
        <v>46257</v>
      </c>
      <c r="F767" t="inlineStr">
        <is>
          <t>ÖSTERGÖTLANDS LÄN</t>
        </is>
      </c>
      <c r="G767" t="inlineStr">
        <is>
          <t>NORRKÖPING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24634-2025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45798</v>
      </c>
      <c r="E768" s="1" t="n">
        <v>46257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20194-2026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46139</v>
      </c>
      <c r="E769" s="1" t="n">
        <v>46257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45330</v>
      </c>
      <c r="E770" s="1" t="n">
        <v>46257</v>
      </c>
      <c r="F770" t="inlineStr">
        <is>
          <t>ÖSTERGÖTLANDS LÄN</t>
        </is>
      </c>
      <c r="G770" t="inlineStr">
        <is>
          <t>NORRKÖPING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49617-2022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44862</v>
      </c>
      <c r="E771" s="1" t="n">
        <v>46257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36302-2025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45867</v>
      </c>
      <c r="E772" s="1" t="n">
        <v>46257</v>
      </c>
      <c r="F772" t="inlineStr">
        <is>
          <t>ÖSTERGÖTLANDS LÄN</t>
        </is>
      </c>
      <c r="G772" t="inlineStr">
        <is>
          <t>NORRKÖPING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46213</v>
      </c>
      <c r="E773" s="1" t="n">
        <v>46257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32623-2026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46240</v>
      </c>
      <c r="E774" s="1" t="n">
        <v>46257</v>
      </c>
      <c r="F774" t="inlineStr">
        <is>
          <t>ÖSTERGÖTLANDS LÄN</t>
        </is>
      </c>
      <c r="G774" t="inlineStr">
        <is>
          <t>NORRKÖPING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32681-2025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45836</v>
      </c>
      <c r="E775" s="1" t="n">
        <v>46257</v>
      </c>
      <c r="F775" t="inlineStr">
        <is>
          <t>ÖSTERGÖTLANDS LÄN</t>
        </is>
      </c>
      <c r="G775" t="inlineStr">
        <is>
          <t>NORRKÖPING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42173-2023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45178</v>
      </c>
      <c r="E776" s="1" t="n">
        <v>46257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44573</v>
      </c>
      <c r="E777" s="1" t="n">
        <v>46257</v>
      </c>
      <c r="F777" t="inlineStr">
        <is>
          <t>ÖSTERGÖTLANDS LÄN</t>
        </is>
      </c>
      <c r="G777" t="inlineStr">
        <is>
          <t>NORRKÖPING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46257</v>
      </c>
      <c r="F778" t="inlineStr">
        <is>
          <t>ÖSTERGÖTLANDS LÄN</t>
        </is>
      </c>
      <c r="G778" t="inlineStr">
        <is>
          <t>NORRKÖPING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30062-2023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45110</v>
      </c>
      <c r="E779" s="1" t="n">
        <v>46257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22470-2022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44713</v>
      </c>
      <c r="E780" s="1" t="n">
        <v>46257</v>
      </c>
      <c r="F780" t="inlineStr">
        <is>
          <t>ÖSTERGÖTLANDS LÄN</t>
        </is>
      </c>
      <c r="G780" t="inlineStr">
        <is>
          <t>NORRKÖPING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30905-2026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46213</v>
      </c>
      <c r="E781" s="1" t="n">
        <v>46257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30911-2026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46213</v>
      </c>
      <c r="E782" s="1" t="n">
        <v>46257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30901-2026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46213</v>
      </c>
      <c r="E783" s="1" t="n">
        <v>46257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46050</v>
      </c>
      <c r="E784" s="1" t="n">
        <v>46257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Allmännings- och besparingsskogar</t>
        </is>
      </c>
      <c r="I784" t="n">
        <v>6.5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45112</v>
      </c>
      <c r="E785" s="1" t="n">
        <v>46257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18686-2023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45043</v>
      </c>
      <c r="E786" s="1" t="n">
        <v>46257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26583-2022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44739</v>
      </c>
      <c r="E787" s="1" t="n">
        <v>46257</v>
      </c>
      <c r="F787" t="inlineStr">
        <is>
          <t>ÖSTERGÖTLANDS LÄN</t>
        </is>
      </c>
      <c r="G787" t="inlineStr">
        <is>
          <t>NORRKÖPING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45317</v>
      </c>
      <c r="E788" s="1" t="n">
        <v>46257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19702-2024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45432</v>
      </c>
      <c r="E789" s="1" t="n">
        <v>46257</v>
      </c>
      <c r="F789" t="inlineStr">
        <is>
          <t>ÖSTERGÖTLANDS LÄN</t>
        </is>
      </c>
      <c r="G789" t="inlineStr">
        <is>
          <t>NORRKÖPING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45715</v>
      </c>
      <c r="E790" s="1" t="n">
        <v>46257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11519-2025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45726</v>
      </c>
      <c r="E791" s="1" t="n">
        <v>46257</v>
      </c>
      <c r="F791" t="inlineStr">
        <is>
          <t>ÖSTERGÖTLANDS LÄN</t>
        </is>
      </c>
      <c r="G791" t="inlineStr">
        <is>
          <t>NORRKÖPING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45723</v>
      </c>
      <c r="E792" s="1" t="n">
        <v>46257</v>
      </c>
      <c r="F792" t="inlineStr">
        <is>
          <t>ÖSTERGÖTLANDS LÄN</t>
        </is>
      </c>
      <c r="G792" t="inlineStr">
        <is>
          <t>NORRKÖPING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46257</v>
      </c>
      <c r="F793" t="inlineStr">
        <is>
          <t>ÖSTERGÖTLANDS LÄN</t>
        </is>
      </c>
      <c r="G793" t="inlineStr">
        <is>
          <t>NORRKÖPING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45030</v>
      </c>
      <c r="E794" s="1" t="n">
        <v>46257</v>
      </c>
      <c r="F794" t="inlineStr">
        <is>
          <t>ÖSTERGÖTLANDS LÄN</t>
        </is>
      </c>
      <c r="G794" t="inlineStr">
        <is>
          <t>NORRKÖPING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59520-2023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45254</v>
      </c>
      <c r="E795" s="1" t="n">
        <v>46257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BillerudKorsnäs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46146</v>
      </c>
      <c r="E796" s="1" t="n">
        <v>46257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46257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48091-2023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45205</v>
      </c>
      <c r="E798" s="1" t="n">
        <v>46257</v>
      </c>
      <c r="F798" t="inlineStr">
        <is>
          <t>ÖSTERGÖTLANDS LÄN</t>
        </is>
      </c>
      <c r="G798" t="inlineStr">
        <is>
          <t>NORRKÖPING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46738-2022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44851</v>
      </c>
      <c r="E799" s="1" t="n">
        <v>46257</v>
      </c>
      <c r="F799" t="inlineStr">
        <is>
          <t>ÖSTERGÖTLANDS LÄN</t>
        </is>
      </c>
      <c r="G799" t="inlineStr">
        <is>
          <t>NORRKÖPING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33446-2023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45129</v>
      </c>
      <c r="E800" s="1" t="n">
        <v>46257</v>
      </c>
      <c r="F800" t="inlineStr">
        <is>
          <t>ÖSTERGÖTLANDS LÄN</t>
        </is>
      </c>
      <c r="G800" t="inlineStr">
        <is>
          <t>NORRKÖPING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28663-2024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45478</v>
      </c>
      <c r="E801" s="1" t="n">
        <v>46257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4770-2023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44957</v>
      </c>
      <c r="E802" s="1" t="n">
        <v>46257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45403</v>
      </c>
      <c r="E803" s="1" t="n">
        <v>46257</v>
      </c>
      <c r="F803" t="inlineStr">
        <is>
          <t>ÖSTERGÖTLANDS LÄN</t>
        </is>
      </c>
      <c r="G803" t="inlineStr">
        <is>
          <t>NORRKÖPING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45033</v>
      </c>
      <c r="E804" s="1" t="n">
        <v>46257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48758-2024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45593</v>
      </c>
      <c r="E805" s="1" t="n">
        <v>46257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17714-2023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45037</v>
      </c>
      <c r="E806" s="1" t="n">
        <v>46257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16689-2023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45030</v>
      </c>
      <c r="E807" s="1" t="n">
        <v>46257</v>
      </c>
      <c r="F807" t="inlineStr">
        <is>
          <t>ÖSTERGÖTLANDS LÄN</t>
        </is>
      </c>
      <c r="G807" t="inlineStr">
        <is>
          <t>NORRKÖPING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19114-2023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45048</v>
      </c>
      <c r="E808" s="1" t="n">
        <v>46257</v>
      </c>
      <c r="F808" t="inlineStr">
        <is>
          <t>ÖSTERGÖTLANDS LÄN</t>
        </is>
      </c>
      <c r="G808" t="inlineStr">
        <is>
          <t>NORRKÖPING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21093-2025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45777</v>
      </c>
      <c r="E809" s="1" t="n">
        <v>46257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21770-2025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45783</v>
      </c>
      <c r="E810" s="1" t="n">
        <v>46257</v>
      </c>
      <c r="F810" t="inlineStr">
        <is>
          <t>ÖSTERGÖTLANDS LÄN</t>
        </is>
      </c>
      <c r="G810" t="inlineStr">
        <is>
          <t>NORRKÖPING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21542-2025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45782</v>
      </c>
      <c r="E811" s="1" t="n">
        <v>46257</v>
      </c>
      <c r="F811" t="inlineStr">
        <is>
          <t>ÖSTERGÖTLANDS LÄN</t>
        </is>
      </c>
      <c r="G811" t="inlineStr">
        <is>
          <t>NORRKÖPING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1884-2025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45671</v>
      </c>
      <c r="E812" s="1" t="n">
        <v>46257</v>
      </c>
      <c r="F812" t="inlineStr">
        <is>
          <t>ÖSTERGÖTLANDS LÄN</t>
        </is>
      </c>
      <c r="G812" t="inlineStr">
        <is>
          <t>NORRKÖPING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21909-2025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45784</v>
      </c>
      <c r="E813" s="1" t="n">
        <v>46257</v>
      </c>
      <c r="F813" t="inlineStr">
        <is>
          <t>ÖSTERGÖTLANDS LÄN</t>
        </is>
      </c>
      <c r="G813" t="inlineStr">
        <is>
          <t>NORRKÖPING</t>
        </is>
      </c>
      <c r="I813" t="n">
        <v>7.9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45369</v>
      </c>
      <c r="E814" s="1" t="n">
        <v>46257</v>
      </c>
      <c r="F814" t="inlineStr">
        <is>
          <t>ÖSTERGÖTLANDS LÄN</t>
        </is>
      </c>
      <c r="G814" t="inlineStr">
        <is>
          <t>NORRKÖPING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21967-2025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45784</v>
      </c>
      <c r="E815" s="1" t="n">
        <v>46257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22439-2025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45786</v>
      </c>
      <c r="E816" s="1" t="n">
        <v>46257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Naturvårdsverket</t>
        </is>
      </c>
      <c r="I816" t="n">
        <v>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22307-2025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46257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44565</v>
      </c>
      <c r="E818" s="1" t="n">
        <v>46257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Allmännings- och besparingsskogar</t>
        </is>
      </c>
      <c r="I818" t="n">
        <v>9.300000000000001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26398-2023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45092</v>
      </c>
      <c r="E819" s="1" t="n">
        <v>46257</v>
      </c>
      <c r="F819" t="inlineStr">
        <is>
          <t>ÖSTERGÖTLANDS LÄN</t>
        </is>
      </c>
      <c r="G819" t="inlineStr">
        <is>
          <t>NORRKÖPING</t>
        </is>
      </c>
      <c r="I819" t="n">
        <v>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23366-2024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45453</v>
      </c>
      <c r="E820" s="1" t="n">
        <v>46257</v>
      </c>
      <c r="F820" t="inlineStr">
        <is>
          <t>ÖSTERGÖTLANDS LÄN</t>
        </is>
      </c>
      <c r="G820" t="inlineStr">
        <is>
          <t>NORRKÖPING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23368-2024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45453</v>
      </c>
      <c r="E821" s="1" t="n">
        <v>46257</v>
      </c>
      <c r="F821" t="inlineStr">
        <is>
          <t>ÖSTERGÖTLANDS LÄN</t>
        </is>
      </c>
      <c r="G821" t="inlineStr">
        <is>
          <t>NORRKÖPING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2288-2024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45310</v>
      </c>
      <c r="E822" s="1" t="n">
        <v>46257</v>
      </c>
      <c r="F822" t="inlineStr">
        <is>
          <t>ÖSTERGÖTLANDS LÄN</t>
        </is>
      </c>
      <c r="G822" t="inlineStr">
        <is>
          <t>NORRKÖPING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22881-2025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45790</v>
      </c>
      <c r="E823" s="1" t="n">
        <v>46257</v>
      </c>
      <c r="F823" t="inlineStr">
        <is>
          <t>ÖSTERGÖTLANDS LÄN</t>
        </is>
      </c>
      <c r="G823" t="inlineStr">
        <is>
          <t>NORRKÖPING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60800-2023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45259</v>
      </c>
      <c r="E824" s="1" t="n">
        <v>46257</v>
      </c>
      <c r="F824" t="inlineStr">
        <is>
          <t>ÖSTERGÖTLANDS LÄN</t>
        </is>
      </c>
      <c r="G824" t="inlineStr">
        <is>
          <t>NORRKÖPING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23954-2025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45796</v>
      </c>
      <c r="E825" s="1" t="n">
        <v>46257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3018-2025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45678</v>
      </c>
      <c r="E826" s="1" t="n">
        <v>46257</v>
      </c>
      <c r="F826" t="inlineStr">
        <is>
          <t>ÖSTERGÖTLANDS LÄN</t>
        </is>
      </c>
      <c r="G826" t="inlineStr">
        <is>
          <t>NORRKÖPING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24049-2025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45796</v>
      </c>
      <c r="E827" s="1" t="n">
        <v>46257</v>
      </c>
      <c r="F827" t="inlineStr">
        <is>
          <t>ÖSTERGÖTLANDS LÄN</t>
        </is>
      </c>
      <c r="G827" t="inlineStr">
        <is>
          <t>NORRKÖPING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24555-2025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45798</v>
      </c>
      <c r="E828" s="1" t="n">
        <v>46257</v>
      </c>
      <c r="F828" t="inlineStr">
        <is>
          <t>ÖSTERGÖTLANDS LÄN</t>
        </is>
      </c>
      <c r="G828" t="inlineStr">
        <is>
          <t>NORRKÖPING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2289-2020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44130</v>
      </c>
      <c r="E829" s="1" t="n">
        <v>46257</v>
      </c>
      <c r="F829" t="inlineStr">
        <is>
          <t>ÖSTERGÖTLANDS LÄN</t>
        </is>
      </c>
      <c r="G829" t="inlineStr">
        <is>
          <t>NORRKÖPING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1519-2021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44313</v>
      </c>
      <c r="E830" s="1" t="n">
        <v>46257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161-2021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44230</v>
      </c>
      <c r="E831" s="1" t="n">
        <v>46257</v>
      </c>
      <c r="F831" t="inlineStr">
        <is>
          <t>ÖSTERGÖTLANDS LÄN</t>
        </is>
      </c>
      <c r="G831" t="inlineStr">
        <is>
          <t>NORRKÖPING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211-2024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45316</v>
      </c>
      <c r="E832" s="1" t="n">
        <v>46257</v>
      </c>
      <c r="F832" t="inlineStr">
        <is>
          <t>ÖSTERGÖTLANDS LÄN</t>
        </is>
      </c>
      <c r="G832" t="inlineStr">
        <is>
          <t>NORRKÖPING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44638</v>
      </c>
      <c r="E833" s="1" t="n">
        <v>46257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1678-2022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44649</v>
      </c>
      <c r="E834" s="1" t="n">
        <v>46257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10364-2021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44551</v>
      </c>
      <c r="E835" s="1" t="n">
        <v>46257</v>
      </c>
      <c r="F835" t="inlineStr">
        <is>
          <t>ÖSTERGÖTLANDS LÄN</t>
        </is>
      </c>
      <c r="G835" t="inlineStr">
        <is>
          <t>NORRKÖPING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4973-2024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45629</v>
      </c>
      <c r="E836" s="1" t="n">
        <v>46257</v>
      </c>
      <c r="F836" t="inlineStr">
        <is>
          <t>ÖSTERGÖTLANDS LÄN</t>
        </is>
      </c>
      <c r="G836" t="inlineStr">
        <is>
          <t>NORRKÖPING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46257</v>
      </c>
      <c r="F837" t="inlineStr">
        <is>
          <t>ÖSTERGÖTLANDS LÄN</t>
        </is>
      </c>
      <c r="G837" t="inlineStr">
        <is>
          <t>NORRKÖPING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1663-2024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45432</v>
      </c>
      <c r="E838" s="1" t="n">
        <v>46257</v>
      </c>
      <c r="F838" t="inlineStr">
        <is>
          <t>ÖSTERGÖTLANDS LÄN</t>
        </is>
      </c>
      <c r="G838" t="inlineStr">
        <is>
          <t>NORRKÖPING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2481-2022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44692</v>
      </c>
      <c r="E839" s="1" t="n">
        <v>46257</v>
      </c>
      <c r="F839" t="inlineStr">
        <is>
          <t>ÖSTERGÖTLANDS LÄN</t>
        </is>
      </c>
      <c r="G839" t="inlineStr">
        <is>
          <t>NORRKÖPING</t>
        </is>
      </c>
      <c r="I839" t="n">
        <v>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4012-2024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46257</v>
      </c>
      <c r="F840" t="inlineStr">
        <is>
          <t>ÖSTERGÖTLANDS LÄN</t>
        </is>
      </c>
      <c r="G840" t="inlineStr">
        <is>
          <t>NORRKÖPING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1486-2025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45789</v>
      </c>
      <c r="E841" s="1" t="n">
        <v>46257</v>
      </c>
      <c r="F841" t="inlineStr">
        <is>
          <t>ÖSTERGÖTLANDS LÄN</t>
        </is>
      </c>
      <c r="G841" t="inlineStr">
        <is>
          <t>NORRKÖPING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1433-2025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45784</v>
      </c>
      <c r="E842" s="1" t="n">
        <v>46257</v>
      </c>
      <c r="F842" t="inlineStr">
        <is>
          <t>ÖSTERGÖTLANDS LÄN</t>
        </is>
      </c>
      <c r="G842" t="inlineStr">
        <is>
          <t>NORRKÖPING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2026-08-23T01:51:11Z</dcterms:created>
  <dcterms:modified xmlns:dcterms="http://purl.org/dc/terms/" xmlns:xsi="http://www.w3.org/2001/XMLSchema-instance" xsi:type="dcterms:W3CDTF">2026-08-23T01:51:12Z</dcterms:modified>
</cp:coreProperties>
</file>