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45839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45839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45839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45839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45839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45839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45839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45839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45839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45839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45839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45839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45839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45839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45839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45839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45839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45839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45839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45839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45839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45839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45839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45839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45839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45839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45839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45839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45839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45839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45839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45839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45839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45839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45839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45839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45839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45839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45839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45839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45839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45839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45839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45839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45839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45839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45839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45839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45839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45839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45839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45839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45839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45839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45839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45839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30910-2025</t>
        </is>
      </c>
      <c r="B151" s="1" t="n">
        <v>45832</v>
      </c>
      <c r="C151" s="1" t="n">
        <v>45839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8.4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Bronshjon</t>
        </is>
      </c>
      <c r="S151">
        <f>HYPERLINK("https://klasma.github.io/Logging_050581/artfynd/A 30910-2025 artfynd.xlsx", "A 30910-2025")</f>
        <v/>
      </c>
      <c r="T151">
        <f>HYPERLINK("https://klasma.github.io/Logging_050581/kartor/A 30910-2025 karta.png", "A 30910-2025")</f>
        <v/>
      </c>
      <c r="V151">
        <f>HYPERLINK("https://klasma.github.io/Logging_050581/klagomål/A 30910-2025 FSC-klagomål.docx", "A 30910-2025")</f>
        <v/>
      </c>
      <c r="W151">
        <f>HYPERLINK("https://klasma.github.io/Logging_050581/klagomålsmail/A 30910-2025 FSC-klagomål mail.docx", "A 30910-2025")</f>
        <v/>
      </c>
      <c r="X151">
        <f>HYPERLINK("https://klasma.github.io/Logging_050581/tillsyn/A 30910-2025 tillsynsbegäran.docx", "A 30910-2025")</f>
        <v/>
      </c>
      <c r="Y151">
        <f>HYPERLINK("https://klasma.github.io/Logging_050581/tillsynsmail/A 30910-2025 tillsynsbegäran mail.docx", "A 30910-2025")</f>
        <v/>
      </c>
    </row>
    <row r="152" ht="15" customHeight="1">
      <c r="A152" t="inlineStr">
        <is>
          <t>A 30871-2025</t>
        </is>
      </c>
      <c r="B152" s="1" t="n">
        <v>45832</v>
      </c>
      <c r="C152" s="1" t="n">
        <v>45839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HYPERLINK("https://klasma.github.io/Logging_050581/artfynd/A 30871-2025 artfynd.xlsx", "A 30871-2025")</f>
        <v/>
      </c>
      <c r="T152">
        <f>HYPERLINK("https://klasma.github.io/Logging_050581/kartor/A 30871-2025 karta.png", "A 30871-2025")</f>
        <v/>
      </c>
      <c r="V152">
        <f>HYPERLINK("https://klasma.github.io/Logging_050581/klagomål/A 30871-2025 FSC-klagomål.docx", "A 30871-2025")</f>
        <v/>
      </c>
      <c r="W152">
        <f>HYPERLINK("https://klasma.github.io/Logging_050581/klagomålsmail/A 30871-2025 FSC-klagomål mail.docx", "A 30871-2025")</f>
        <v/>
      </c>
      <c r="X152">
        <f>HYPERLINK("https://klasma.github.io/Logging_050581/tillsyn/A 30871-2025 tillsynsbegäran.docx", "A 30871-2025")</f>
        <v/>
      </c>
      <c r="Y152">
        <f>HYPERLINK("https://klasma.github.io/Logging_050581/tillsynsmail/A 30871-2025 tillsynsbegäran mail.docx", "A 30871-2025")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45839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45839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45839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45839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45839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45839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45839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45839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45839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45839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45839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45839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45839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45839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45839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45839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45839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45839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45839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45839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45839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45839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45839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45839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45839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45839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45839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45839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45839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45839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45839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45839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45839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45839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45839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45839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45839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45839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45839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45839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45839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45839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45839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45839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45839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45839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45839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45839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45839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45839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45839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45839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45839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45839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45839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45839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45839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45839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45839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45839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45839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45839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45839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45839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45839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45839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45839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45839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45839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45839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45839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45839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45839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45839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45839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45839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45839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45839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45839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45839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45839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45839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45839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45839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45839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45839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45839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45839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45839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45839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45839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45839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45839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45839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45839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45839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45839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45839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45839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45839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45839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45839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45839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45839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45839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45839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45839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45839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45839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45839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45839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45839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45839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45839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45839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45839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45839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45839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45839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45839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45839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45839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45839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45839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45839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45839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45839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45839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45839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45839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45839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45839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45839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45839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45839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45839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45839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45839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45839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45839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45839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45839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45839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45839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45839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45839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45839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45839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45839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45839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45839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45839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45839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45839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45839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45839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45839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45839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45839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45839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45839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45839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45839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45839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45839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45839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45839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45839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45839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45839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45839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45839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45839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45839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45839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45839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45839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45839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45839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45839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45839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45839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45839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45839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45839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45839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45839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45839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45839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45839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45839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45839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45839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45839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45839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45839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45839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45839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45839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45839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45839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45839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45839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45839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45839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45839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45839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45839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45839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45839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45839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45839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45839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45839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45839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45839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45839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45839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45839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45839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45839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45839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45839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45839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45839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45839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45839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45839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45839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45839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45839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45839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45839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45839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45839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45839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45839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45839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45839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45839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45839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45839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45839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45839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45839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45839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45839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45839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45839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45839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45839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45839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45839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45839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45839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45839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45839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45839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45839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45839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45839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45839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45839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45839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45839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45839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45839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45839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45839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45839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45839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45839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45839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45839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45839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45839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45839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45839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45839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45839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45839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45839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45839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45839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45839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45839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45839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45839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45839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45839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45839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45839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45839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45839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45839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45839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45839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45839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45839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45839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45839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45839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45839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45839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45839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45839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45839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45839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45839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45839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45839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45839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45839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45839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45839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45839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45839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45839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45839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45839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45839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45839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45839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45839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45839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45839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45839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45839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45839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45839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45839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45839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45839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45839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45839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45839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45839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45839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45839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45839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45839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45839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45839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45839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45839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45839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45839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45839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45839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45839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45839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45839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45839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45839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45839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45839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45839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45839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45839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45839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45839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45839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45839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45839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45839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45839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45839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45839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45839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45839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45839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45839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45839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45839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45839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45839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45839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45839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45839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45839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45839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45839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45839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45839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45839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45839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45839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45839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45839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45839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45839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45839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45839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45839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45839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45839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45839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45839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45839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45839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45839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45839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45839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45839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45839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45839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45839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45839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45839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45839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45839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45839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45839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45839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45839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45839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45839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45839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45839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45839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45839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45839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45839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45839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45839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45839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45839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45839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45839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45839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45839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45839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45839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45839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45839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45839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45839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45839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45839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45839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45839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45839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45839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45839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45839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45839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45839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45839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45839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45839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45839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45839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45839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45839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45839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45839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45839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45839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45839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45839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45839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45839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45839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45839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45839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45839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45839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45839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45839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45839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45839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45839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45839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45839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45839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45839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45839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45839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45839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45839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45839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45839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45839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45839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45839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45839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45839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45839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45839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45839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45839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45839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45839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45839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45839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45839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45839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45839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45839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45839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45839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45839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45839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45839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45839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45839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45839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45839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45839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45839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45839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45839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45839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45839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45839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45839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45839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45839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45839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45839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45839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45839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45839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45839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45839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45839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45839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45839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45839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45839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45839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45839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45839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45839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45839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45839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45839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45839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45839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45839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45839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45839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45839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45839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45839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45839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45839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45839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45839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45839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45839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45839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45839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45839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45839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45839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45839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45839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45839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45839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45839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45839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45839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45839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45839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45839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45839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45839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45839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45839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45839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45839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45839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45839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45839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45839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45839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45839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45839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45839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45839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45839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45839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45839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45839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45839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45839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45839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45839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45839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45839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45839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45839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45839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45839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45839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45839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45839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45839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45839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45839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45839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45839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45839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45839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45839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45839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45839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45839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45839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45839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45839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45839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45839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45839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45839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45839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45839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45839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45839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45839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45839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45839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45839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45839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45839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45839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45839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45839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45839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45839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45839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45839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45839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45839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45839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45839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45839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45839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45839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45839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45839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45839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45839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45839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45839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45839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45839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45839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45839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45839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45839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45839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45839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45839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45839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45839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45839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45839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45839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45839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45839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45839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45839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45839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45839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45839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45839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45839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45839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45839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45839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45839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45839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45839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45839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45839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45839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45839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45839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45839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45839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45839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45839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45839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45839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45839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45839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45839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45839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45839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45839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45839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45839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45839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45839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45839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45839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45839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45839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45839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45839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45839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45839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45839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45839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45839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45839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45839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45839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45839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45839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45839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45839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45839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45839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45839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45839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45839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45839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45839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45839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45839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45839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45839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45839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45839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45839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45839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45839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45839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45839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45839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45839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45839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45839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45839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45839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45839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45839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45839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45839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45839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45839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45839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45839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45839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45839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45839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45839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45839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45839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45839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45839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45839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45839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45839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45839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45839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45839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45839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45839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45839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45839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45839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45839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45839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45839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45839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45839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45839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45839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45839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45839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45839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45839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45839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45839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45839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45839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45839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45839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45839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45839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45839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45839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45839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45839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45839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45839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45839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45839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45839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45839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45839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45839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45839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45839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45839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45839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45839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45839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45839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45839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45839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45839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45839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45839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45839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45839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45839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45839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45839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45839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45839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45839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45839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45839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45839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45839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45839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45839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45839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45839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45839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45839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45839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45839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45839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45839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45839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45839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45839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45839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45839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45839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45839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45839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45839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45839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45839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45839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45839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45839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45839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45839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45839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45839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45839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45839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45839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45839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45839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45839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45839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45839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45839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45839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45839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45839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45839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45839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45839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45839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45839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45839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45839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45839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45839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45839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45839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45839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45839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45839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45839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45839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45839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45839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45839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45839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45839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45839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45839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45839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45839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45839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45839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45839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45839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45839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45839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45839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45839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45839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45839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45839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45839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45839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45839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45839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45839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45839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45839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45839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45839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45839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45839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45839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45839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45839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45839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45839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45839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45839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45839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45839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45839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45839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45839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45839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45839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45839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45839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45839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45839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45839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45839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45839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45839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45839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45839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45839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45839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45839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45839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45839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45839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45839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45839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45839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45839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45839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45839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45839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45839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45839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45839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45839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45839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45839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45839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45839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45839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45839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45839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45839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45839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45839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45839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45839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45839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45839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45839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45839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45839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45839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45839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45839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45839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45839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45839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45839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45839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45839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45839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45839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45839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45839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45839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45839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45839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45839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45839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45839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45839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45839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45839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45839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45839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45839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45839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45839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45839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45839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45839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45839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45839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45839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45839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45839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45839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45839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45839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45839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45839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45839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45839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45839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45839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45839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45839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45839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45839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45839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45839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45839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45839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45839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45839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45839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45839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45839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45839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45839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45839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45839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45839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27857-2025</t>
        </is>
      </c>
      <c r="B1651" s="1" t="n">
        <v>45817</v>
      </c>
      <c r="C1651" s="1" t="n">
        <v>45839</v>
      </c>
      <c r="D1651" t="inlineStr">
        <is>
          <t>ÖSTERGÖTLANDS LÄN</t>
        </is>
      </c>
      <c r="E1651" t="inlineStr">
        <is>
          <t>NORRKÖPING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27912-2025</t>
        </is>
      </c>
      <c r="B1652" s="1" t="n">
        <v>45817</v>
      </c>
      <c r="C1652" s="1" t="n">
        <v>45839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27865-2025</t>
        </is>
      </c>
      <c r="B1653" s="1" t="n">
        <v>45817</v>
      </c>
      <c r="C1653" s="1" t="n">
        <v>45839</v>
      </c>
      <c r="D1653" t="inlineStr">
        <is>
          <t>ÖSTERGÖTLANDS LÄN</t>
        </is>
      </c>
      <c r="E1653" t="inlineStr">
        <is>
          <t>NORRKÖPING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45839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45839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45839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45839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45839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45839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29298-2025</t>
        </is>
      </c>
      <c r="B1660" s="1" t="n">
        <v>45824</v>
      </c>
      <c r="C1660" s="1" t="n">
        <v>45839</v>
      </c>
      <c r="D1660" t="inlineStr">
        <is>
          <t>ÖSTERGÖTLANDS LÄN</t>
        </is>
      </c>
      <c r="E1660" t="inlineStr">
        <is>
          <t>NORRKÖPING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45839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45839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45839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31320-2025</t>
        </is>
      </c>
      <c r="B1664" s="1" t="n">
        <v>45833</v>
      </c>
      <c r="C1664" s="1" t="n">
        <v>45839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Holmen skog AB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31564-2025</t>
        </is>
      </c>
      <c r="B1665" s="1" t="n">
        <v>45833</v>
      </c>
      <c r="C1665" s="1" t="n">
        <v>45839</v>
      </c>
      <c r="D1665" t="inlineStr">
        <is>
          <t>ÖSTERGÖTLANDS LÄN</t>
        </is>
      </c>
      <c r="E1665" t="inlineStr">
        <is>
          <t>NORRKÖPING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31364-2025</t>
        </is>
      </c>
      <c r="B1666" s="1" t="n">
        <v>45833</v>
      </c>
      <c r="C1666" s="1" t="n">
        <v>45839</v>
      </c>
      <c r="D1666" t="inlineStr">
        <is>
          <t>ÖSTERGÖTLANDS LÄN</t>
        </is>
      </c>
      <c r="E1666" t="inlineStr">
        <is>
          <t>NORRKÖPING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32664-2025</t>
        </is>
      </c>
      <c r="B1667" s="1" t="n">
        <v>45838</v>
      </c>
      <c r="C1667" s="1" t="n">
        <v>45839</v>
      </c>
      <c r="D1667" t="inlineStr">
        <is>
          <t>ÖSTERGÖTLANDS LÄN</t>
        </is>
      </c>
      <c r="E1667" t="inlineStr">
        <is>
          <t>NORRKÖPING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2025-07-01T18:51:39Z</dcterms:created>
  <dcterms:modified xmlns:dcterms="http://purl.org/dc/terms/" xmlns:xsi="http://www.w3.org/2001/XMLSchema-instance" xsi:type="dcterms:W3CDTF">2025-07-01T18:51:40Z</dcterms:modified>
</cp:coreProperties>
</file>