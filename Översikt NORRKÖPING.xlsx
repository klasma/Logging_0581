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46235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46235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46235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46235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46235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46235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45922</v>
      </c>
      <c r="E8" s="1" t="n">
        <v>46235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3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31</v>
      </c>
      <c r="U8" t="n">
        <v>31</v>
      </c>
      <c r="V8" s="2" t="inlineStr">
        <is>
          <t>Knärot
Dvärgbägarlav
Motaggsvamp
Tallticka
Ullticka
Vedskivlav
Blomkålssvamp
Bronshjon
Grovticka
Grönpyrola
Mindre märgborre
Spillkråka
Vanlig snok</t>
        </is>
      </c>
      <c r="W8">
        <f>HYPERLINK("https://klasma.github.io/Logging_0581/artfynd/A 45488-2025 artfynd.xlsx", "A 45488-2025")</f>
        <v/>
      </c>
      <c r="X8">
        <f>HYPERLINK("https://klasma.github.io/Logging_0581/kartor/A 45488-2025 karta.png", "A 45488-2025")</f>
        <v/>
      </c>
      <c r="Y8">
        <f>HYPERLINK("https://klasma.github.io/Logging_0581/kartor_geotiff/A 45488-2025 georefererad karta.tif", "A 45488-2025")</f>
        <v/>
      </c>
      <c r="Z8">
        <f>HYPERLINK("https://klasma.github.io/Logging_0581/knärot/A 45488-2025 karta knärot.png", "A 45488-2025")</f>
        <v/>
      </c>
      <c r="AA8">
        <f>HYPERLINK("https://klasma.github.io/Logging_0581/klagomål/A 45488-2025 FSC-klagomål.docx", "A 45488-2025")</f>
        <v/>
      </c>
      <c r="AB8">
        <f>HYPERLINK("https://klasma.github.io/Logging_0581/klagomålsmail/A 45488-2025 FSC-klagomål mail.docx", "A 45488-2025")</f>
        <v/>
      </c>
      <c r="AC8">
        <f>HYPERLINK("https://klasma.github.io/Logging_0581/tillsyn/A 45488-2025 tillsynsbegäran.docx", "A 45488-2025")</f>
        <v/>
      </c>
      <c r="AD8">
        <f>HYPERLINK("https://klasma.github.io/Logging_0581/tillsynsmail/A 45488-2025 tillsynsbegäran mail.docx", "A 45488-2025")</f>
        <v/>
      </c>
      <c r="AE8">
        <f>HYPERLINK("https://klasma.github.io/Logging_0581/fåglar/A 45488-2025 prioriterade fågelarter.docx", "A 45488-2025")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46235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46235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46235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46235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46235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t="n">
        <v>0</v>
      </c>
      <c r="V13" s="2" t="inlineStr">
        <is>
          <t>Ask
Stare
Jungfrulin
Svinrot
Vanlig backsmörblomma
Vippärt
Tibast
Blåsippa
Gröngöling
Nattviol
Gullviva</t>
        </is>
      </c>
      <c r="W13">
        <f>HYPERLINK("https://klasma.github.io/Logging_0581/artfynd/A 16867-2024 artfynd.xlsx", "A 16867-2024")</f>
        <v/>
      </c>
      <c r="X13">
        <f>HYPERLINK("https://klasma.github.io/Logging_0581/kartor/A 16867-2024 karta.png", "A 16867-2024")</f>
        <v/>
      </c>
      <c r="Y13">
        <f>HYPERLINK("https://klasma.github.io/Logging_0581/kartor_geotiff/A 16867-2024 georefererad karta.tif", "A 16867-2024")</f>
        <v/>
      </c>
      <c r="AA13">
        <f>HYPERLINK("https://klasma.github.io/Logging_0581/klagomål/A 16867-2024 FSC-klagomål.docx", "A 16867-2024")</f>
        <v/>
      </c>
      <c r="AB13">
        <f>HYPERLINK("https://klasma.github.io/Logging_0581/klagomålsmail/A 16867-2024 FSC-klagomål mail.docx", "A 16867-2024")</f>
        <v/>
      </c>
      <c r="AC13">
        <f>HYPERLINK("https://klasma.github.io/Logging_0581/tillsyn/A 16867-2024 tillsynsbegäran.docx", "A 16867-2024")</f>
        <v/>
      </c>
      <c r="AD13">
        <f>HYPERLINK("https://klasma.github.io/Logging_0581/tillsynsmail/A 16867-2024 tillsynsbegäran mail.docx", "A 16867-2024")</f>
        <v/>
      </c>
      <c r="AE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46235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46235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46235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46235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26385-2023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45086</v>
      </c>
      <c r="E18" s="1" t="n">
        <v>46235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Allmännings- och besparingsskogar</t>
        </is>
      </c>
      <c r="I18" t="n">
        <v>9</v>
      </c>
      <c r="J18" t="n">
        <v>1</v>
      </c>
      <c r="K18" t="n">
        <v>3</v>
      </c>
      <c r="L18" t="n">
        <v>4</v>
      </c>
      <c r="M18" t="n">
        <v>1</v>
      </c>
      <c r="N18" t="n">
        <v>1</v>
      </c>
      <c r="O18" t="n">
        <v>0</v>
      </c>
      <c r="P18" t="n">
        <v>0</v>
      </c>
      <c r="Q18" t="n">
        <v>6</v>
      </c>
      <c r="R18" t="n">
        <v>2</v>
      </c>
      <c r="S18" t="n">
        <v>9</v>
      </c>
      <c r="T18" t="n">
        <v>13</v>
      </c>
      <c r="U18" t="n">
        <v>0</v>
      </c>
      <c r="V18" s="2" t="inlineStr">
        <is>
          <t>Granlundlav
Hasselsnok
Lunglav
Rosa skärelav
Tallticka
Vedskivlav
Fällmossa
Grovticka
Klippfrullania</t>
        </is>
      </c>
      <c r="W18">
        <f>HYPERLINK("https://klasma.github.io/Logging_0581/artfynd/A 26385-2023 artfynd.xlsx", "A 26385-2023")</f>
        <v/>
      </c>
      <c r="X18">
        <f>HYPERLINK("https://klasma.github.io/Logging_0581/kartor/A 26385-2023 karta.png", "A 26385-2023")</f>
        <v/>
      </c>
      <c r="Y18">
        <f>HYPERLINK("https://klasma.github.io/Logging_0581/kartor_geotiff/A 26385-2023 georefererad karta.tif", "A 26385-2023")</f>
        <v/>
      </c>
      <c r="AA18">
        <f>HYPERLINK("https://klasma.github.io/Logging_0581/klagomål/A 26385-2023 FSC-klagomål.docx", "A 26385-2023")</f>
        <v/>
      </c>
      <c r="AB18">
        <f>HYPERLINK("https://klasma.github.io/Logging_0581/klagomålsmail/A 26385-2023 FSC-klagomål mail.docx", "A 26385-2023")</f>
        <v/>
      </c>
      <c r="AC18">
        <f>HYPERLINK("https://klasma.github.io/Logging_0581/tillsyn/A 26385-2023 tillsynsbegäran.docx", "A 26385-2023")</f>
        <v/>
      </c>
      <c r="AD18">
        <f>HYPERLINK("https://klasma.github.io/Logging_0581/tillsynsmail/A 26385-2023 tillsynsbegäran mail.docx", "A 26385-2023")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46235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46235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46235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46235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t="n">
        <v>8</v>
      </c>
      <c r="V22" s="2" t="inlineStr">
        <is>
          <t>Ostticka
Dropptaggsvamp
Stubbtrådmossa
Vedskivlav
Vedtrappmossa
Bronshjon
Flagellkvastmossa
Kornknutmossa</t>
        </is>
      </c>
      <c r="W22">
        <f>HYPERLINK("https://klasma.github.io/Logging_0581/artfynd/A 27912-2025 artfynd.xlsx", "A 27912-2025")</f>
        <v/>
      </c>
      <c r="X22">
        <f>HYPERLINK("https://klasma.github.io/Logging_0581/kartor/A 27912-2025 karta.png", "A 27912-2025")</f>
        <v/>
      </c>
      <c r="Y22">
        <f>HYPERLINK("https://klasma.github.io/Logging_0581/kartor_geotiff/A 27912-2025 georefererad karta.tif", "A 27912-2025")</f>
        <v/>
      </c>
      <c r="AA22">
        <f>HYPERLINK("https://klasma.github.io/Logging_0581/klagomål/A 27912-2025 FSC-klagomål.docx", "A 27912-2025")</f>
        <v/>
      </c>
      <c r="AB22">
        <f>HYPERLINK("https://klasma.github.io/Logging_0581/klagomålsmail/A 27912-2025 FSC-klagomål mail.docx", "A 27912-2025")</f>
        <v/>
      </c>
      <c r="AC22">
        <f>HYPERLINK("https://klasma.github.io/Logging_0581/tillsyn/A 27912-2025 tillsynsbegäran.docx", "A 27912-2025")</f>
        <v/>
      </c>
      <c r="AD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46235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46235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46235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44700-2025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45917</v>
      </c>
      <c r="E26" s="1" t="n">
        <v>46235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1</v>
      </c>
      <c r="K26" t="n">
        <v>3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Knärot
Motaggsvamp
Vedtrappmossa
Grönpyrola
Stor revmossa
Vedticka</t>
        </is>
      </c>
      <c r="W26">
        <f>HYPERLINK("https://klasma.github.io/Logging_0581/artfynd/A 44700-2025 artfynd.xlsx", "A 44700-2025")</f>
        <v/>
      </c>
      <c r="X26">
        <f>HYPERLINK("https://klasma.github.io/Logging_0581/kartor/A 44700-2025 karta.png", "A 44700-2025")</f>
        <v/>
      </c>
      <c r="Y26">
        <f>HYPERLINK("https://klasma.github.io/Logging_0581/kartor_geotiff/A 44700-2025 georefererad karta.tif", "A 44700-2025")</f>
        <v/>
      </c>
      <c r="Z26">
        <f>HYPERLINK("https://klasma.github.io/Logging_0581/knärot/A 44700-2025 karta knärot.png", "A 44700-2025")</f>
        <v/>
      </c>
      <c r="AA26">
        <f>HYPERLINK("https://klasma.github.io/Logging_0581/klagomål/A 44700-2025 FSC-klagomål.docx", "A 44700-2025")</f>
        <v/>
      </c>
      <c r="AB26">
        <f>HYPERLINK("https://klasma.github.io/Logging_0581/klagomålsmail/A 44700-2025 FSC-klagomål mail.docx", "A 44700-2025")</f>
        <v/>
      </c>
      <c r="AC26">
        <f>HYPERLINK("https://klasma.github.io/Logging_0581/tillsyn/A 44700-2025 tillsynsbegäran.docx", "A 44700-2025")</f>
        <v/>
      </c>
      <c r="AD26">
        <f>HYPERLINK("https://klasma.github.io/Logging_0581/tillsynsmail/A 44700-2025 tillsynsbegäran mail.docx", "A 44700-2025")</f>
        <v/>
      </c>
    </row>
    <row r="27" ht="15" customHeight="1">
      <c r="A27" t="inlineStr">
        <is>
          <t>A 55104-2025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45968</v>
      </c>
      <c r="E27" s="1" t="n">
        <v>46235</v>
      </c>
      <c r="F27" t="inlineStr">
        <is>
          <t>ÖSTERGÖTLANDS LÄN</t>
        </is>
      </c>
      <c r="G27" t="inlineStr">
        <is>
          <t>NORRKÖPING</t>
        </is>
      </c>
      <c r="I27" t="n">
        <v>14.6</v>
      </c>
      <c r="J27" t="n">
        <v>2</v>
      </c>
      <c r="K27" t="n">
        <v>3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10</v>
      </c>
      <c r="U27" t="n">
        <v>2</v>
      </c>
      <c r="V27" s="2" t="inlineStr">
        <is>
          <t>Ask
Adam och eva
Lunglav
Bårdlav
Ekoxe
Lönnlav</t>
        </is>
      </c>
      <c r="W27">
        <f>HYPERLINK("https://klasma.github.io/Logging_0581/artfynd/A 55104-2025 artfynd.xlsx", "A 55104-2025")</f>
        <v/>
      </c>
      <c r="X27">
        <f>HYPERLINK("https://klasma.github.io/Logging_0581/kartor/A 55104-2025 karta.png", "A 55104-2025")</f>
        <v/>
      </c>
      <c r="Y27">
        <f>HYPERLINK("https://klasma.github.io/Logging_0581/kartor_geotiff/A 55104-2025 georefererad karta.tif", "A 55104-2025")</f>
        <v/>
      </c>
      <c r="AA27">
        <f>HYPERLINK("https://klasma.github.io/Logging_0581/klagomål/A 55104-2025 FSC-klagomål.docx", "A 55104-2025")</f>
        <v/>
      </c>
      <c r="AB27">
        <f>HYPERLINK("https://klasma.github.io/Logging_0581/klagomålsmail/A 55104-2025 FSC-klagomål mail.docx", "A 55104-2025")</f>
        <v/>
      </c>
      <c r="AC27">
        <f>HYPERLINK("https://klasma.github.io/Logging_0581/tillsyn/A 55104-2025 tillsynsbegäran.docx", "A 55104-2025")</f>
        <v/>
      </c>
      <c r="AD27">
        <f>HYPERLINK("https://klasma.github.io/Logging_0581/tillsynsmail/A 55104-2025 tillsynsbegäran mail.docx", "A 55104-2025")</f>
        <v/>
      </c>
    </row>
    <row r="28" ht="15" customHeight="1">
      <c r="A28" t="inlineStr">
        <is>
          <t>A 21404-2024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45441</v>
      </c>
      <c r="E28" s="1" t="n">
        <v>46235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0.8</v>
      </c>
      <c r="J28" t="n">
        <v>2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6</v>
      </c>
      <c r="T28" t="n">
        <v>12</v>
      </c>
      <c r="U28" t="n">
        <v>1</v>
      </c>
      <c r="V28" s="2" t="inlineStr">
        <is>
          <t>Dvärgbägarlav
Kolflarnlav
Tallticka
Vintertagging
Grön sköldmossa
Tjäder</t>
        </is>
      </c>
      <c r="W28">
        <f>HYPERLINK("https://klasma.github.io/Logging_0581/artfynd/A 21404-2024 artfynd.xlsx", "A 21404-2024")</f>
        <v/>
      </c>
      <c r="X28">
        <f>HYPERLINK("https://klasma.github.io/Logging_0581/kartor/A 21404-2024 karta.png", "A 21404-2024")</f>
        <v/>
      </c>
      <c r="Y28">
        <f>HYPERLINK("https://klasma.github.io/Logging_0581/kartor_geotiff/A 21404-2024 georefererad karta.tif", "A 21404-2024")</f>
        <v/>
      </c>
      <c r="AA28">
        <f>HYPERLINK("https://klasma.github.io/Logging_0581/klagomål/A 21404-2024 FSC-klagomål.docx", "A 21404-2024")</f>
        <v/>
      </c>
      <c r="AB28">
        <f>HYPERLINK("https://klasma.github.io/Logging_0581/klagomålsmail/A 21404-2024 FSC-klagomål mail.docx", "A 21404-2024")</f>
        <v/>
      </c>
      <c r="AC28">
        <f>HYPERLINK("https://klasma.github.io/Logging_0581/tillsyn/A 21404-2024 tillsynsbegäran.docx", "A 21404-2024")</f>
        <v/>
      </c>
      <c r="AD28">
        <f>HYPERLINK("https://klasma.github.io/Logging_0581/tillsynsmail/A 21404-2024 tillsynsbegäran mail.docx", "A 21404-2024")</f>
        <v/>
      </c>
      <c r="AE28">
        <f>HYPERLINK("https://klasma.github.io/Logging_0581/fåglar/A 21404-2024 prioriterade fågelarter.docx", "A 21404-2024")</f>
        <v/>
      </c>
    </row>
    <row r="29" ht="15" customHeight="1">
      <c r="A29" t="inlineStr">
        <is>
          <t>A 19113-2023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45048</v>
      </c>
      <c r="E29" s="1" t="n">
        <v>46235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2.6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3</v>
      </c>
      <c r="V29" s="2" t="inlineStr">
        <is>
          <t>Tofsmes
Fläcknycklar
Grönvit nattviol
Revlummer
Äkta lopplummer</t>
        </is>
      </c>
      <c r="W29">
        <f>HYPERLINK("https://klasma.github.io/Logging_0581/artfynd/A 19113-2023 artfynd.xlsx", "A 19113-2023")</f>
        <v/>
      </c>
      <c r="X29">
        <f>HYPERLINK("https://klasma.github.io/Logging_0581/kartor/A 19113-2023 karta.png", "A 19113-2023")</f>
        <v/>
      </c>
      <c r="Y29">
        <f>HYPERLINK("https://klasma.github.io/Logging_0581/kartor_geotiff/A 19113-2023 georefererad karta.tif", "A 19113-2023")</f>
        <v/>
      </c>
      <c r="AA29">
        <f>HYPERLINK("https://klasma.github.io/Logging_0581/klagomål/A 19113-2023 FSC-klagomål.docx", "A 19113-2023")</f>
        <v/>
      </c>
      <c r="AB29">
        <f>HYPERLINK("https://klasma.github.io/Logging_0581/klagomålsmail/A 19113-2023 FSC-klagomål mail.docx", "A 19113-2023")</f>
        <v/>
      </c>
      <c r="AC29">
        <f>HYPERLINK("https://klasma.github.io/Logging_0581/tillsyn/A 19113-2023 tillsynsbegäran.docx", "A 19113-2023")</f>
        <v/>
      </c>
      <c r="AD29">
        <f>HYPERLINK("https://klasma.github.io/Logging_0581/tillsynsmail/A 19113-2023 tillsynsbegäran mail.docx", "A 19113-2023")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46235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46235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46235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46048</v>
      </c>
      <c r="E33" s="1" t="n">
        <v>46235</v>
      </c>
      <c r="F33" t="inlineStr">
        <is>
          <t>ÖSTERGÖTLANDS LÄN</t>
        </is>
      </c>
      <c r="G33" t="inlineStr">
        <is>
          <t>NORRKÖPING</t>
        </is>
      </c>
      <c r="I33" t="n">
        <v>5.9</v>
      </c>
      <c r="J33" t="n">
        <v>0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Gammelekslav
Gul dropplav
Skuggorangelav
Tallticka
Brun nållav</t>
        </is>
      </c>
      <c r="W33">
        <f>HYPERLINK("https://klasma.github.io/Logging_0581/artfynd/A 4820-2026 artfynd.xlsx", "A 4820-2026")</f>
        <v/>
      </c>
      <c r="X33">
        <f>HYPERLINK("https://klasma.github.io/Logging_0581/kartor/A 4820-2026 karta.png", "A 4820-2026")</f>
        <v/>
      </c>
      <c r="Y33">
        <f>HYPERLINK("https://klasma.github.io/Logging_0581/kartor_geotiff/A 4820-2026 georefererad karta.tif", "A 4820-2026")</f>
        <v/>
      </c>
      <c r="AA33">
        <f>HYPERLINK("https://klasma.github.io/Logging_0581/klagomål/A 4820-2026 FSC-klagomål.docx", "A 4820-2026")</f>
        <v/>
      </c>
      <c r="AB33">
        <f>HYPERLINK("https://klasma.github.io/Logging_0581/klagomålsmail/A 4820-2026 FSC-klagomål mail.docx", "A 4820-2026")</f>
        <v/>
      </c>
      <c r="AC33">
        <f>HYPERLINK("https://klasma.github.io/Logging_0581/tillsyn/A 4820-2026 tillsynsbegäran.docx", "A 4820-2026")</f>
        <v/>
      </c>
      <c r="AD33">
        <f>HYPERLINK("https://klasma.github.io/Logging_0581/tillsynsmail/A 4820-2026 tillsynsbegäran mail.docx", "A 4820-2026")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46235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Entita
Nordfladdermus
Slåtterfibbla
Dvärgpipistrell
Större brunfladdermus</t>
        </is>
      </c>
      <c r="W34">
        <f>HYPERLINK("https://klasma.github.io/Logging_0581/artfynd/A 5941-2024 artfynd.xlsx", "A 5941-2024")</f>
        <v/>
      </c>
      <c r="X34">
        <f>HYPERLINK("https://klasma.github.io/Logging_0581/kartor/A 5941-2024 karta.png", "A 5941-2024")</f>
        <v/>
      </c>
      <c r="Y34">
        <f>HYPERLINK("https://klasma.github.io/Logging_0581/kartor_geotiff/A 5941-2024 georefererad karta.tif", "A 5941-2024")</f>
        <v/>
      </c>
      <c r="AA34">
        <f>HYPERLINK("https://klasma.github.io/Logging_0581/klagomål/A 5941-2024 FSC-klagomål.docx", "A 5941-2024")</f>
        <v/>
      </c>
      <c r="AB34">
        <f>HYPERLINK("https://klasma.github.io/Logging_0581/klagomålsmail/A 5941-2024 FSC-klagomål mail.docx", "A 5941-2024")</f>
        <v/>
      </c>
      <c r="AC34">
        <f>HYPERLINK("https://klasma.github.io/Logging_0581/tillsyn/A 5941-2024 tillsynsbegäran.docx", "A 5941-2024")</f>
        <v/>
      </c>
      <c r="AD34">
        <f>HYPERLINK("https://klasma.github.io/Logging_0581/tillsynsmail/A 5941-2024 tillsynsbegäran mail.docx", "A 5941-2024")</f>
        <v/>
      </c>
      <c r="AE34">
        <f>HYPERLINK("https://klasma.github.io/Logging_0581/fåglar/A 5941-2024 prioriterade fågelarter.docx", "A 5941-2024")</f>
        <v/>
      </c>
    </row>
    <row r="35" ht="15" customHeight="1">
      <c r="A35" t="inlineStr">
        <is>
          <t>A 17466-2026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46235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Tallticka
Blåmossa
Granbarkgnagare
Mindre märgborre
Spillkråka</t>
        </is>
      </c>
      <c r="W35">
        <f>HYPERLINK("https://klasma.github.io/Logging_0581/artfynd/A 17466-2026 artfynd.xlsx", "A 17466-2026")</f>
        <v/>
      </c>
      <c r="X35">
        <f>HYPERLINK("https://klasma.github.io/Logging_0581/kartor/A 17466-2026 karta.png", "A 17466-2026")</f>
        <v/>
      </c>
      <c r="Y35">
        <f>HYPERLINK("https://klasma.github.io/Logging_0581/kartor_geotiff/A 17466-2026 georefererad karta.tif", "A 17466-2026")</f>
        <v/>
      </c>
      <c r="AA35">
        <f>HYPERLINK("https://klasma.github.io/Logging_0581/klagomål/A 17466-2026 FSC-klagomål.docx", "A 17466-2026")</f>
        <v/>
      </c>
      <c r="AB35">
        <f>HYPERLINK("https://klasma.github.io/Logging_0581/klagomålsmail/A 17466-2026 FSC-klagomål mail.docx", "A 17466-2026")</f>
        <v/>
      </c>
      <c r="AC35">
        <f>HYPERLINK("https://klasma.github.io/Logging_0581/tillsyn/A 17466-2026 tillsynsbegäran.docx", "A 17466-2026")</f>
        <v/>
      </c>
      <c r="AD35">
        <f>HYPERLINK("https://klasma.github.io/Logging_0581/tillsynsmail/A 17466-2026 tillsynsbegäran mail.docx", "A 17466-2026")</f>
        <v/>
      </c>
      <c r="AE35">
        <f>HYPERLINK("https://klasma.github.io/Logging_0581/fåglar/A 17466-2026 prioriterade fågelarter.docx", "A 17466-2026")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46235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46235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46235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11741-2024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46235</v>
      </c>
      <c r="F39" t="inlineStr">
        <is>
          <t>ÖSTERGÖTLANDS LÄN</t>
        </is>
      </c>
      <c r="G39" t="inlineStr">
        <is>
          <t>NORRKÖPING</t>
        </is>
      </c>
      <c r="I39" t="n">
        <v>1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2</v>
      </c>
      <c r="V39" s="2" t="inlineStr">
        <is>
          <t>Aspfjädermossa
Ullticka
Vedtrappmossa
Grön sköldmossa</t>
        </is>
      </c>
      <c r="W39">
        <f>HYPERLINK("https://klasma.github.io/Logging_0581/artfynd/A 11741-2024 artfynd.xlsx", "A 11741-2024")</f>
        <v/>
      </c>
      <c r="X39">
        <f>HYPERLINK("https://klasma.github.io/Logging_0581/kartor/A 11741-2024 karta.png", "A 11741-2024")</f>
        <v/>
      </c>
      <c r="Y39">
        <f>HYPERLINK("https://klasma.github.io/Logging_0581/kartor_geotiff/A 11741-2024 georefererad karta.tif", "A 11741-2024")</f>
        <v/>
      </c>
      <c r="AA39">
        <f>HYPERLINK("https://klasma.github.io/Logging_0581/klagomål/A 11741-2024 FSC-klagomål.docx", "A 11741-2024")</f>
        <v/>
      </c>
      <c r="AB39">
        <f>HYPERLINK("https://klasma.github.io/Logging_0581/klagomålsmail/A 11741-2024 FSC-klagomål mail.docx", "A 11741-2024")</f>
        <v/>
      </c>
      <c r="AC39">
        <f>HYPERLINK("https://klasma.github.io/Logging_0581/tillsyn/A 11741-2024 tillsynsbegäran.docx", "A 11741-2024")</f>
        <v/>
      </c>
      <c r="AD39">
        <f>HYPERLINK("https://klasma.github.io/Logging_0581/tillsynsmail/A 11741-2024 tillsynsbegäran mail.docx", "A 11741-2024")</f>
        <v/>
      </c>
    </row>
    <row r="40" ht="15" customHeight="1">
      <c r="A40" t="inlineStr">
        <is>
          <t>A 18267-2024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45421</v>
      </c>
      <c r="E40" s="1" t="n">
        <v>46235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1.4</v>
      </c>
      <c r="J40" t="n">
        <v>2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Mörk kolflarnlav
Gullgröppa
Tjäder
Fläcknycklar</t>
        </is>
      </c>
      <c r="W40">
        <f>HYPERLINK("https://klasma.github.io/Logging_0581/artfynd/A 18267-2024 artfynd.xlsx", "A 18267-2024")</f>
        <v/>
      </c>
      <c r="X40">
        <f>HYPERLINK("https://klasma.github.io/Logging_0581/kartor/A 18267-2024 karta.png", "A 18267-2024")</f>
        <v/>
      </c>
      <c r="Y40">
        <f>HYPERLINK("https://klasma.github.io/Logging_0581/kartor_geotiff/A 18267-2024 georefererad karta.tif", "A 18267-2024")</f>
        <v/>
      </c>
      <c r="AA40">
        <f>HYPERLINK("https://klasma.github.io/Logging_0581/klagomål/A 18267-2024 FSC-klagomål.docx", "A 18267-2024")</f>
        <v/>
      </c>
      <c r="AB40">
        <f>HYPERLINK("https://klasma.github.io/Logging_0581/klagomålsmail/A 18267-2024 FSC-klagomål mail.docx", "A 18267-2024")</f>
        <v/>
      </c>
      <c r="AC40">
        <f>HYPERLINK("https://klasma.github.io/Logging_0581/tillsyn/A 18267-2024 tillsynsbegäran.docx", "A 18267-2024")</f>
        <v/>
      </c>
      <c r="AD40">
        <f>HYPERLINK("https://klasma.github.io/Logging_0581/tillsynsmail/A 18267-2024 tillsynsbegäran mail.docx", "A 18267-2024")</f>
        <v/>
      </c>
      <c r="AE40">
        <f>HYPERLINK("https://klasma.github.io/Logging_0581/fåglar/A 18267-2024 prioriterade fågelarter.docx", "A 18267-2024")</f>
        <v/>
      </c>
    </row>
    <row r="41" ht="15" customHeight="1">
      <c r="A41" t="inlineStr">
        <is>
          <t>A 42434-2025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45905</v>
      </c>
      <c r="E41" s="1" t="n">
        <v>46235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0</v>
      </c>
      <c r="K41" t="n">
        <v>3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Vedskivlav
Blåmossa
Grönpyrola
Guldlockmossa</t>
        </is>
      </c>
      <c r="W41">
        <f>HYPERLINK("https://klasma.github.io/Logging_0581/artfynd/A 42434-2025 artfynd.xlsx", "A 42434-2025")</f>
        <v/>
      </c>
      <c r="X41">
        <f>HYPERLINK("https://klasma.github.io/Logging_0581/kartor/A 42434-2025 karta.png", "A 42434-2025")</f>
        <v/>
      </c>
      <c r="Y41">
        <f>HYPERLINK("https://klasma.github.io/Logging_0581/kartor_geotiff/A 42434-2025 georefererad karta.tif", "A 42434-2025")</f>
        <v/>
      </c>
      <c r="AA41">
        <f>HYPERLINK("https://klasma.github.io/Logging_0581/klagomål/A 42434-2025 FSC-klagomål.docx", "A 42434-2025")</f>
        <v/>
      </c>
      <c r="AB41">
        <f>HYPERLINK("https://klasma.github.io/Logging_0581/klagomålsmail/A 42434-2025 FSC-klagomål mail.docx", "A 42434-2025")</f>
        <v/>
      </c>
      <c r="AC41">
        <f>HYPERLINK("https://klasma.github.io/Logging_0581/tillsyn/A 42434-2025 tillsynsbegäran.docx", "A 42434-2025")</f>
        <v/>
      </c>
      <c r="AD41">
        <f>HYPERLINK("https://klasma.github.io/Logging_0581/tillsynsmail/A 42434-2025 tillsynsbegäran mail.docx", "A 42434-2025")</f>
        <v/>
      </c>
    </row>
    <row r="42" ht="15" customHeight="1">
      <c r="A42" t="inlineStr">
        <is>
          <t>A 21147-2026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46235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1.1</v>
      </c>
      <c r="J42" t="n">
        <v>2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Vedskivlav
Fällmossa
Spillkråka
Tofsmes</t>
        </is>
      </c>
      <c r="W42">
        <f>HYPERLINK("https://klasma.github.io/Logging_0581/artfynd/A 21147-2026 artfynd.xlsx", "A 21147-2026")</f>
        <v/>
      </c>
      <c r="X42">
        <f>HYPERLINK("https://klasma.github.io/Logging_0581/kartor/A 21147-2026 karta.png", "A 21147-2026")</f>
        <v/>
      </c>
      <c r="Y42">
        <f>HYPERLINK("https://klasma.github.io/Logging_0581/kartor_geotiff/A 21147-2026 georefererad karta.tif", "A 21147-2026")</f>
        <v/>
      </c>
      <c r="AA42">
        <f>HYPERLINK("https://klasma.github.io/Logging_0581/klagomål/A 21147-2026 FSC-klagomål.docx", "A 21147-2026")</f>
        <v/>
      </c>
      <c r="AB42">
        <f>HYPERLINK("https://klasma.github.io/Logging_0581/klagomålsmail/A 21147-2026 FSC-klagomål mail.docx", "A 21147-2026")</f>
        <v/>
      </c>
      <c r="AC42">
        <f>HYPERLINK("https://klasma.github.io/Logging_0581/tillsyn/A 21147-2026 tillsynsbegäran.docx", "A 21147-2026")</f>
        <v/>
      </c>
      <c r="AD42">
        <f>HYPERLINK("https://klasma.github.io/Logging_0581/tillsynsmail/A 21147-2026 tillsynsbegäran mail.docx", "A 21147-2026")</f>
        <v/>
      </c>
      <c r="AE42">
        <f>HYPERLINK("https://klasma.github.io/Logging_0581/fåglar/A 21147-2026 prioriterade fågelarter.docx", "A 21147-2026")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46235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46235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46235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52576-2025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45954</v>
      </c>
      <c r="E46" s="1" t="n">
        <v>46235</v>
      </c>
      <c r="F46" t="inlineStr">
        <is>
          <t>ÖSTERGÖTLANDS LÄN</t>
        </is>
      </c>
      <c r="G46" t="inlineStr">
        <is>
          <t>NORRKÖPING</t>
        </is>
      </c>
      <c r="I46" t="n">
        <v>3.7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Flagellkvastmossa
Guldlockmossa
Rostfläck
Vedticka</t>
        </is>
      </c>
      <c r="W46">
        <f>HYPERLINK("https://klasma.github.io/Logging_0581/artfynd/A 52576-2025 artfynd.xlsx", "A 52576-2025")</f>
        <v/>
      </c>
      <c r="X46">
        <f>HYPERLINK("https://klasma.github.io/Logging_0581/kartor/A 52576-2025 karta.png", "A 52576-2025")</f>
        <v/>
      </c>
      <c r="Y46">
        <f>HYPERLINK("https://klasma.github.io/Logging_0581/kartor_geotiff/A 52576-2025 georefererad karta.tif", "A 52576-2025")</f>
        <v/>
      </c>
      <c r="AA46">
        <f>HYPERLINK("https://klasma.github.io/Logging_0581/klagomål/A 52576-2025 FSC-klagomål.docx", "A 52576-2025")</f>
        <v/>
      </c>
      <c r="AB46">
        <f>HYPERLINK("https://klasma.github.io/Logging_0581/klagomålsmail/A 52576-2025 FSC-klagomål mail.docx", "A 52576-2025")</f>
        <v/>
      </c>
      <c r="AC46">
        <f>HYPERLINK("https://klasma.github.io/Logging_0581/tillsyn/A 52576-2025 tillsynsbegäran.docx", "A 52576-2025")</f>
        <v/>
      </c>
      <c r="AD46">
        <f>HYPERLINK("https://klasma.github.io/Logging_0581/tillsynsmail/A 52576-2025 tillsynsbegäran mail.docx", "A 52576-2025")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46235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t="n">
        <v>9</v>
      </c>
      <c r="V47" s="2" t="inlineStr">
        <is>
          <t>Bårdlav
Fällmossa
Hasselticka
Blåsippa</t>
        </is>
      </c>
      <c r="W47">
        <f>HYPERLINK("https://klasma.github.io/Logging_0581/artfynd/A 51538-2024 artfynd.xlsx", "A 51538-2024")</f>
        <v/>
      </c>
      <c r="X47">
        <f>HYPERLINK("https://klasma.github.io/Logging_0581/kartor/A 51538-2024 karta.png", "A 51538-2024")</f>
        <v/>
      </c>
      <c r="Y47">
        <f>HYPERLINK("https://klasma.github.io/Logging_0581/kartor_geotiff/A 51538-2024 georefererad karta.tif", "A 51538-2024")</f>
        <v/>
      </c>
      <c r="AA47">
        <f>HYPERLINK("https://klasma.github.io/Logging_0581/klagomål/A 51538-2024 FSC-klagomål.docx", "A 51538-2024")</f>
        <v/>
      </c>
      <c r="AB47">
        <f>HYPERLINK("https://klasma.github.io/Logging_0581/klagomålsmail/A 51538-2024 FSC-klagomål mail.docx", "A 51538-2024")</f>
        <v/>
      </c>
      <c r="AC47">
        <f>HYPERLINK("https://klasma.github.io/Logging_0581/tillsyn/A 51538-2024 tillsynsbegäran.docx", "A 51538-2024")</f>
        <v/>
      </c>
      <c r="AD47">
        <f>HYPERLINK("https://klasma.github.io/Logging_0581/tillsynsmail/A 51538-2024 tillsynsbegäran mail.docx", "A 51538-2024")</f>
        <v/>
      </c>
    </row>
    <row r="48" ht="15" customHeight="1">
      <c r="A48" t="inlineStr">
        <is>
          <t>A 38599-2025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46235</v>
      </c>
      <c r="F48" t="inlineStr">
        <is>
          <t>ÖSTERGÖTLANDS LÄN</t>
        </is>
      </c>
      <c r="G48" t="inlineStr">
        <is>
          <t>NORRKÖPING</t>
        </is>
      </c>
      <c r="I48" t="n">
        <v>5.3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Kalkkärrsgrynsnäcka
Majviva
Grönvit nattviol
Ängsnycklar</t>
        </is>
      </c>
      <c r="W48">
        <f>HYPERLINK("https://klasma.github.io/Logging_0581/artfynd/A 38599-2025 artfynd.xlsx", "A 38599-2025")</f>
        <v/>
      </c>
      <c r="X48">
        <f>HYPERLINK("https://klasma.github.io/Logging_0581/kartor/A 38599-2025 karta.png", "A 38599-2025")</f>
        <v/>
      </c>
      <c r="Y48">
        <f>HYPERLINK("https://klasma.github.io/Logging_0581/kartor_geotiff/A 38599-2025 georefererad karta.tif", "A 38599-2025")</f>
        <v/>
      </c>
      <c r="AA48">
        <f>HYPERLINK("https://klasma.github.io/Logging_0581/klagomål/A 38599-2025 FSC-klagomål.docx", "A 38599-2025")</f>
        <v/>
      </c>
      <c r="AB48">
        <f>HYPERLINK("https://klasma.github.io/Logging_0581/klagomålsmail/A 38599-2025 FSC-klagomål mail.docx", "A 38599-2025")</f>
        <v/>
      </c>
      <c r="AC48">
        <f>HYPERLINK("https://klasma.github.io/Logging_0581/tillsyn/A 38599-2025 tillsynsbegäran.docx", "A 38599-2025")</f>
        <v/>
      </c>
      <c r="AD48">
        <f>HYPERLINK("https://klasma.github.io/Logging_0581/tillsynsmail/A 38599-2025 tillsynsbegäran mail.docx", "A 38599-2025")</f>
        <v/>
      </c>
    </row>
    <row r="49" ht="15" customHeight="1">
      <c r="A49" t="inlineStr">
        <is>
          <t>A 17465-2026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46235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1.9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6</v>
      </c>
      <c r="U49" t="n">
        <v>2</v>
      </c>
      <c r="V49" s="2" t="inlineStr">
        <is>
          <t>Knärot
Blåmossa
Grönpyrola
Spillkråka</t>
        </is>
      </c>
      <c r="W49">
        <f>HYPERLINK("https://klasma.github.io/Logging_0581/artfynd/A 17465-2026 artfynd.xlsx", "A 17465-2026")</f>
        <v/>
      </c>
      <c r="X49">
        <f>HYPERLINK("https://klasma.github.io/Logging_0581/kartor/A 17465-2026 karta.png", "A 17465-2026")</f>
        <v/>
      </c>
      <c r="Y49">
        <f>HYPERLINK("https://klasma.github.io/Logging_0581/kartor_geotiff/A 17465-2026 georefererad karta.tif", "A 17465-2026")</f>
        <v/>
      </c>
      <c r="Z49">
        <f>HYPERLINK("https://klasma.github.io/Logging_0581/knärot/A 17465-2026 karta knärot.png", "A 17465-2026")</f>
        <v/>
      </c>
      <c r="AA49">
        <f>HYPERLINK("https://klasma.github.io/Logging_0581/klagomål/A 17465-2026 FSC-klagomål.docx", "A 17465-2026")</f>
        <v/>
      </c>
      <c r="AB49">
        <f>HYPERLINK("https://klasma.github.io/Logging_0581/klagomålsmail/A 17465-2026 FSC-klagomål mail.docx", "A 17465-2026")</f>
        <v/>
      </c>
      <c r="AC49">
        <f>HYPERLINK("https://klasma.github.io/Logging_0581/tillsyn/A 17465-2026 tillsynsbegäran.docx", "A 17465-2026")</f>
        <v/>
      </c>
      <c r="AD49">
        <f>HYPERLINK("https://klasma.github.io/Logging_0581/tillsynsmail/A 17465-2026 tillsynsbegäran mail.docx", "A 17465-2026")</f>
        <v/>
      </c>
      <c r="AE49">
        <f>HYPERLINK("https://klasma.github.io/Logging_0581/fåglar/A 17465-2026 prioriterade fågelarter.docx", "A 17465-2026")</f>
        <v/>
      </c>
    </row>
    <row r="50" ht="15" customHeight="1">
      <c r="A50" t="inlineStr">
        <is>
          <t>A 31468-2025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45833</v>
      </c>
      <c r="E50" s="1" t="n">
        <v>46235</v>
      </c>
      <c r="F50" t="inlineStr">
        <is>
          <t>ÖSTERGÖTLANDS LÄN</t>
        </is>
      </c>
      <c r="G50" t="inlineStr">
        <is>
          <t>NORRKÖPING</t>
        </is>
      </c>
      <c r="I50" t="n">
        <v>6.3</v>
      </c>
      <c r="J50" t="n">
        <v>2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7</v>
      </c>
      <c r="U50" t="n">
        <v>1</v>
      </c>
      <c r="V50" s="2" t="inlineStr">
        <is>
          <t>Talltita
Vedskivlav
Grönpyrola
Blåsippa</t>
        </is>
      </c>
      <c r="W50">
        <f>HYPERLINK("https://klasma.github.io/Logging_0581/artfynd/A 31468-2025 artfynd.xlsx", "A 31468-2025")</f>
        <v/>
      </c>
      <c r="X50">
        <f>HYPERLINK("https://klasma.github.io/Logging_0581/kartor/A 31468-2025 karta.png", "A 31468-2025")</f>
        <v/>
      </c>
      <c r="Y50">
        <f>HYPERLINK("https://klasma.github.io/Logging_0581/kartor_geotiff/A 31468-2025 georefererad karta.tif", "A 31468-2025")</f>
        <v/>
      </c>
      <c r="AA50">
        <f>HYPERLINK("https://klasma.github.io/Logging_0581/klagomål/A 31468-2025 FSC-klagomål.docx", "A 31468-2025")</f>
        <v/>
      </c>
      <c r="AB50">
        <f>HYPERLINK("https://klasma.github.io/Logging_0581/klagomålsmail/A 31468-2025 FSC-klagomål mail.docx", "A 31468-2025")</f>
        <v/>
      </c>
      <c r="AC50">
        <f>HYPERLINK("https://klasma.github.io/Logging_0581/tillsyn/A 31468-2025 tillsynsbegäran.docx", "A 31468-2025")</f>
        <v/>
      </c>
      <c r="AD50">
        <f>HYPERLINK("https://klasma.github.io/Logging_0581/tillsynsmail/A 31468-2025 tillsynsbegäran mail.docx", "A 31468-2025")</f>
        <v/>
      </c>
      <c r="AE50">
        <f>HYPERLINK("https://klasma.github.io/Logging_0581/fåglar/A 31468-2025 prioriterade fågelarter.docx", "A 31468-2025")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46235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60171-2023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45258</v>
      </c>
      <c r="E52" s="1" t="n">
        <v>46235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Blomkålssvamp
Kransmossa</t>
        </is>
      </c>
      <c r="W52">
        <f>HYPERLINK("https://klasma.github.io/Logging_0581/artfynd/A 60171-2023 artfynd.xlsx", "A 60171-2023")</f>
        <v/>
      </c>
      <c r="X52">
        <f>HYPERLINK("https://klasma.github.io/Logging_0581/kartor/A 60171-2023 karta.png", "A 60171-2023")</f>
        <v/>
      </c>
      <c r="Y52">
        <f>HYPERLINK("https://klasma.github.io/Logging_0581/kartor_geotiff/A 60171-2023 georefererad karta.tif", "A 60171-2023")</f>
        <v/>
      </c>
      <c r="AA52">
        <f>HYPERLINK("https://klasma.github.io/Logging_0581/klagomål/A 60171-2023 FSC-klagomål.docx", "A 60171-2023")</f>
        <v/>
      </c>
      <c r="AB52">
        <f>HYPERLINK("https://klasma.github.io/Logging_0581/klagomålsmail/A 60171-2023 FSC-klagomål mail.docx", "A 60171-2023")</f>
        <v/>
      </c>
      <c r="AC52">
        <f>HYPERLINK("https://klasma.github.io/Logging_0581/tillsyn/A 60171-2023 tillsynsbegäran.docx", "A 60171-2023")</f>
        <v/>
      </c>
      <c r="AD52">
        <f>HYPERLINK("https://klasma.github.io/Logging_0581/tillsynsmail/A 60171-2023 tillsynsbegäran mail.docx", "A 60171-2023")</f>
        <v/>
      </c>
    </row>
    <row r="53" ht="15" customHeight="1">
      <c r="A53" t="inlineStr">
        <is>
          <t>A 45699-2024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45579</v>
      </c>
      <c r="E53" s="1" t="n">
        <v>46235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Vedskivlav
Flagellkvastmossa
Mindre märgborre</t>
        </is>
      </c>
      <c r="W53">
        <f>HYPERLINK("https://klasma.github.io/Logging_0581/artfynd/A 45699-2024 artfynd.xlsx", "A 45699-2024")</f>
        <v/>
      </c>
      <c r="X53">
        <f>HYPERLINK("https://klasma.github.io/Logging_0581/kartor/A 45699-2024 karta.png", "A 45699-2024")</f>
        <v/>
      </c>
      <c r="Y53">
        <f>HYPERLINK("https://klasma.github.io/Logging_0581/kartor_geotiff/A 45699-2024 georefererad karta.tif", "A 45699-2024")</f>
        <v/>
      </c>
      <c r="AA53">
        <f>HYPERLINK("https://klasma.github.io/Logging_0581/klagomål/A 45699-2024 FSC-klagomål.docx", "A 45699-2024")</f>
        <v/>
      </c>
      <c r="AB53">
        <f>HYPERLINK("https://klasma.github.io/Logging_0581/klagomålsmail/A 45699-2024 FSC-klagomål mail.docx", "A 45699-2024")</f>
        <v/>
      </c>
      <c r="AC53">
        <f>HYPERLINK("https://klasma.github.io/Logging_0581/tillsyn/A 45699-2024 tillsynsbegäran.docx", "A 45699-2024")</f>
        <v/>
      </c>
      <c r="AD53">
        <f>HYPERLINK("https://klasma.github.io/Logging_0581/tillsynsmail/A 45699-2024 tillsynsbegäran mail.docx", "A 45699-2024")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46235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Vedskivlav
Blåmossa</t>
        </is>
      </c>
      <c r="W54">
        <f>HYPERLINK("https://klasma.github.io/Logging_0581/artfynd/A 19973-2025 artfynd.xlsx", "A 19973-2025")</f>
        <v/>
      </c>
      <c r="X54">
        <f>HYPERLINK("https://klasma.github.io/Logging_0581/kartor/A 19973-2025 karta.png", "A 19973-2025")</f>
        <v/>
      </c>
      <c r="Y54">
        <f>HYPERLINK("https://klasma.github.io/Logging_0581/kartor_geotiff/A 19973-2025 georefererad karta.tif", "A 19973-2025")</f>
        <v/>
      </c>
      <c r="AA54">
        <f>HYPERLINK("https://klasma.github.io/Logging_0581/klagomål/A 19973-2025 FSC-klagomål.docx", "A 19973-2025")</f>
        <v/>
      </c>
      <c r="AB54">
        <f>HYPERLINK("https://klasma.github.io/Logging_0581/klagomålsmail/A 19973-2025 FSC-klagomål mail.docx", "A 19973-2025")</f>
        <v/>
      </c>
      <c r="AC54">
        <f>HYPERLINK("https://klasma.github.io/Logging_0581/tillsyn/A 19973-2025 tillsynsbegäran.docx", "A 19973-2025")</f>
        <v/>
      </c>
      <c r="AD54">
        <f>HYPERLINK("https://klasma.github.io/Logging_0581/tillsynsmail/A 19973-2025 tillsynsbegäran mail.docx", "A 19973-2025")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46235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46235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9512-2023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44981</v>
      </c>
      <c r="E57" s="1" t="n">
        <v>46235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2.1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Tallticka
Jättesvampmal</t>
        </is>
      </c>
      <c r="W57">
        <f>HYPERLINK("https://klasma.github.io/Logging_0581/artfynd/A 9512-2023 artfynd.xlsx", "A 9512-2023")</f>
        <v/>
      </c>
      <c r="X57">
        <f>HYPERLINK("https://klasma.github.io/Logging_0581/kartor/A 9512-2023 karta.png", "A 9512-2023")</f>
        <v/>
      </c>
      <c r="Y57">
        <f>HYPERLINK("https://klasma.github.io/Logging_0581/kartor_geotiff/A 9512-2023 georefererad karta.tif", "A 9512-2023")</f>
        <v/>
      </c>
      <c r="AA57">
        <f>HYPERLINK("https://klasma.github.io/Logging_0581/klagomål/A 9512-2023 FSC-klagomål.docx", "A 9512-2023")</f>
        <v/>
      </c>
      <c r="AB57">
        <f>HYPERLINK("https://klasma.github.io/Logging_0581/klagomålsmail/A 9512-2023 FSC-klagomål mail.docx", "A 9512-2023")</f>
        <v/>
      </c>
      <c r="AC57">
        <f>HYPERLINK("https://klasma.github.io/Logging_0581/tillsyn/A 9512-2023 tillsynsbegäran.docx", "A 9512-2023")</f>
        <v/>
      </c>
      <c r="AD57">
        <f>HYPERLINK("https://klasma.github.io/Logging_0581/tillsynsmail/A 9512-2023 tillsynsbegäran mail.docx", "A 9512-2023")</f>
        <v/>
      </c>
    </row>
    <row r="58" ht="15" customHeight="1">
      <c r="A58" t="inlineStr">
        <is>
          <t>A 11757-2025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46235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10.2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Dropptaggsvamp
Blomkålssvamp
Kornknutmossa</t>
        </is>
      </c>
      <c r="W58">
        <f>HYPERLINK("https://klasma.github.io/Logging_0581/artfynd/A 11757-2025 artfynd.xlsx", "A 11757-2025")</f>
        <v/>
      </c>
      <c r="X58">
        <f>HYPERLINK("https://klasma.github.io/Logging_0581/kartor/A 11757-2025 karta.png", "A 11757-2025")</f>
        <v/>
      </c>
      <c r="Y58">
        <f>HYPERLINK("https://klasma.github.io/Logging_0581/kartor_geotiff/A 11757-2025 georefererad karta.tif", "A 11757-2025")</f>
        <v/>
      </c>
      <c r="AA58">
        <f>HYPERLINK("https://klasma.github.io/Logging_0581/klagomål/A 11757-2025 FSC-klagomål.docx", "A 11757-2025")</f>
        <v/>
      </c>
      <c r="AB58">
        <f>HYPERLINK("https://klasma.github.io/Logging_0581/klagomålsmail/A 11757-2025 FSC-klagomål mail.docx", "A 11757-2025")</f>
        <v/>
      </c>
      <c r="AC58">
        <f>HYPERLINK("https://klasma.github.io/Logging_0581/tillsyn/A 11757-2025 tillsynsbegäran.docx", "A 11757-2025")</f>
        <v/>
      </c>
      <c r="AD58">
        <f>HYPERLINK("https://klasma.github.io/Logging_0581/tillsynsmail/A 11757-2025 tillsynsbegäran mail.docx", "A 11757-2025")</f>
        <v/>
      </c>
    </row>
    <row r="59" ht="15" customHeight="1">
      <c r="A59" t="inlineStr">
        <is>
          <t>A 28766-2026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46235</v>
      </c>
      <c r="F59" t="inlineStr">
        <is>
          <t>ÖSTERGÖTLANDS LÄN</t>
        </is>
      </c>
      <c r="G59" t="inlineStr">
        <is>
          <t>NORRKÖPING</t>
        </is>
      </c>
      <c r="I59" t="n">
        <v>4.6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Ljungsnärja
Backtimjan
Granbarkgnagare</t>
        </is>
      </c>
      <c r="W59">
        <f>HYPERLINK("https://klasma.github.io/Logging_0581/artfynd/A 28766-2026 artfynd.xlsx", "A 28766-2026")</f>
        <v/>
      </c>
      <c r="X59">
        <f>HYPERLINK("https://klasma.github.io/Logging_0581/kartor/A 28766-2026 karta.png", "A 28766-2026")</f>
        <v/>
      </c>
      <c r="Y59">
        <f>HYPERLINK("https://klasma.github.io/Logging_0581/kartor_geotiff/A 28766-2026 georefererad karta.tif", "A 28766-2026")</f>
        <v/>
      </c>
      <c r="AA59">
        <f>HYPERLINK("https://klasma.github.io/Logging_0581/klagomål/A 28766-2026 FSC-klagomål.docx", "A 28766-2026")</f>
        <v/>
      </c>
      <c r="AB59">
        <f>HYPERLINK("https://klasma.github.io/Logging_0581/klagomålsmail/A 28766-2026 FSC-klagomål mail.docx", "A 28766-2026")</f>
        <v/>
      </c>
      <c r="AC59">
        <f>HYPERLINK("https://klasma.github.io/Logging_0581/tillsyn/A 28766-2026 tillsynsbegäran.docx", "A 28766-2026")</f>
        <v/>
      </c>
      <c r="AD59">
        <f>HYPERLINK("https://klasma.github.io/Logging_0581/tillsynsmail/A 28766-2026 tillsynsbegäran mail.docx", "A 28766-2026")</f>
        <v/>
      </c>
    </row>
    <row r="60" ht="15" customHeight="1">
      <c r="A60" t="inlineStr">
        <is>
          <t>A 12692-2025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46235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6.1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2</v>
      </c>
      <c r="V60" s="2" t="inlineStr">
        <is>
          <t>Dvärgbägarlav
Vedskivlav
Mattlummer</t>
        </is>
      </c>
      <c r="W60">
        <f>HYPERLINK("https://klasma.github.io/Logging_0581/artfynd/A 12692-2025 artfynd.xlsx", "A 12692-2025")</f>
        <v/>
      </c>
      <c r="X60">
        <f>HYPERLINK("https://klasma.github.io/Logging_0581/kartor/A 12692-2025 karta.png", "A 12692-2025")</f>
        <v/>
      </c>
      <c r="Y60">
        <f>HYPERLINK("https://klasma.github.io/Logging_0581/kartor_geotiff/A 12692-2025 georefererad karta.tif", "A 12692-2025")</f>
        <v/>
      </c>
      <c r="AA60">
        <f>HYPERLINK("https://klasma.github.io/Logging_0581/klagomål/A 12692-2025 FSC-klagomål.docx", "A 12692-2025")</f>
        <v/>
      </c>
      <c r="AB60">
        <f>HYPERLINK("https://klasma.github.io/Logging_0581/klagomålsmail/A 12692-2025 FSC-klagomål mail.docx", "A 12692-2025")</f>
        <v/>
      </c>
      <c r="AC60">
        <f>HYPERLINK("https://klasma.github.io/Logging_0581/tillsyn/A 12692-2025 tillsynsbegäran.docx", "A 12692-2025")</f>
        <v/>
      </c>
      <c r="AD60">
        <f>HYPERLINK("https://klasma.github.io/Logging_0581/tillsynsmail/A 12692-2025 tillsynsbegäran mail.docx", "A 12692-2025")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46235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28062-2022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46235</v>
      </c>
      <c r="F62" t="inlineStr">
        <is>
          <t>ÖSTERGÖTLANDS LÄN</t>
        </is>
      </c>
      <c r="G62" t="inlineStr">
        <is>
          <t>NORRKÖPING</t>
        </is>
      </c>
      <c r="I62" t="n">
        <v>3.6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Slåtterfibbla
Svinrot
Mattlummer</t>
        </is>
      </c>
      <c r="W62">
        <f>HYPERLINK("https://klasma.github.io/Logging_0581/artfynd/A 28062-2022 artfynd.xlsx", "A 28062-2022")</f>
        <v/>
      </c>
      <c r="X62">
        <f>HYPERLINK("https://klasma.github.io/Logging_0581/kartor/A 28062-2022 karta.png", "A 28062-2022")</f>
        <v/>
      </c>
      <c r="Y62">
        <f>HYPERLINK("https://klasma.github.io/Logging_0581/kartor_geotiff/A 28062-2022 georefererad karta.tif", "A 28062-2022")</f>
        <v/>
      </c>
      <c r="AA62">
        <f>HYPERLINK("https://klasma.github.io/Logging_0581/klagomål/A 28062-2022 FSC-klagomål.docx", "A 28062-2022")</f>
        <v/>
      </c>
      <c r="AB62">
        <f>HYPERLINK("https://klasma.github.io/Logging_0581/klagomålsmail/A 28062-2022 FSC-klagomål mail.docx", "A 28062-2022")</f>
        <v/>
      </c>
      <c r="AC62">
        <f>HYPERLINK("https://klasma.github.io/Logging_0581/tillsyn/A 28062-2022 tillsynsbegäran.docx", "A 28062-2022")</f>
        <v/>
      </c>
      <c r="AD62">
        <f>HYPERLINK("https://klasma.github.io/Logging_0581/tillsynsmail/A 28062-2022 tillsynsbegäran mail.docx", "A 28062-2022")</f>
        <v/>
      </c>
    </row>
    <row r="63" ht="15" customHeight="1">
      <c r="A63" t="inlineStr">
        <is>
          <t>A 30829-2026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46212</v>
      </c>
      <c r="E63" s="1" t="n">
        <v>46235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2</v>
      </c>
      <c r="J63" t="n">
        <v>0</v>
      </c>
      <c r="K63" t="n">
        <v>3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Björksplintborre
Kornknutmossa
Stor aspticka</t>
        </is>
      </c>
      <c r="W63">
        <f>HYPERLINK("https://klasma.github.io/Logging_0581/artfynd/A 30829-2026 artfynd.xlsx", "A 30829-2026")</f>
        <v/>
      </c>
      <c r="X63">
        <f>HYPERLINK("https://klasma.github.io/Logging_0581/kartor/A 30829-2026 karta.png", "A 30829-2026")</f>
        <v/>
      </c>
      <c r="Y63">
        <f>HYPERLINK("https://klasma.github.io/Logging_0581/kartor_geotiff/A 30829-2026 georefererad karta.tif", "A 30829-2026")</f>
        <v/>
      </c>
      <c r="AA63">
        <f>HYPERLINK("https://klasma.github.io/Logging_0581/klagomål/A 30829-2026 FSC-klagomål.docx", "A 30829-2026")</f>
        <v/>
      </c>
      <c r="AB63">
        <f>HYPERLINK("https://klasma.github.io/Logging_0581/klagomålsmail/A 30829-2026 FSC-klagomål mail.docx", "A 30829-2026")</f>
        <v/>
      </c>
      <c r="AC63">
        <f>HYPERLINK("https://klasma.github.io/Logging_0581/tillsyn/A 30829-2026 tillsynsbegäran.docx", "A 30829-2026")</f>
        <v/>
      </c>
      <c r="AD63">
        <f>HYPERLINK("https://klasma.github.io/Logging_0581/tillsynsmail/A 30829-2026 tillsynsbegäran mail.docx", "A 30829-2026")</f>
        <v/>
      </c>
    </row>
    <row r="64" ht="15" customHeight="1">
      <c r="A64" t="inlineStr">
        <is>
          <t>A 14646-2023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45013</v>
      </c>
      <c r="E64" s="1" t="n">
        <v>46235</v>
      </c>
      <c r="F64" t="inlineStr">
        <is>
          <t>ÖSTERGÖTLANDS LÄN</t>
        </is>
      </c>
      <c r="G64" t="inlineStr">
        <is>
          <t>NORRKÖPING</t>
        </is>
      </c>
      <c r="I64" t="n">
        <v>5.4</v>
      </c>
      <c r="J64" t="n">
        <v>1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Skogsalm
Vanlig backsmörblomma
Fläcknycklar</t>
        </is>
      </c>
      <c r="W64">
        <f>HYPERLINK("https://klasma.github.io/Logging_0581/artfynd/A 14646-2023 artfynd.xlsx", "A 14646-2023")</f>
        <v/>
      </c>
      <c r="X64">
        <f>HYPERLINK("https://klasma.github.io/Logging_0581/kartor/A 14646-2023 karta.png", "A 14646-2023")</f>
        <v/>
      </c>
      <c r="Y64">
        <f>HYPERLINK("https://klasma.github.io/Logging_0581/kartor_geotiff/A 14646-2023 georefererad karta.tif", "A 14646-2023")</f>
        <v/>
      </c>
      <c r="AA64">
        <f>HYPERLINK("https://klasma.github.io/Logging_0581/klagomål/A 14646-2023 FSC-klagomål.docx", "A 14646-2023")</f>
        <v/>
      </c>
      <c r="AB64">
        <f>HYPERLINK("https://klasma.github.io/Logging_0581/klagomålsmail/A 14646-2023 FSC-klagomål mail.docx", "A 14646-2023")</f>
        <v/>
      </c>
      <c r="AC64">
        <f>HYPERLINK("https://klasma.github.io/Logging_0581/tillsyn/A 14646-2023 tillsynsbegäran.docx", "A 14646-2023")</f>
        <v/>
      </c>
      <c r="AD64">
        <f>HYPERLINK("https://klasma.github.io/Logging_0581/tillsynsmail/A 14646-2023 tillsynsbegäran mail.docx", "A 14646-2023")</f>
        <v/>
      </c>
    </row>
    <row r="65" ht="15" customHeight="1">
      <c r="A65" t="inlineStr">
        <is>
          <t>A 34439-2023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46235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3.5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Grönpyrola
Plattlummer
Äkta lopplummer</t>
        </is>
      </c>
      <c r="W65">
        <f>HYPERLINK("https://klasma.github.io/Logging_0581/artfynd/A 34439-2023 artfynd.xlsx", "A 34439-2023")</f>
        <v/>
      </c>
      <c r="X65">
        <f>HYPERLINK("https://klasma.github.io/Logging_0581/kartor/A 34439-2023 karta.png", "A 34439-2023")</f>
        <v/>
      </c>
      <c r="Y65">
        <f>HYPERLINK("https://klasma.github.io/Logging_0581/kartor_geotiff/A 34439-2023 georefererad karta.tif", "A 34439-2023")</f>
        <v/>
      </c>
      <c r="Z65">
        <f>HYPERLINK("https://klasma.github.io/Logging_0581/knärot/A 34439-2023 karta knärot.png", "A 34439-2023")</f>
        <v/>
      </c>
      <c r="AA65">
        <f>HYPERLINK("https://klasma.github.io/Logging_0581/klagomål/A 34439-2023 FSC-klagomål.docx", "A 34439-2023")</f>
        <v/>
      </c>
      <c r="AB65">
        <f>HYPERLINK("https://klasma.github.io/Logging_0581/klagomålsmail/A 34439-2023 FSC-klagomål mail.docx", "A 34439-2023")</f>
        <v/>
      </c>
      <c r="AC65">
        <f>HYPERLINK("https://klasma.github.io/Logging_0581/tillsyn/A 34439-2023 tillsynsbegäran.docx", "A 34439-2023")</f>
        <v/>
      </c>
      <c r="AD65">
        <f>HYPERLINK("https://klasma.github.io/Logging_0581/tillsynsmail/A 34439-2023 tillsynsbegäran mail.docx", "A 34439-2023")</f>
        <v/>
      </c>
    </row>
    <row r="66" ht="15" customHeight="1">
      <c r="A66" t="inlineStr">
        <is>
          <t>A 2484-2026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46235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t="n">
        <v>3</v>
      </c>
      <c r="V66" s="2" t="inlineStr">
        <is>
          <t>Dropptaggsvamp
Dvärgbägarlav
Bronshjon</t>
        </is>
      </c>
      <c r="W66">
        <f>HYPERLINK("https://klasma.github.io/Logging_0581/artfynd/A 2484-2026 artfynd.xlsx", "A 2484-2026")</f>
        <v/>
      </c>
      <c r="X66">
        <f>HYPERLINK("https://klasma.github.io/Logging_0581/kartor/A 2484-2026 karta.png", "A 2484-2026")</f>
        <v/>
      </c>
      <c r="Y66">
        <f>HYPERLINK("https://klasma.github.io/Logging_0581/kartor_geotiff/A 2484-2026 georefererad karta.tif", "A 2484-2026")</f>
        <v/>
      </c>
      <c r="AA66">
        <f>HYPERLINK("https://klasma.github.io/Logging_0581/klagomål/A 2484-2026 FSC-klagomål.docx", "A 2484-2026")</f>
        <v/>
      </c>
      <c r="AB66">
        <f>HYPERLINK("https://klasma.github.io/Logging_0581/klagomålsmail/A 2484-2026 FSC-klagomål mail.docx", "A 2484-2026")</f>
        <v/>
      </c>
      <c r="AC66">
        <f>HYPERLINK("https://klasma.github.io/Logging_0581/tillsyn/A 2484-2026 tillsynsbegäran.docx", "A 2484-2026")</f>
        <v/>
      </c>
      <c r="AD66">
        <f>HYPERLINK("https://klasma.github.io/Logging_0581/tillsynsmail/A 2484-2026 tillsynsbegäran mail.docx", "A 2484-2026")</f>
        <v/>
      </c>
    </row>
    <row r="67" ht="15" customHeight="1">
      <c r="A67" t="inlineStr">
        <is>
          <t>A 8468-2023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46235</v>
      </c>
      <c r="F67" t="inlineStr">
        <is>
          <t>ÖSTERGÖTLANDS LÄN</t>
        </is>
      </c>
      <c r="G67" t="inlineStr">
        <is>
          <t>NORRKÖPING</t>
        </is>
      </c>
      <c r="I67" t="n">
        <v>6.7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Tallticka
Bronshjon
Blåsippa</t>
        </is>
      </c>
      <c r="W67">
        <f>HYPERLINK("https://klasma.github.io/Logging_0581/artfynd/A 8468-2023 artfynd.xlsx", "A 8468-2023")</f>
        <v/>
      </c>
      <c r="X67">
        <f>HYPERLINK("https://klasma.github.io/Logging_0581/kartor/A 8468-2023 karta.png", "A 8468-2023")</f>
        <v/>
      </c>
      <c r="Y67">
        <f>HYPERLINK("https://klasma.github.io/Logging_0581/kartor_geotiff/A 8468-2023 georefererad karta.tif", "A 8468-2023")</f>
        <v/>
      </c>
      <c r="AA67">
        <f>HYPERLINK("https://klasma.github.io/Logging_0581/klagomål/A 8468-2023 FSC-klagomål.docx", "A 8468-2023")</f>
        <v/>
      </c>
      <c r="AB67">
        <f>HYPERLINK("https://klasma.github.io/Logging_0581/klagomålsmail/A 8468-2023 FSC-klagomål mail.docx", "A 8468-2023")</f>
        <v/>
      </c>
      <c r="AC67">
        <f>HYPERLINK("https://klasma.github.io/Logging_0581/tillsyn/A 8468-2023 tillsynsbegäran.docx", "A 8468-2023")</f>
        <v/>
      </c>
      <c r="AD67">
        <f>HYPERLINK("https://klasma.github.io/Logging_0581/tillsynsmail/A 8468-2023 tillsynsbegäran mail.docx", "A 8468-2023")</f>
        <v/>
      </c>
    </row>
    <row r="68" ht="15" customHeight="1">
      <c r="A68" t="inlineStr">
        <is>
          <t>A 19989-2026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46136</v>
      </c>
      <c r="E68" s="1" t="n">
        <v>46235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4.6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Ullticka
Hasselticka
Spillkråka</t>
        </is>
      </c>
      <c r="W68">
        <f>HYPERLINK("https://klasma.github.io/Logging_0581/artfynd/A 19989-2026 artfynd.xlsx", "A 19989-2026")</f>
        <v/>
      </c>
      <c r="X68">
        <f>HYPERLINK("https://klasma.github.io/Logging_0581/kartor/A 19989-2026 karta.png", "A 19989-2026")</f>
        <v/>
      </c>
      <c r="Y68">
        <f>HYPERLINK("https://klasma.github.io/Logging_0581/kartor_geotiff/A 19989-2026 georefererad karta.tif", "A 19989-2026")</f>
        <v/>
      </c>
      <c r="AA68">
        <f>HYPERLINK("https://klasma.github.io/Logging_0581/klagomål/A 19989-2026 FSC-klagomål.docx", "A 19989-2026")</f>
        <v/>
      </c>
      <c r="AB68">
        <f>HYPERLINK("https://klasma.github.io/Logging_0581/klagomålsmail/A 19989-2026 FSC-klagomål mail.docx", "A 19989-2026")</f>
        <v/>
      </c>
      <c r="AC68">
        <f>HYPERLINK("https://klasma.github.io/Logging_0581/tillsyn/A 19989-2026 tillsynsbegäran.docx", "A 19989-2026")</f>
        <v/>
      </c>
      <c r="AD68">
        <f>HYPERLINK("https://klasma.github.io/Logging_0581/tillsynsmail/A 19989-2026 tillsynsbegäran mail.docx", "A 19989-2026")</f>
        <v/>
      </c>
      <c r="AE68">
        <f>HYPERLINK("https://klasma.github.io/Logging_0581/fåglar/A 19989-2026 prioriterade fågelarter.docx", "A 19989-2026")</f>
        <v/>
      </c>
    </row>
    <row r="69" ht="15" customHeight="1">
      <c r="A69" t="inlineStr">
        <is>
          <t>A 19806-2026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46135</v>
      </c>
      <c r="E69" s="1" t="n">
        <v>46235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Ullticka
Blåmossa
Kungsfågel</t>
        </is>
      </c>
      <c r="W69">
        <f>HYPERLINK("https://klasma.github.io/Logging_0581/artfynd/A 19806-2026 artfynd.xlsx", "A 19806-2026")</f>
        <v/>
      </c>
      <c r="X69">
        <f>HYPERLINK("https://klasma.github.io/Logging_0581/kartor/A 19806-2026 karta.png", "A 19806-2026")</f>
        <v/>
      </c>
      <c r="Y69">
        <f>HYPERLINK("https://klasma.github.io/Logging_0581/kartor_geotiff/A 19806-2026 georefererad karta.tif", "A 19806-2026")</f>
        <v/>
      </c>
      <c r="AA69">
        <f>HYPERLINK("https://klasma.github.io/Logging_0581/klagomål/A 19806-2026 FSC-klagomål.docx", "A 19806-2026")</f>
        <v/>
      </c>
      <c r="AB69">
        <f>HYPERLINK("https://klasma.github.io/Logging_0581/klagomålsmail/A 19806-2026 FSC-klagomål mail.docx", "A 19806-2026")</f>
        <v/>
      </c>
      <c r="AC69">
        <f>HYPERLINK("https://klasma.github.io/Logging_0581/tillsyn/A 19806-2026 tillsynsbegäran.docx", "A 19806-2026")</f>
        <v/>
      </c>
      <c r="AD69">
        <f>HYPERLINK("https://klasma.github.io/Logging_0581/tillsynsmail/A 19806-2026 tillsynsbegäran mail.docx", "A 19806-2026")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46235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46235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35736-2025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45860</v>
      </c>
      <c r="E72" s="1" t="n">
        <v>46235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11.5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Vedskivlav
Tjäder</t>
        </is>
      </c>
      <c r="W72">
        <f>HYPERLINK("https://klasma.github.io/Logging_0581/artfynd/A 35736-2025 artfynd.xlsx", "A 35736-2025")</f>
        <v/>
      </c>
      <c r="X72">
        <f>HYPERLINK("https://klasma.github.io/Logging_0581/kartor/A 35736-2025 karta.png", "A 35736-2025")</f>
        <v/>
      </c>
      <c r="Y72">
        <f>HYPERLINK("https://klasma.github.io/Logging_0581/kartor_geotiff/A 35736-2025 georefererad karta.tif", "A 35736-2025")</f>
        <v/>
      </c>
      <c r="AA72">
        <f>HYPERLINK("https://klasma.github.io/Logging_0581/klagomål/A 35736-2025 FSC-klagomål.docx", "A 35736-2025")</f>
        <v/>
      </c>
      <c r="AB72">
        <f>HYPERLINK("https://klasma.github.io/Logging_0581/klagomålsmail/A 35736-2025 FSC-klagomål mail.docx", "A 35736-2025")</f>
        <v/>
      </c>
      <c r="AC72">
        <f>HYPERLINK("https://klasma.github.io/Logging_0581/tillsyn/A 35736-2025 tillsynsbegäran.docx", "A 35736-2025")</f>
        <v/>
      </c>
      <c r="AD72">
        <f>HYPERLINK("https://klasma.github.io/Logging_0581/tillsynsmail/A 35736-2025 tillsynsbegäran mail.docx", "A 35736-2025")</f>
        <v/>
      </c>
      <c r="AE72">
        <f>HYPERLINK("https://klasma.github.io/Logging_0581/fåglar/A 35736-2025 prioriterade fågelarter.docx", "A 35736-2025")</f>
        <v/>
      </c>
    </row>
    <row r="73" ht="15" customHeight="1">
      <c r="A73" t="inlineStr">
        <is>
          <t>A 67646-2021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44524</v>
      </c>
      <c r="E73" s="1" t="n">
        <v>46235</v>
      </c>
      <c r="F73" t="inlineStr">
        <is>
          <t>ÖSTERGÖTLANDS LÄN</t>
        </is>
      </c>
      <c r="G73" t="inlineStr">
        <is>
          <t>NORRKÖPING</t>
        </is>
      </c>
      <c r="I73" t="n">
        <v>2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Mindre tåtelsmygare
Vitfläckig guldvinge</t>
        </is>
      </c>
      <c r="W73">
        <f>HYPERLINK("https://klasma.github.io/Logging_0581/artfynd/A 67646-2021 artfynd.xlsx", "A 67646-2021")</f>
        <v/>
      </c>
      <c r="X73">
        <f>HYPERLINK("https://klasma.github.io/Logging_0581/kartor/A 67646-2021 karta.png", "A 67646-2021")</f>
        <v/>
      </c>
      <c r="Y73">
        <f>HYPERLINK("https://klasma.github.io/Logging_0581/kartor_geotiff/A 67646-2021 georefererad karta.tif", "A 67646-2021")</f>
        <v/>
      </c>
      <c r="AA73">
        <f>HYPERLINK("https://klasma.github.io/Logging_0581/klagomål/A 67646-2021 FSC-klagomål.docx", "A 67646-2021")</f>
        <v/>
      </c>
      <c r="AB73">
        <f>HYPERLINK("https://klasma.github.io/Logging_0581/klagomålsmail/A 67646-2021 FSC-klagomål mail.docx", "A 67646-2021")</f>
        <v/>
      </c>
      <c r="AC73">
        <f>HYPERLINK("https://klasma.github.io/Logging_0581/tillsyn/A 67646-2021 tillsynsbegäran.docx", "A 67646-2021")</f>
        <v/>
      </c>
      <c r="AD73">
        <f>HYPERLINK("https://klasma.github.io/Logging_0581/tillsynsmail/A 67646-2021 tillsynsbegäran mail.docx", "A 67646-2021")</f>
        <v/>
      </c>
    </row>
    <row r="74" ht="15" customHeight="1">
      <c r="A74" t="inlineStr">
        <is>
          <t>A 4826-2023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44957</v>
      </c>
      <c r="E74" s="1" t="n">
        <v>46235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5.1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Bårdlav
Havsörn</t>
        </is>
      </c>
      <c r="W74">
        <f>HYPERLINK("https://klasma.github.io/Logging_0581/artfynd/A 4826-2023 artfynd.xlsx", "A 4826-2023")</f>
        <v/>
      </c>
      <c r="X74">
        <f>HYPERLINK("https://klasma.github.io/Logging_0581/kartor/A 4826-2023 karta.png", "A 4826-2023")</f>
        <v/>
      </c>
      <c r="Y74">
        <f>HYPERLINK("https://klasma.github.io/Logging_0581/kartor_geotiff/A 4826-2023 georefererad karta.tif", "A 4826-2023")</f>
        <v/>
      </c>
      <c r="AA74">
        <f>HYPERLINK("https://klasma.github.io/Logging_0581/klagomål/A 4826-2023 FSC-klagomål.docx", "A 4826-2023")</f>
        <v/>
      </c>
      <c r="AB74">
        <f>HYPERLINK("https://klasma.github.io/Logging_0581/klagomålsmail/A 4826-2023 FSC-klagomål mail.docx", "A 4826-2023")</f>
        <v/>
      </c>
      <c r="AC74">
        <f>HYPERLINK("https://klasma.github.io/Logging_0581/tillsyn/A 4826-2023 tillsynsbegäran.docx", "A 4826-2023")</f>
        <v/>
      </c>
      <c r="AD74">
        <f>HYPERLINK("https://klasma.github.io/Logging_0581/tillsynsmail/A 4826-2023 tillsynsbegäran mail.docx", "A 4826-2023")</f>
        <v/>
      </c>
      <c r="AE74">
        <f>HYPERLINK("https://klasma.github.io/Logging_0581/fåglar/A 4826-2023 prioriterade fågelarter.docx", "A 4826-2023")</f>
        <v/>
      </c>
    </row>
    <row r="75" ht="15" customHeight="1">
      <c r="A75" t="inlineStr">
        <is>
          <t>A 55022-2022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44886</v>
      </c>
      <c r="E75" s="1" t="n">
        <v>46235</v>
      </c>
      <c r="F75" t="inlineStr">
        <is>
          <t>ÖSTERGÖTLANDS LÄN</t>
        </is>
      </c>
      <c r="G75" t="inlineStr">
        <is>
          <t>NORRKÖPING</t>
        </is>
      </c>
      <c r="I75" t="n">
        <v>1.4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Tallfingersvamp
Purpurknipprot</t>
        </is>
      </c>
      <c r="W75">
        <f>HYPERLINK("https://klasma.github.io/Logging_0581/artfynd/A 55022-2022 artfynd.xlsx", "A 55022-2022")</f>
        <v/>
      </c>
      <c r="X75">
        <f>HYPERLINK("https://klasma.github.io/Logging_0581/kartor/A 55022-2022 karta.png", "A 55022-2022")</f>
        <v/>
      </c>
      <c r="Y75">
        <f>HYPERLINK("https://klasma.github.io/Logging_0581/kartor_geotiff/A 55022-2022 georefererad karta.tif", "A 55022-2022")</f>
        <v/>
      </c>
      <c r="AA75">
        <f>HYPERLINK("https://klasma.github.io/Logging_0581/klagomål/A 55022-2022 FSC-klagomål.docx", "A 55022-2022")</f>
        <v/>
      </c>
      <c r="AB75">
        <f>HYPERLINK("https://klasma.github.io/Logging_0581/klagomålsmail/A 55022-2022 FSC-klagomål mail.docx", "A 55022-2022")</f>
        <v/>
      </c>
      <c r="AC75">
        <f>HYPERLINK("https://klasma.github.io/Logging_0581/tillsyn/A 55022-2022 tillsynsbegäran.docx", "A 55022-2022")</f>
        <v/>
      </c>
      <c r="AD75">
        <f>HYPERLINK("https://klasma.github.io/Logging_0581/tillsynsmail/A 55022-2022 tillsynsbegäran mail.docx", "A 55022-2022")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46235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20377-2023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45056</v>
      </c>
      <c r="E77" s="1" t="n">
        <v>46235</v>
      </c>
      <c r="F77" t="inlineStr">
        <is>
          <t>ÖSTERGÖTLANDS LÄN</t>
        </is>
      </c>
      <c r="G77" t="inlineStr">
        <is>
          <t>NORRKÖPING</t>
        </is>
      </c>
      <c r="I77" t="n">
        <v>0.5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4</v>
      </c>
      <c r="U77" t="n">
        <v>0</v>
      </c>
      <c r="V77" s="2" t="inlineStr">
        <is>
          <t>Tallticka
Kungsfågel</t>
        </is>
      </c>
      <c r="W77">
        <f>HYPERLINK("https://klasma.github.io/Logging_0581/artfynd/A 20377-2023 artfynd.xlsx", "A 20377-2023")</f>
        <v/>
      </c>
      <c r="X77">
        <f>HYPERLINK("https://klasma.github.io/Logging_0581/kartor/A 20377-2023 karta.png", "A 20377-2023")</f>
        <v/>
      </c>
      <c r="Y77">
        <f>HYPERLINK("https://klasma.github.io/Logging_0581/kartor_geotiff/A 20377-2023 georefererad karta.tif", "A 20377-2023")</f>
        <v/>
      </c>
      <c r="AA77">
        <f>HYPERLINK("https://klasma.github.io/Logging_0581/klagomål/A 20377-2023 FSC-klagomål.docx", "A 20377-2023")</f>
        <v/>
      </c>
      <c r="AB77">
        <f>HYPERLINK("https://klasma.github.io/Logging_0581/klagomålsmail/A 20377-2023 FSC-klagomål mail.docx", "A 20377-2023")</f>
        <v/>
      </c>
      <c r="AC77">
        <f>HYPERLINK("https://klasma.github.io/Logging_0581/tillsyn/A 20377-2023 tillsynsbegäran.docx", "A 20377-2023")</f>
        <v/>
      </c>
      <c r="AD77">
        <f>HYPERLINK("https://klasma.github.io/Logging_0581/tillsynsmail/A 20377-2023 tillsynsbegäran mail.docx", "A 20377-2023")</f>
        <v/>
      </c>
    </row>
    <row r="78" ht="15" customHeight="1">
      <c r="A78" t="inlineStr">
        <is>
          <t>A 49366-2021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46235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Knärot
Sårläka</t>
        </is>
      </c>
      <c r="W78">
        <f>HYPERLINK("https://klasma.github.io/Logging_0581/artfynd/A 49366-2021 artfynd.xlsx", "A 49366-2021")</f>
        <v/>
      </c>
      <c r="X78">
        <f>HYPERLINK("https://klasma.github.io/Logging_0581/kartor/A 49366-2021 karta.png", "A 49366-2021")</f>
        <v/>
      </c>
      <c r="Y78">
        <f>HYPERLINK("https://klasma.github.io/Logging_0581/kartor_geotiff/A 49366-2021 georefererad karta.tif", "A 49366-2021")</f>
        <v/>
      </c>
      <c r="Z78">
        <f>HYPERLINK("https://klasma.github.io/Logging_0581/knärot/A 49366-2021 karta knärot.png", "A 49366-2021")</f>
        <v/>
      </c>
      <c r="AA78">
        <f>HYPERLINK("https://klasma.github.io/Logging_0581/klagomål/A 49366-2021 FSC-klagomål.docx", "A 49366-2021")</f>
        <v/>
      </c>
      <c r="AB78">
        <f>HYPERLINK("https://klasma.github.io/Logging_0581/klagomålsmail/A 49366-2021 FSC-klagomål mail.docx", "A 49366-2021")</f>
        <v/>
      </c>
      <c r="AC78">
        <f>HYPERLINK("https://klasma.github.io/Logging_0581/tillsyn/A 49366-2021 tillsynsbegäran.docx", "A 49366-2021")</f>
        <v/>
      </c>
      <c r="AD78">
        <f>HYPERLINK("https://klasma.github.io/Logging_0581/tillsynsmail/A 49366-2021 tillsynsbegäran mail.docx", "A 49366-2021")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46235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17248-2024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45414</v>
      </c>
      <c r="E80" s="1" t="n">
        <v>46235</v>
      </c>
      <c r="F80" t="inlineStr">
        <is>
          <t>ÖSTERGÖTLANDS LÄN</t>
        </is>
      </c>
      <c r="G80" t="inlineStr">
        <is>
          <t>NORRKÖPING</t>
        </is>
      </c>
      <c r="I80" t="n">
        <v>2.6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Tallticka
Vedticka</t>
        </is>
      </c>
      <c r="W80">
        <f>HYPERLINK("https://klasma.github.io/Logging_0581/artfynd/A 17248-2024 artfynd.xlsx", "A 17248-2024")</f>
        <v/>
      </c>
      <c r="X80">
        <f>HYPERLINK("https://klasma.github.io/Logging_0581/kartor/A 17248-2024 karta.png", "A 17248-2024")</f>
        <v/>
      </c>
      <c r="Y80">
        <f>HYPERLINK("https://klasma.github.io/Logging_0581/kartor_geotiff/A 17248-2024 georefererad karta.tif", "A 17248-2024")</f>
        <v/>
      </c>
      <c r="AA80">
        <f>HYPERLINK("https://klasma.github.io/Logging_0581/klagomål/A 17248-2024 FSC-klagomål.docx", "A 17248-2024")</f>
        <v/>
      </c>
      <c r="AB80">
        <f>HYPERLINK("https://klasma.github.io/Logging_0581/klagomålsmail/A 17248-2024 FSC-klagomål mail.docx", "A 17248-2024")</f>
        <v/>
      </c>
      <c r="AC80">
        <f>HYPERLINK("https://klasma.github.io/Logging_0581/tillsyn/A 17248-2024 tillsynsbegäran.docx", "A 17248-2024")</f>
        <v/>
      </c>
      <c r="AD80">
        <f>HYPERLINK("https://klasma.github.io/Logging_0581/tillsynsmail/A 17248-2024 tillsynsbegäran mail.docx", "A 17248-2024")</f>
        <v/>
      </c>
    </row>
    <row r="81" ht="15" customHeight="1">
      <c r="A81" t="inlineStr">
        <is>
          <t>A 5572-2024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45334</v>
      </c>
      <c r="E81" s="1" t="n">
        <v>46235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0.6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Grov baronmossa
Platt fjädermossa</t>
        </is>
      </c>
      <c r="W81">
        <f>HYPERLINK("https://klasma.github.io/Logging_0581/artfynd/A 5572-2024 artfynd.xlsx", "A 5572-2024")</f>
        <v/>
      </c>
      <c r="X81">
        <f>HYPERLINK("https://klasma.github.io/Logging_0581/kartor/A 5572-2024 karta.png", "A 5572-2024")</f>
        <v/>
      </c>
      <c r="Y81">
        <f>HYPERLINK("https://klasma.github.io/Logging_0581/kartor_geotiff/A 5572-2024 georefererad karta.tif", "A 5572-2024")</f>
        <v/>
      </c>
      <c r="AA81">
        <f>HYPERLINK("https://klasma.github.io/Logging_0581/klagomål/A 5572-2024 FSC-klagomål.docx", "A 5572-2024")</f>
        <v/>
      </c>
      <c r="AB81">
        <f>HYPERLINK("https://klasma.github.io/Logging_0581/klagomålsmail/A 5572-2024 FSC-klagomål mail.docx", "A 5572-2024")</f>
        <v/>
      </c>
      <c r="AC81">
        <f>HYPERLINK("https://klasma.github.io/Logging_0581/tillsyn/A 5572-2024 tillsynsbegäran.docx", "A 5572-2024")</f>
        <v/>
      </c>
      <c r="AD81">
        <f>HYPERLINK("https://klasma.github.io/Logging_0581/tillsynsmail/A 5572-2024 tillsynsbegäran mail.docx", "A 5572-2024")</f>
        <v/>
      </c>
    </row>
    <row r="82" ht="15" customHeight="1">
      <c r="A82" t="inlineStr">
        <is>
          <t>A 40315-2025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45895</v>
      </c>
      <c r="E82" s="1" t="n">
        <v>46235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8.699999999999999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Mattlummer
Revlummer</t>
        </is>
      </c>
      <c r="W82">
        <f>HYPERLINK("https://klasma.github.io/Logging_0581/artfynd/A 40315-2025 artfynd.xlsx", "A 40315-2025")</f>
        <v/>
      </c>
      <c r="X82">
        <f>HYPERLINK("https://klasma.github.io/Logging_0581/kartor/A 40315-2025 karta.png", "A 40315-2025")</f>
        <v/>
      </c>
      <c r="Y82">
        <f>HYPERLINK("https://klasma.github.io/Logging_0581/kartor_geotiff/A 40315-2025 georefererad karta.tif", "A 40315-2025")</f>
        <v/>
      </c>
      <c r="AA82">
        <f>HYPERLINK("https://klasma.github.io/Logging_0581/klagomål/A 40315-2025 FSC-klagomål.docx", "A 40315-2025")</f>
        <v/>
      </c>
      <c r="AB82">
        <f>HYPERLINK("https://klasma.github.io/Logging_0581/klagomålsmail/A 40315-2025 FSC-klagomål mail.docx", "A 40315-2025")</f>
        <v/>
      </c>
      <c r="AC82">
        <f>HYPERLINK("https://klasma.github.io/Logging_0581/tillsyn/A 40315-2025 tillsynsbegäran.docx", "A 40315-2025")</f>
        <v/>
      </c>
      <c r="AD82">
        <f>HYPERLINK("https://klasma.github.io/Logging_0581/tillsynsmail/A 40315-2025 tillsynsbegäran mail.docx", "A 40315-2025")</f>
        <v/>
      </c>
    </row>
    <row r="83" ht="15" customHeight="1">
      <c r="A83" t="inlineStr">
        <is>
          <t>A 46955-2023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46235</v>
      </c>
      <c r="F83" t="inlineStr">
        <is>
          <t>ÖSTERGÖTLANDS LÄN</t>
        </is>
      </c>
      <c r="G83" t="inlineStr">
        <is>
          <t>NORRKÖPING</t>
        </is>
      </c>
      <c r="I83" t="n">
        <v>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Sparvuggla</t>
        </is>
      </c>
      <c r="W83">
        <f>HYPERLINK("https://klasma.github.io/Logging_0581/artfynd/A 46955-2023 artfynd.xlsx", "A 46955-2023")</f>
        <v/>
      </c>
      <c r="X83">
        <f>HYPERLINK("https://klasma.github.io/Logging_0581/kartor/A 46955-2023 karta.png", "A 46955-2023")</f>
        <v/>
      </c>
      <c r="Y83">
        <f>HYPERLINK("https://klasma.github.io/Logging_0581/kartor_geotiff/A 46955-2023 georefererad karta.tif", "A 46955-2023")</f>
        <v/>
      </c>
      <c r="AA83">
        <f>HYPERLINK("https://klasma.github.io/Logging_0581/klagomål/A 46955-2023 FSC-klagomål.docx", "A 46955-2023")</f>
        <v/>
      </c>
      <c r="AB83">
        <f>HYPERLINK("https://klasma.github.io/Logging_0581/klagomålsmail/A 46955-2023 FSC-klagomål mail.docx", "A 46955-2023")</f>
        <v/>
      </c>
      <c r="AC83">
        <f>HYPERLINK("https://klasma.github.io/Logging_0581/tillsyn/A 46955-2023 tillsynsbegäran.docx", "A 46955-2023")</f>
        <v/>
      </c>
      <c r="AD83">
        <f>HYPERLINK("https://klasma.github.io/Logging_0581/tillsynsmail/A 46955-2023 tillsynsbegäran mail.docx", "A 46955-2023")</f>
        <v/>
      </c>
      <c r="AE83">
        <f>HYPERLINK("https://klasma.github.io/Logging_0581/fåglar/A 46955-2023 prioriterade fågelarter.docx", "A 46955-2023")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46235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14459-2024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45394</v>
      </c>
      <c r="E85" s="1" t="n">
        <v>46235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0.7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2</v>
      </c>
      <c r="V85" s="2" t="inlineStr">
        <is>
          <t>Garnlav
Talltita</t>
        </is>
      </c>
      <c r="W85">
        <f>HYPERLINK("https://klasma.github.io/Logging_0581/artfynd/A 14459-2024 artfynd.xlsx", "A 14459-2024")</f>
        <v/>
      </c>
      <c r="X85">
        <f>HYPERLINK("https://klasma.github.io/Logging_0581/kartor/A 14459-2024 karta.png", "A 14459-2024")</f>
        <v/>
      </c>
      <c r="Y85">
        <f>HYPERLINK("https://klasma.github.io/Logging_0581/kartor_geotiff/A 14459-2024 georefererad karta.tif", "A 14459-2024")</f>
        <v/>
      </c>
      <c r="AA85">
        <f>HYPERLINK("https://klasma.github.io/Logging_0581/klagomål/A 14459-2024 FSC-klagomål.docx", "A 14459-2024")</f>
        <v/>
      </c>
      <c r="AB85">
        <f>HYPERLINK("https://klasma.github.io/Logging_0581/klagomålsmail/A 14459-2024 FSC-klagomål mail.docx", "A 14459-2024")</f>
        <v/>
      </c>
      <c r="AC85">
        <f>HYPERLINK("https://klasma.github.io/Logging_0581/tillsyn/A 14459-2024 tillsynsbegäran.docx", "A 14459-2024")</f>
        <v/>
      </c>
      <c r="AD85">
        <f>HYPERLINK("https://klasma.github.io/Logging_0581/tillsynsmail/A 14459-2024 tillsynsbegäran mail.docx", "A 14459-2024")</f>
        <v/>
      </c>
      <c r="AE85">
        <f>HYPERLINK("https://klasma.github.io/Logging_0581/fåglar/A 14459-2024 prioriterade fågelarter.docx", "A 14459-2024")</f>
        <v/>
      </c>
    </row>
    <row r="86" ht="15" customHeight="1">
      <c r="A86" t="inlineStr">
        <is>
          <t>A 49869-2021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46235</v>
      </c>
      <c r="F86" t="inlineStr">
        <is>
          <t>ÖSTERGÖTLANDS LÄN</t>
        </is>
      </c>
      <c r="G86" t="inlineStr">
        <is>
          <t>NORRKÖPING</t>
        </is>
      </c>
      <c r="I86" t="n">
        <v>2.2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Jungfrulin
Knippnejlika</t>
        </is>
      </c>
      <c r="W86">
        <f>HYPERLINK("https://klasma.github.io/Logging_0581/artfynd/A 49869-2021 artfynd.xlsx", "A 49869-2021")</f>
        <v/>
      </c>
      <c r="X86">
        <f>HYPERLINK("https://klasma.github.io/Logging_0581/kartor/A 49869-2021 karta.png", "A 49869-2021")</f>
        <v/>
      </c>
      <c r="Y86">
        <f>HYPERLINK("https://klasma.github.io/Logging_0581/kartor_geotiff/A 49869-2021 georefererad karta.tif", "A 49869-2021")</f>
        <v/>
      </c>
      <c r="AA86">
        <f>HYPERLINK("https://klasma.github.io/Logging_0581/klagomål/A 49869-2021 FSC-klagomål.docx", "A 49869-2021")</f>
        <v/>
      </c>
      <c r="AB86">
        <f>HYPERLINK("https://klasma.github.io/Logging_0581/klagomålsmail/A 49869-2021 FSC-klagomål mail.docx", "A 49869-2021")</f>
        <v/>
      </c>
      <c r="AC86">
        <f>HYPERLINK("https://klasma.github.io/Logging_0581/tillsyn/A 49869-2021 tillsynsbegäran.docx", "A 49869-2021")</f>
        <v/>
      </c>
      <c r="AD86">
        <f>HYPERLINK("https://klasma.github.io/Logging_0581/tillsynsmail/A 49869-2021 tillsynsbegäran mail.docx", "A 49869-2021")</f>
        <v/>
      </c>
    </row>
    <row r="87" ht="15" customHeight="1">
      <c r="A87" t="inlineStr">
        <is>
          <t>A 48735-2025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45936</v>
      </c>
      <c r="E87" s="1" t="n">
        <v>46235</v>
      </c>
      <c r="F87" t="inlineStr">
        <is>
          <t>ÖSTERGÖTLANDS LÄN</t>
        </is>
      </c>
      <c r="G87" t="inlineStr">
        <is>
          <t>NORRKÖPING</t>
        </is>
      </c>
      <c r="I87" t="n">
        <v>3.6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Ekoxe
Stuplav</t>
        </is>
      </c>
      <c r="W87">
        <f>HYPERLINK("https://klasma.github.io/Logging_0581/artfynd/A 48735-2025 artfynd.xlsx", "A 48735-2025")</f>
        <v/>
      </c>
      <c r="X87">
        <f>HYPERLINK("https://klasma.github.io/Logging_0581/kartor/A 48735-2025 karta.png", "A 48735-2025")</f>
        <v/>
      </c>
      <c r="Y87">
        <f>HYPERLINK("https://klasma.github.io/Logging_0581/kartor_geotiff/A 48735-2025 georefererad karta.tif", "A 48735-2025")</f>
        <v/>
      </c>
      <c r="AA87">
        <f>HYPERLINK("https://klasma.github.io/Logging_0581/klagomål/A 48735-2025 FSC-klagomål.docx", "A 48735-2025")</f>
        <v/>
      </c>
      <c r="AB87">
        <f>HYPERLINK("https://klasma.github.io/Logging_0581/klagomålsmail/A 48735-2025 FSC-klagomål mail.docx", "A 48735-2025")</f>
        <v/>
      </c>
      <c r="AC87">
        <f>HYPERLINK("https://klasma.github.io/Logging_0581/tillsyn/A 48735-2025 tillsynsbegäran.docx", "A 48735-2025")</f>
        <v/>
      </c>
      <c r="AD87">
        <f>HYPERLINK("https://klasma.github.io/Logging_0581/tillsynsmail/A 48735-2025 tillsynsbegäran mail.docx", "A 48735-2025")</f>
        <v/>
      </c>
    </row>
    <row r="88" ht="15" customHeight="1">
      <c r="A88" t="inlineStr">
        <is>
          <t>A 11490-2023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46235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Mattlummer
Trädlärka</t>
        </is>
      </c>
      <c r="W88">
        <f>HYPERLINK("https://klasma.github.io/Logging_0581/artfynd/A 11490-2023 artfynd.xlsx", "A 11490-2023")</f>
        <v/>
      </c>
      <c r="X88">
        <f>HYPERLINK("https://klasma.github.io/Logging_0581/kartor/A 11490-2023 karta.png", "A 11490-2023")</f>
        <v/>
      </c>
      <c r="Y88">
        <f>HYPERLINK("https://klasma.github.io/Logging_0581/kartor_geotiff/A 11490-2023 georefererad karta.tif", "A 11490-2023")</f>
        <v/>
      </c>
      <c r="AA88">
        <f>HYPERLINK("https://klasma.github.io/Logging_0581/klagomål/A 11490-2023 FSC-klagomål.docx", "A 11490-2023")</f>
        <v/>
      </c>
      <c r="AB88">
        <f>HYPERLINK("https://klasma.github.io/Logging_0581/klagomålsmail/A 11490-2023 FSC-klagomål mail.docx", "A 11490-2023")</f>
        <v/>
      </c>
      <c r="AC88">
        <f>HYPERLINK("https://klasma.github.io/Logging_0581/tillsyn/A 11490-2023 tillsynsbegäran.docx", "A 11490-2023")</f>
        <v/>
      </c>
      <c r="AD88">
        <f>HYPERLINK("https://klasma.github.io/Logging_0581/tillsynsmail/A 11490-2023 tillsynsbegäran mail.docx", "A 11490-2023")</f>
        <v/>
      </c>
      <c r="AE88">
        <f>HYPERLINK("https://klasma.github.io/Logging_0581/fåglar/A 11490-2023 prioriterade fågelarter.docx", "A 11490-2023")</f>
        <v/>
      </c>
    </row>
    <row r="89" ht="15" customHeight="1">
      <c r="A89" t="inlineStr">
        <is>
          <t>A 42365-2025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45905</v>
      </c>
      <c r="E89" s="1" t="n">
        <v>46235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Tibast</t>
        </is>
      </c>
      <c r="W89">
        <f>HYPERLINK("https://klasma.github.io/Logging_0581/artfynd/A 42365-2025 artfynd.xlsx", "A 42365-2025")</f>
        <v/>
      </c>
      <c r="X89">
        <f>HYPERLINK("https://klasma.github.io/Logging_0581/kartor/A 42365-2025 karta.png", "A 42365-2025")</f>
        <v/>
      </c>
      <c r="Y89">
        <f>HYPERLINK("https://klasma.github.io/Logging_0581/kartor_geotiff/A 42365-2025 georefererad karta.tif", "A 42365-2025")</f>
        <v/>
      </c>
      <c r="AA89">
        <f>HYPERLINK("https://klasma.github.io/Logging_0581/klagomål/A 42365-2025 FSC-klagomål.docx", "A 42365-2025")</f>
        <v/>
      </c>
      <c r="AB89">
        <f>HYPERLINK("https://klasma.github.io/Logging_0581/klagomålsmail/A 42365-2025 FSC-klagomål mail.docx", "A 42365-2025")</f>
        <v/>
      </c>
      <c r="AC89">
        <f>HYPERLINK("https://klasma.github.io/Logging_0581/tillsyn/A 42365-2025 tillsynsbegäran.docx", "A 42365-2025")</f>
        <v/>
      </c>
      <c r="AD89">
        <f>HYPERLINK("https://klasma.github.io/Logging_0581/tillsynsmail/A 42365-2025 tillsynsbegäran mail.docx", "A 42365-2025")</f>
        <v/>
      </c>
    </row>
    <row r="90" ht="15" customHeight="1">
      <c r="A90" t="inlineStr">
        <is>
          <t>A 8987-2023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46235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0.5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Vedskivlav
Grovticka</t>
        </is>
      </c>
      <c r="W90">
        <f>HYPERLINK("https://klasma.github.io/Logging_0581/artfynd/A 8987-2023 artfynd.xlsx", "A 8987-2023")</f>
        <v/>
      </c>
      <c r="X90">
        <f>HYPERLINK("https://klasma.github.io/Logging_0581/kartor/A 8987-2023 karta.png", "A 8987-2023")</f>
        <v/>
      </c>
      <c r="Y90">
        <f>HYPERLINK("https://klasma.github.io/Logging_0581/kartor_geotiff/A 8987-2023 georefererad karta.tif", "A 8987-2023")</f>
        <v/>
      </c>
      <c r="AA90">
        <f>HYPERLINK("https://klasma.github.io/Logging_0581/klagomål/A 8987-2023 FSC-klagomål.docx", "A 8987-2023")</f>
        <v/>
      </c>
      <c r="AB90">
        <f>HYPERLINK("https://klasma.github.io/Logging_0581/klagomålsmail/A 8987-2023 FSC-klagomål mail.docx", "A 8987-2023")</f>
        <v/>
      </c>
      <c r="AC90">
        <f>HYPERLINK("https://klasma.github.io/Logging_0581/tillsyn/A 8987-2023 tillsynsbegäran.docx", "A 8987-2023")</f>
        <v/>
      </c>
      <c r="AD90">
        <f>HYPERLINK("https://klasma.github.io/Logging_0581/tillsynsmail/A 8987-2023 tillsynsbegäran mail.docx", "A 8987-2023")</f>
        <v/>
      </c>
    </row>
    <row r="91" ht="15" customHeight="1">
      <c r="A91" t="inlineStr">
        <is>
          <t>A 27503-2022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44742</v>
      </c>
      <c r="E91" s="1" t="n">
        <v>46235</v>
      </c>
      <c r="F91" t="inlineStr">
        <is>
          <t>ÖSTERGÖTLANDS LÄN</t>
        </is>
      </c>
      <c r="G91" t="inlineStr">
        <is>
          <t>NORRKÖPING</t>
        </is>
      </c>
      <c r="I91" t="n">
        <v>2.9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Svinrot
Ängsskära</t>
        </is>
      </c>
      <c r="W91">
        <f>HYPERLINK("https://klasma.github.io/Logging_0581/artfynd/A 27503-2022 artfynd.xlsx", "A 27503-2022")</f>
        <v/>
      </c>
      <c r="X91">
        <f>HYPERLINK("https://klasma.github.io/Logging_0581/kartor/A 27503-2022 karta.png", "A 27503-2022")</f>
        <v/>
      </c>
      <c r="Y91">
        <f>HYPERLINK("https://klasma.github.io/Logging_0581/kartor_geotiff/A 27503-2022 georefererad karta.tif", "A 27503-2022")</f>
        <v/>
      </c>
      <c r="AA91">
        <f>HYPERLINK("https://klasma.github.io/Logging_0581/klagomål/A 27503-2022 FSC-klagomål.docx", "A 27503-2022")</f>
        <v/>
      </c>
      <c r="AB91">
        <f>HYPERLINK("https://klasma.github.io/Logging_0581/klagomålsmail/A 27503-2022 FSC-klagomål mail.docx", "A 27503-2022")</f>
        <v/>
      </c>
      <c r="AC91">
        <f>HYPERLINK("https://klasma.github.io/Logging_0581/tillsyn/A 27503-2022 tillsynsbegäran.docx", "A 27503-2022")</f>
        <v/>
      </c>
      <c r="AD91">
        <f>HYPERLINK("https://klasma.github.io/Logging_0581/tillsynsmail/A 27503-2022 tillsynsbegäran mail.docx", "A 27503-2022")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46235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28796-2026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46198</v>
      </c>
      <c r="E93" s="1" t="n">
        <v>46235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0.8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Kungsfågel</t>
        </is>
      </c>
      <c r="W93">
        <f>HYPERLINK("https://klasma.github.io/Logging_0581/artfynd/A 28796-2026 artfynd.xlsx", "A 28796-2026")</f>
        <v/>
      </c>
      <c r="X93">
        <f>HYPERLINK("https://klasma.github.io/Logging_0581/kartor/A 28796-2026 karta.png", "A 28796-2026")</f>
        <v/>
      </c>
      <c r="Y93">
        <f>HYPERLINK("https://klasma.github.io/Logging_0581/kartor_geotiff/A 28796-2026 georefererad karta.tif", "A 28796-2026")</f>
        <v/>
      </c>
      <c r="AA93">
        <f>HYPERLINK("https://klasma.github.io/Logging_0581/klagomål/A 28796-2026 FSC-klagomål.docx", "A 28796-2026")</f>
        <v/>
      </c>
      <c r="AB93">
        <f>HYPERLINK("https://klasma.github.io/Logging_0581/klagomålsmail/A 28796-2026 FSC-klagomål mail.docx", "A 28796-2026")</f>
        <v/>
      </c>
      <c r="AC93">
        <f>HYPERLINK("https://klasma.github.io/Logging_0581/tillsyn/A 28796-2026 tillsynsbegäran.docx", "A 28796-2026")</f>
        <v/>
      </c>
      <c r="AD93">
        <f>HYPERLINK("https://klasma.github.io/Logging_0581/tillsynsmail/A 28796-2026 tillsynsbegäran mail.docx", "A 28796-2026")</f>
        <v/>
      </c>
    </row>
    <row r="94" ht="15" customHeight="1">
      <c r="A94" t="inlineStr">
        <is>
          <t>A 10553-2025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46235</v>
      </c>
      <c r="F94" t="inlineStr">
        <is>
          <t>ÖSTERGÖTLANDS LÄN</t>
        </is>
      </c>
      <c r="G94" t="inlineStr">
        <is>
          <t>NORRKÖPING</t>
        </is>
      </c>
      <c r="I94" t="n">
        <v>2.2</v>
      </c>
      <c r="J94" t="n">
        <v>2</v>
      </c>
      <c r="K94" t="n">
        <v>0</v>
      </c>
      <c r="L94" t="n">
        <v>1</v>
      </c>
      <c r="M94" t="n">
        <v>0</v>
      </c>
      <c r="N94" t="n">
        <v>1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Ejder
Rosenfink</t>
        </is>
      </c>
      <c r="W94">
        <f>HYPERLINK("https://klasma.github.io/Logging_0581/artfynd/A 10553-2025 artfynd.xlsx", "A 10553-2025")</f>
        <v/>
      </c>
      <c r="X94">
        <f>HYPERLINK("https://klasma.github.io/Logging_0581/kartor/A 10553-2025 karta.png", "A 10553-2025")</f>
        <v/>
      </c>
      <c r="Y94">
        <f>HYPERLINK("https://klasma.github.io/Logging_0581/kartor_geotiff/A 10553-2025 georefererad karta.tif", "A 10553-2025")</f>
        <v/>
      </c>
      <c r="AA94">
        <f>HYPERLINK("https://klasma.github.io/Logging_0581/klagomål/A 10553-2025 FSC-klagomål.docx", "A 10553-2025")</f>
        <v/>
      </c>
      <c r="AB94">
        <f>HYPERLINK("https://klasma.github.io/Logging_0581/klagomålsmail/A 10553-2025 FSC-klagomål mail.docx", "A 10553-2025")</f>
        <v/>
      </c>
      <c r="AC94">
        <f>HYPERLINK("https://klasma.github.io/Logging_0581/tillsyn/A 10553-2025 tillsynsbegäran.docx", "A 10553-2025")</f>
        <v/>
      </c>
      <c r="AD94">
        <f>HYPERLINK("https://klasma.github.io/Logging_0581/tillsynsmail/A 10553-2025 tillsynsbegäran mail.docx", "A 10553-2025")</f>
        <v/>
      </c>
      <c r="AE94">
        <f>HYPERLINK("https://klasma.github.io/Logging_0581/fåglar/A 10553-2025 prioriterade fågelarter.docx", "A 10553-2025")</f>
        <v/>
      </c>
    </row>
    <row r="95" ht="15" customHeight="1">
      <c r="A95" t="inlineStr">
        <is>
          <t>A 28895-2026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46235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28895-2026 artfynd.xlsx", "A 28895-2026")</f>
        <v/>
      </c>
      <c r="X95">
        <f>HYPERLINK("https://klasma.github.io/Logging_0581/kartor/A 28895-2026 karta.png", "A 28895-2026")</f>
        <v/>
      </c>
      <c r="Y95">
        <f>HYPERLINK("https://klasma.github.io/Logging_0581/kartor_geotiff/A 28895-2026 georefererad karta.tif", "A 28895-2026")</f>
        <v/>
      </c>
      <c r="AA95">
        <f>HYPERLINK("https://klasma.github.io/Logging_0581/klagomål/A 28895-2026 FSC-klagomål.docx", "A 28895-2026")</f>
        <v/>
      </c>
      <c r="AB95">
        <f>HYPERLINK("https://klasma.github.io/Logging_0581/klagomålsmail/A 28895-2026 FSC-klagomål mail.docx", "A 28895-2026")</f>
        <v/>
      </c>
      <c r="AC95">
        <f>HYPERLINK("https://klasma.github.io/Logging_0581/tillsyn/A 28895-2026 tillsynsbegäran.docx", "A 28895-2026")</f>
        <v/>
      </c>
      <c r="AD95">
        <f>HYPERLINK("https://klasma.github.io/Logging_0581/tillsynsmail/A 28895-2026 tillsynsbegäran mail.docx", "A 28895-2026")</f>
        <v/>
      </c>
    </row>
    <row r="96" ht="15" customHeight="1">
      <c r="A96" t="inlineStr">
        <is>
          <t>A 28893-2026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46235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28893-2026 artfynd.xlsx", "A 28893-2026")</f>
        <v/>
      </c>
      <c r="X96">
        <f>HYPERLINK("https://klasma.github.io/Logging_0581/kartor/A 28893-2026 karta.png", "A 28893-2026")</f>
        <v/>
      </c>
      <c r="Y96">
        <f>HYPERLINK("https://klasma.github.io/Logging_0581/kartor_geotiff/A 28893-2026 georefererad karta.tif", "A 28893-2026")</f>
        <v/>
      </c>
      <c r="AA96">
        <f>HYPERLINK("https://klasma.github.io/Logging_0581/klagomål/A 28893-2026 FSC-klagomål.docx", "A 28893-2026")</f>
        <v/>
      </c>
      <c r="AB96">
        <f>HYPERLINK("https://klasma.github.io/Logging_0581/klagomålsmail/A 28893-2026 FSC-klagomål mail.docx", "A 28893-2026")</f>
        <v/>
      </c>
      <c r="AC96">
        <f>HYPERLINK("https://klasma.github.io/Logging_0581/tillsyn/A 28893-2026 tillsynsbegäran.docx", "A 28893-2026")</f>
        <v/>
      </c>
      <c r="AD96">
        <f>HYPERLINK("https://klasma.github.io/Logging_0581/tillsynsmail/A 28893-2026 tillsynsbegäran mail.docx", "A 28893-2026")</f>
        <v/>
      </c>
    </row>
    <row r="97" ht="15" customHeight="1">
      <c r="A97" t="inlineStr">
        <is>
          <t>A 53852-2022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44880</v>
      </c>
      <c r="E97" s="1" t="n">
        <v>46235</v>
      </c>
      <c r="F97" t="inlineStr">
        <is>
          <t>ÖSTERGÖTLANDS LÄN</t>
        </is>
      </c>
      <c r="G97" t="inlineStr">
        <is>
          <t>NORRKÖPING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Tibast
Blåsippa</t>
        </is>
      </c>
      <c r="W97">
        <f>HYPERLINK("https://klasma.github.io/Logging_0581/artfynd/A 53852-2022 artfynd.xlsx", "A 53852-2022")</f>
        <v/>
      </c>
      <c r="X97">
        <f>HYPERLINK("https://klasma.github.io/Logging_0581/kartor/A 53852-2022 karta.png", "A 53852-2022")</f>
        <v/>
      </c>
      <c r="Y97">
        <f>HYPERLINK("https://klasma.github.io/Logging_0581/kartor_geotiff/A 53852-2022 georefererad karta.tif", "A 53852-2022")</f>
        <v/>
      </c>
      <c r="AA97">
        <f>HYPERLINK("https://klasma.github.io/Logging_0581/klagomål/A 53852-2022 FSC-klagomål.docx", "A 53852-2022")</f>
        <v/>
      </c>
      <c r="AB97">
        <f>HYPERLINK("https://klasma.github.io/Logging_0581/klagomålsmail/A 53852-2022 FSC-klagomål mail.docx", "A 53852-2022")</f>
        <v/>
      </c>
      <c r="AC97">
        <f>HYPERLINK("https://klasma.github.io/Logging_0581/tillsyn/A 53852-2022 tillsynsbegäran.docx", "A 53852-2022")</f>
        <v/>
      </c>
      <c r="AD97">
        <f>HYPERLINK("https://klasma.github.io/Logging_0581/tillsynsmail/A 53852-2022 tillsynsbegäran mail.docx", "A 53852-2022")</f>
        <v/>
      </c>
    </row>
    <row r="98" ht="15" customHeight="1">
      <c r="A98" t="inlineStr">
        <is>
          <t>A 56971-2025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46235</v>
      </c>
      <c r="F98" t="inlineStr">
        <is>
          <t>ÖSTERGÖTLANDS LÄN</t>
        </is>
      </c>
      <c r="G98" t="inlineStr">
        <is>
          <t>NORRKÖPING</t>
        </is>
      </c>
      <c r="I98" t="n">
        <v>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Tallticka</t>
        </is>
      </c>
      <c r="W98">
        <f>HYPERLINK("https://klasma.github.io/Logging_0581/artfynd/A 56971-2025 artfynd.xlsx", "A 56971-2025")</f>
        <v/>
      </c>
      <c r="X98">
        <f>HYPERLINK("https://klasma.github.io/Logging_0581/kartor/A 56971-2025 karta.png", "A 56971-2025")</f>
        <v/>
      </c>
      <c r="Y98">
        <f>HYPERLINK("https://klasma.github.io/Logging_0581/kartor_geotiff/A 56971-2025 georefererad karta.tif", "A 56971-2025")</f>
        <v/>
      </c>
      <c r="Z98">
        <f>HYPERLINK("https://klasma.github.io/Logging_0581/knärot/A 56971-2025 karta knärot.png", "A 56971-2025")</f>
        <v/>
      </c>
      <c r="AA98">
        <f>HYPERLINK("https://klasma.github.io/Logging_0581/klagomål/A 56971-2025 FSC-klagomål.docx", "A 56971-2025")</f>
        <v/>
      </c>
      <c r="AB98">
        <f>HYPERLINK("https://klasma.github.io/Logging_0581/klagomålsmail/A 56971-2025 FSC-klagomål mail.docx", "A 56971-2025")</f>
        <v/>
      </c>
      <c r="AC98">
        <f>HYPERLINK("https://klasma.github.io/Logging_0581/tillsyn/A 56971-2025 tillsynsbegäran.docx", "A 56971-2025")</f>
        <v/>
      </c>
      <c r="AD98">
        <f>HYPERLINK("https://klasma.github.io/Logging_0581/tillsynsmail/A 56971-2025 tillsynsbegäran mail.docx", "A 56971-2025")</f>
        <v/>
      </c>
    </row>
    <row r="99" ht="15" customHeight="1">
      <c r="A99" t="inlineStr">
        <is>
          <t>A 14636-2025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45742</v>
      </c>
      <c r="E99" s="1" t="n">
        <v>46235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17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Tjäder</t>
        </is>
      </c>
      <c r="W99">
        <f>HYPERLINK("https://klasma.github.io/Logging_0581/artfynd/A 14636-2025 artfynd.xlsx", "A 14636-2025")</f>
        <v/>
      </c>
      <c r="X99">
        <f>HYPERLINK("https://klasma.github.io/Logging_0581/kartor/A 14636-2025 karta.png", "A 14636-2025")</f>
        <v/>
      </c>
      <c r="Y99">
        <f>HYPERLINK("https://klasma.github.io/Logging_0581/kartor_geotiff/A 14636-2025 georefererad karta.tif", "A 14636-2025")</f>
        <v/>
      </c>
      <c r="AA99">
        <f>HYPERLINK("https://klasma.github.io/Logging_0581/klagomål/A 14636-2025 FSC-klagomål.docx", "A 14636-2025")</f>
        <v/>
      </c>
      <c r="AB99">
        <f>HYPERLINK("https://klasma.github.io/Logging_0581/klagomålsmail/A 14636-2025 FSC-klagomål mail.docx", "A 14636-2025")</f>
        <v/>
      </c>
      <c r="AC99">
        <f>HYPERLINK("https://klasma.github.io/Logging_0581/tillsyn/A 14636-2025 tillsynsbegäran.docx", "A 14636-2025")</f>
        <v/>
      </c>
      <c r="AD99">
        <f>HYPERLINK("https://klasma.github.io/Logging_0581/tillsynsmail/A 14636-2025 tillsynsbegäran mail.docx", "A 14636-2025")</f>
        <v/>
      </c>
      <c r="AE99">
        <f>HYPERLINK("https://klasma.github.io/Logging_0581/fåglar/A 14636-2025 prioriterade fågelarter.docx", "A 14636-2025")</f>
        <v/>
      </c>
    </row>
    <row r="100" ht="15" customHeight="1">
      <c r="A100" t="inlineStr">
        <is>
          <t>A 17793-2025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46235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6.7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Blåmossa
Huggorm</t>
        </is>
      </c>
      <c r="W100">
        <f>HYPERLINK("https://klasma.github.io/Logging_0581/artfynd/A 17793-2025 artfynd.xlsx", "A 17793-2025")</f>
        <v/>
      </c>
      <c r="X100">
        <f>HYPERLINK("https://klasma.github.io/Logging_0581/kartor/A 17793-2025 karta.png", "A 17793-2025")</f>
        <v/>
      </c>
      <c r="Y100">
        <f>HYPERLINK("https://klasma.github.io/Logging_0581/kartor_geotiff/A 17793-2025 georefererad karta.tif", "A 17793-2025")</f>
        <v/>
      </c>
      <c r="AA100">
        <f>HYPERLINK("https://klasma.github.io/Logging_0581/klagomål/A 17793-2025 FSC-klagomål.docx", "A 17793-2025")</f>
        <v/>
      </c>
      <c r="AB100">
        <f>HYPERLINK("https://klasma.github.io/Logging_0581/klagomålsmail/A 17793-2025 FSC-klagomål mail.docx", "A 17793-2025")</f>
        <v/>
      </c>
      <c r="AC100">
        <f>HYPERLINK("https://klasma.github.io/Logging_0581/tillsyn/A 17793-2025 tillsynsbegäran.docx", "A 17793-2025")</f>
        <v/>
      </c>
      <c r="AD100">
        <f>HYPERLINK("https://klasma.github.io/Logging_0581/tillsynsmail/A 17793-2025 tillsynsbegäran mail.docx", "A 17793-2025")</f>
        <v/>
      </c>
    </row>
    <row r="101" ht="15" customHeight="1">
      <c r="A101" t="inlineStr">
        <is>
          <t>A 58380-2025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46235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10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Knärot
Tallticka</t>
        </is>
      </c>
      <c r="W101">
        <f>HYPERLINK("https://klasma.github.io/Logging_0581/artfynd/A 58380-2025 artfynd.xlsx", "A 58380-2025")</f>
        <v/>
      </c>
      <c r="X101">
        <f>HYPERLINK("https://klasma.github.io/Logging_0581/kartor/A 58380-2025 karta.png", "A 58380-2025")</f>
        <v/>
      </c>
      <c r="Y101">
        <f>HYPERLINK("https://klasma.github.io/Logging_0581/kartor_geotiff/A 58380-2025 georefererad karta.tif", "A 58380-2025")</f>
        <v/>
      </c>
      <c r="Z101">
        <f>HYPERLINK("https://klasma.github.io/Logging_0581/knärot/A 58380-2025 karta knärot.png", "A 58380-2025")</f>
        <v/>
      </c>
      <c r="AA101">
        <f>HYPERLINK("https://klasma.github.io/Logging_0581/klagomål/A 58380-2025 FSC-klagomål.docx", "A 58380-2025")</f>
        <v/>
      </c>
      <c r="AB101">
        <f>HYPERLINK("https://klasma.github.io/Logging_0581/klagomålsmail/A 58380-2025 FSC-klagomål mail.docx", "A 58380-2025")</f>
        <v/>
      </c>
      <c r="AC101">
        <f>HYPERLINK("https://klasma.github.io/Logging_0581/tillsyn/A 58380-2025 tillsynsbegäran.docx", "A 58380-2025")</f>
        <v/>
      </c>
      <c r="AD101">
        <f>HYPERLINK("https://klasma.github.io/Logging_0581/tillsynsmail/A 58380-2025 tillsynsbegäran mail.docx", "A 58380-2025")</f>
        <v/>
      </c>
    </row>
    <row r="102" ht="15" customHeight="1">
      <c r="A102" t="inlineStr">
        <is>
          <t>A 46692-2024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46235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1.4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Dvärgbägarlav
Flagellkvastmossa</t>
        </is>
      </c>
      <c r="W102">
        <f>HYPERLINK("https://klasma.github.io/Logging_0581/artfynd/A 46692-2024 artfynd.xlsx", "A 46692-2024")</f>
        <v/>
      </c>
      <c r="X102">
        <f>HYPERLINK("https://klasma.github.io/Logging_0581/kartor/A 46692-2024 karta.png", "A 46692-2024")</f>
        <v/>
      </c>
      <c r="Y102">
        <f>HYPERLINK("https://klasma.github.io/Logging_0581/kartor_geotiff/A 46692-2024 georefererad karta.tif", "A 46692-2024")</f>
        <v/>
      </c>
      <c r="AA102">
        <f>HYPERLINK("https://klasma.github.io/Logging_0581/klagomål/A 46692-2024 FSC-klagomål.docx", "A 46692-2024")</f>
        <v/>
      </c>
      <c r="AB102">
        <f>HYPERLINK("https://klasma.github.io/Logging_0581/klagomålsmail/A 46692-2024 FSC-klagomål mail.docx", "A 46692-2024")</f>
        <v/>
      </c>
      <c r="AC102">
        <f>HYPERLINK("https://klasma.github.io/Logging_0581/tillsyn/A 46692-2024 tillsynsbegäran.docx", "A 46692-2024")</f>
        <v/>
      </c>
      <c r="AD102">
        <f>HYPERLINK("https://klasma.github.io/Logging_0581/tillsynsmail/A 46692-2024 tillsynsbegäran mail.docx", "A 46692-2024")</f>
        <v/>
      </c>
    </row>
    <row r="103" ht="15" customHeight="1">
      <c r="A103" t="inlineStr">
        <is>
          <t>A 31298-2026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46218</v>
      </c>
      <c r="E103" s="1" t="n">
        <v>46235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0.7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Blåmossa
Orre</t>
        </is>
      </c>
      <c r="W103">
        <f>HYPERLINK("https://klasma.github.io/Logging_0581/artfynd/A 31298-2026 artfynd.xlsx", "A 31298-2026")</f>
        <v/>
      </c>
      <c r="X103">
        <f>HYPERLINK("https://klasma.github.io/Logging_0581/kartor/A 31298-2026 karta.png", "A 31298-2026")</f>
        <v/>
      </c>
      <c r="Y103">
        <f>HYPERLINK("https://klasma.github.io/Logging_0581/kartor_geotiff/A 31298-2026 georefererad karta.tif", "A 31298-2026")</f>
        <v/>
      </c>
      <c r="AA103">
        <f>HYPERLINK("https://klasma.github.io/Logging_0581/klagomål/A 31298-2026 FSC-klagomål.docx", "A 31298-2026")</f>
        <v/>
      </c>
      <c r="AB103">
        <f>HYPERLINK("https://klasma.github.io/Logging_0581/klagomålsmail/A 31298-2026 FSC-klagomål mail.docx", "A 31298-2026")</f>
        <v/>
      </c>
      <c r="AC103">
        <f>HYPERLINK("https://klasma.github.io/Logging_0581/tillsyn/A 31298-2026 tillsynsbegäran.docx", "A 31298-2026")</f>
        <v/>
      </c>
      <c r="AD103">
        <f>HYPERLINK("https://klasma.github.io/Logging_0581/tillsynsmail/A 31298-2026 tillsynsbegäran mail.docx", "A 31298-2026")</f>
        <v/>
      </c>
      <c r="AE103">
        <f>HYPERLINK("https://klasma.github.io/Logging_0581/fåglar/A 31298-2026 prioriterade fågelarter.docx", "A 31298-2026")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46235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31335-2026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46219</v>
      </c>
      <c r="E105" s="1" t="n">
        <v>46235</v>
      </c>
      <c r="F105" t="inlineStr">
        <is>
          <t>ÖSTERGÖTLANDS LÄN</t>
        </is>
      </c>
      <c r="G105" t="inlineStr">
        <is>
          <t>NORRKÖPING</t>
        </is>
      </c>
      <c r="I105" t="n">
        <v>1.1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Bredbrämad bastardsvärmare
Älg</t>
        </is>
      </c>
      <c r="W105">
        <f>HYPERLINK("https://klasma.github.io/Logging_0581/artfynd/A 31335-2026 artfynd.xlsx", "A 31335-2026")</f>
        <v/>
      </c>
      <c r="X105">
        <f>HYPERLINK("https://klasma.github.io/Logging_0581/kartor/A 31335-2026 karta.png", "A 31335-2026")</f>
        <v/>
      </c>
      <c r="Y105">
        <f>HYPERLINK("https://klasma.github.io/Logging_0581/kartor_geotiff/A 31335-2026 georefererad karta.tif", "A 31335-2026")</f>
        <v/>
      </c>
      <c r="AA105">
        <f>HYPERLINK("https://klasma.github.io/Logging_0581/klagomål/A 31335-2026 FSC-klagomål.docx", "A 31335-2026")</f>
        <v/>
      </c>
      <c r="AB105">
        <f>HYPERLINK("https://klasma.github.io/Logging_0581/klagomålsmail/A 31335-2026 FSC-klagomål mail.docx", "A 31335-2026")</f>
        <v/>
      </c>
      <c r="AC105">
        <f>HYPERLINK("https://klasma.github.io/Logging_0581/tillsyn/A 31335-2026 tillsynsbegäran.docx", "A 31335-2026")</f>
        <v/>
      </c>
      <c r="AD105">
        <f>HYPERLINK("https://klasma.github.io/Logging_0581/tillsynsmail/A 31335-2026 tillsynsbegäran mail.docx", "A 31335-2026")</f>
        <v/>
      </c>
    </row>
    <row r="106" ht="15" customHeight="1">
      <c r="A106" t="inlineStr">
        <is>
          <t>A 3815-2026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46043</v>
      </c>
      <c r="E106" s="1" t="n">
        <v>46235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Kommuner</t>
        </is>
      </c>
      <c r="I106" t="n">
        <v>1.1</v>
      </c>
      <c r="J106" t="n">
        <v>2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Grönfink
Kungsfågel</t>
        </is>
      </c>
      <c r="W106">
        <f>HYPERLINK("https://klasma.github.io/Logging_0581/artfynd/A 3815-2026 artfynd.xlsx", "A 3815-2026")</f>
        <v/>
      </c>
      <c r="X106">
        <f>HYPERLINK("https://klasma.github.io/Logging_0581/kartor/A 3815-2026 karta.png", "A 3815-2026")</f>
        <v/>
      </c>
      <c r="Y106">
        <f>HYPERLINK("https://klasma.github.io/Logging_0581/kartor_geotiff/A 3815-2026 georefererad karta.tif", "A 3815-2026")</f>
        <v/>
      </c>
      <c r="AA106">
        <f>HYPERLINK("https://klasma.github.io/Logging_0581/klagomål/A 3815-2026 FSC-klagomål.docx", "A 3815-2026")</f>
        <v/>
      </c>
      <c r="AB106">
        <f>HYPERLINK("https://klasma.github.io/Logging_0581/klagomålsmail/A 3815-2026 FSC-klagomål mail.docx", "A 3815-2026")</f>
        <v/>
      </c>
      <c r="AC106">
        <f>HYPERLINK("https://klasma.github.io/Logging_0581/tillsyn/A 3815-2026 tillsynsbegäran.docx", "A 3815-2026")</f>
        <v/>
      </c>
      <c r="AD106">
        <f>HYPERLINK("https://klasma.github.io/Logging_0581/tillsynsmail/A 3815-2026 tillsynsbegäran mail.docx", "A 3815-2026")</f>
        <v/>
      </c>
      <c r="AE106">
        <f>HYPERLINK("https://klasma.github.io/Logging_0581/fåglar/A 3815-2026 prioriterade fågelarter.docx", "A 3815-2026")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46235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12188-2026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46086</v>
      </c>
      <c r="E108" s="1" t="n">
        <v>46235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Allmännings- och besparingsskogar</t>
        </is>
      </c>
      <c r="I108" t="n">
        <v>7.8</v>
      </c>
      <c r="J108" t="n">
        <v>1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Blomkålssvamp
Korallrot</t>
        </is>
      </c>
      <c r="W108">
        <f>HYPERLINK("https://klasma.github.io/Logging_0581/artfynd/A 12188-2026 artfynd.xlsx", "A 12188-2026")</f>
        <v/>
      </c>
      <c r="X108">
        <f>HYPERLINK("https://klasma.github.io/Logging_0581/kartor/A 12188-2026 karta.png", "A 12188-2026")</f>
        <v/>
      </c>
      <c r="Y108">
        <f>HYPERLINK("https://klasma.github.io/Logging_0581/kartor_geotiff/A 12188-2026 georefererad karta.tif", "A 12188-2026")</f>
        <v/>
      </c>
      <c r="AA108">
        <f>HYPERLINK("https://klasma.github.io/Logging_0581/klagomål/A 12188-2026 FSC-klagomål.docx", "A 12188-2026")</f>
        <v/>
      </c>
      <c r="AB108">
        <f>HYPERLINK("https://klasma.github.io/Logging_0581/klagomålsmail/A 12188-2026 FSC-klagomål mail.docx", "A 12188-2026")</f>
        <v/>
      </c>
      <c r="AC108">
        <f>HYPERLINK("https://klasma.github.io/Logging_0581/tillsyn/A 12188-2026 tillsynsbegäran.docx", "A 12188-2026")</f>
        <v/>
      </c>
      <c r="AD108">
        <f>HYPERLINK("https://klasma.github.io/Logging_0581/tillsynsmail/A 12188-2026 tillsynsbegäran mail.docx", "A 12188-2026")</f>
        <v/>
      </c>
    </row>
    <row r="109" ht="15" customHeight="1">
      <c r="A109" t="inlineStr">
        <is>
          <t>A 9722-2025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46235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t="n">
        <v>0</v>
      </c>
      <c r="V109" s="2" t="inlineStr">
        <is>
          <t>Ask
Blåsippa</t>
        </is>
      </c>
      <c r="W109">
        <f>HYPERLINK("https://klasma.github.io/Logging_0581/artfynd/A 9722-2025 artfynd.xlsx", "A 9722-2025")</f>
        <v/>
      </c>
      <c r="X109">
        <f>HYPERLINK("https://klasma.github.io/Logging_0581/kartor/A 9722-2025 karta.png", "A 9722-2025")</f>
        <v/>
      </c>
      <c r="Y109">
        <f>HYPERLINK("https://klasma.github.io/Logging_0581/kartor_geotiff/A 9722-2025 georefererad karta.tif", "A 9722-2025")</f>
        <v/>
      </c>
      <c r="AA109">
        <f>HYPERLINK("https://klasma.github.io/Logging_0581/klagomål/A 9722-2025 FSC-klagomål.docx", "A 9722-2025")</f>
        <v/>
      </c>
      <c r="AB109">
        <f>HYPERLINK("https://klasma.github.io/Logging_0581/klagomålsmail/A 9722-2025 FSC-klagomål mail.docx", "A 9722-2025")</f>
        <v/>
      </c>
      <c r="AC109">
        <f>HYPERLINK("https://klasma.github.io/Logging_0581/tillsyn/A 9722-2025 tillsynsbegäran.docx", "A 9722-2025")</f>
        <v/>
      </c>
      <c r="AD109">
        <f>HYPERLINK("https://klasma.github.io/Logging_0581/tillsynsmail/A 9722-2025 tillsynsbegäran mail.docx", "A 9722-2025")</f>
        <v/>
      </c>
    </row>
    <row r="110" ht="15" customHeight="1">
      <c r="A110" t="inlineStr">
        <is>
          <t>A 18682-2025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46235</v>
      </c>
      <c r="F110" t="inlineStr">
        <is>
          <t>ÖSTERGÖTLANDS LÄN</t>
        </is>
      </c>
      <c r="G110" t="inlineStr">
        <is>
          <t>NORRKÖPING</t>
        </is>
      </c>
      <c r="I110" t="n">
        <v>8.1</v>
      </c>
      <c r="J110" t="n">
        <v>0</v>
      </c>
      <c r="K110" t="n">
        <v>1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Jungfrulin
Blåmossa</t>
        </is>
      </c>
      <c r="W110">
        <f>HYPERLINK("https://klasma.github.io/Logging_0581/artfynd/A 18682-2025 artfynd.xlsx", "A 18682-2025")</f>
        <v/>
      </c>
      <c r="X110">
        <f>HYPERLINK("https://klasma.github.io/Logging_0581/kartor/A 18682-2025 karta.png", "A 18682-2025")</f>
        <v/>
      </c>
      <c r="Y110">
        <f>HYPERLINK("https://klasma.github.io/Logging_0581/kartor_geotiff/A 18682-2025 georefererad karta.tif", "A 18682-2025")</f>
        <v/>
      </c>
      <c r="AA110">
        <f>HYPERLINK("https://klasma.github.io/Logging_0581/klagomål/A 18682-2025 FSC-klagomål.docx", "A 18682-2025")</f>
        <v/>
      </c>
      <c r="AB110">
        <f>HYPERLINK("https://klasma.github.io/Logging_0581/klagomålsmail/A 18682-2025 FSC-klagomål mail.docx", "A 18682-2025")</f>
        <v/>
      </c>
      <c r="AC110">
        <f>HYPERLINK("https://klasma.github.io/Logging_0581/tillsyn/A 18682-2025 tillsynsbegäran.docx", "A 18682-2025")</f>
        <v/>
      </c>
      <c r="AD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45783</v>
      </c>
      <c r="E111" s="1" t="n">
        <v>46235</v>
      </c>
      <c r="F111" t="inlineStr">
        <is>
          <t>ÖSTERGÖTLANDS LÄN</t>
        </is>
      </c>
      <c r="G111" t="inlineStr">
        <is>
          <t>NORRKÖPING</t>
        </is>
      </c>
      <c r="I111" t="n">
        <v>3.5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Revlummer</t>
        </is>
      </c>
      <c r="W111">
        <f>HYPERLINK("https://klasma.github.io/Logging_0581/artfynd/A 21799-2025 artfynd.xlsx", "A 21799-2025")</f>
        <v/>
      </c>
      <c r="X111">
        <f>HYPERLINK("https://klasma.github.io/Logging_0581/kartor/A 21799-2025 karta.png", "A 21799-2025")</f>
        <v/>
      </c>
      <c r="Y111">
        <f>HYPERLINK("https://klasma.github.io/Logging_0581/kartor_geotiff/A 21799-2025 georefererad karta.tif", "A 21799-2025")</f>
        <v/>
      </c>
      <c r="AA111">
        <f>HYPERLINK("https://klasma.github.io/Logging_0581/klagomål/A 21799-2025 FSC-klagomål.docx", "A 21799-2025")</f>
        <v/>
      </c>
      <c r="AB111">
        <f>HYPERLINK("https://klasma.github.io/Logging_0581/klagomålsmail/A 21799-2025 FSC-klagomål mail.docx", "A 21799-2025")</f>
        <v/>
      </c>
      <c r="AC111">
        <f>HYPERLINK("https://klasma.github.io/Logging_0581/tillsyn/A 21799-2025 tillsynsbegäran.docx", "A 21799-2025")</f>
        <v/>
      </c>
      <c r="AD111">
        <f>HYPERLINK("https://klasma.github.io/Logging_0581/tillsynsmail/A 21799-2025 tillsynsbegäran mail.docx", "A 21799-2025")</f>
        <v/>
      </c>
    </row>
    <row r="112" ht="15" customHeight="1">
      <c r="A112" t="inlineStr">
        <is>
          <t>A 9746-2025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46235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Ask
Blåsippa</t>
        </is>
      </c>
      <c r="W112">
        <f>HYPERLINK("https://klasma.github.io/Logging_0581/artfynd/A 9746-2025 artfynd.xlsx", "A 9746-2025")</f>
        <v/>
      </c>
      <c r="X112">
        <f>HYPERLINK("https://klasma.github.io/Logging_0581/kartor/A 9746-2025 karta.png", "A 9746-2025")</f>
        <v/>
      </c>
      <c r="Y112">
        <f>HYPERLINK("https://klasma.github.io/Logging_0581/kartor_geotiff/A 9746-2025 georefererad karta.tif", "A 9746-2025")</f>
        <v/>
      </c>
      <c r="AA112">
        <f>HYPERLINK("https://klasma.github.io/Logging_0581/klagomål/A 9746-2025 FSC-klagomål.docx", "A 9746-2025")</f>
        <v/>
      </c>
      <c r="AB112">
        <f>HYPERLINK("https://klasma.github.io/Logging_0581/klagomålsmail/A 9746-2025 FSC-klagomål mail.docx", "A 9746-2025")</f>
        <v/>
      </c>
      <c r="AC112">
        <f>HYPERLINK("https://klasma.github.io/Logging_0581/tillsyn/A 9746-2025 tillsynsbegäran.docx", "A 9746-2025")</f>
        <v/>
      </c>
      <c r="AD112">
        <f>HYPERLINK("https://klasma.github.io/Logging_0581/tillsynsmail/A 9746-2025 tillsynsbegäran mail.docx", "A 9746-2025")</f>
        <v/>
      </c>
    </row>
    <row r="113" ht="15" customHeight="1">
      <c r="A113" t="inlineStr">
        <is>
          <t>A 19182-2025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46235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1.9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3</v>
      </c>
      <c r="U113" t="n">
        <v>3</v>
      </c>
      <c r="V113" s="2" t="inlineStr">
        <is>
          <t>Knärot
Ullticka</t>
        </is>
      </c>
      <c r="W113">
        <f>HYPERLINK("https://klasma.github.io/Logging_0581/artfynd/A 19182-2025 artfynd.xlsx", "A 19182-2025")</f>
        <v/>
      </c>
      <c r="X113">
        <f>HYPERLINK("https://klasma.github.io/Logging_0581/kartor/A 19182-2025 karta.png", "A 19182-2025")</f>
        <v/>
      </c>
      <c r="Y113">
        <f>HYPERLINK("https://klasma.github.io/Logging_0581/kartor_geotiff/A 19182-2025 georefererad karta.tif", "A 19182-2025")</f>
        <v/>
      </c>
      <c r="Z113">
        <f>HYPERLINK("https://klasma.github.io/Logging_0581/knärot/A 19182-2025 karta knärot.png", "A 19182-2025")</f>
        <v/>
      </c>
      <c r="AA113">
        <f>HYPERLINK("https://klasma.github.io/Logging_0581/klagomål/A 19182-2025 FSC-klagomål.docx", "A 19182-2025")</f>
        <v/>
      </c>
      <c r="AB113">
        <f>HYPERLINK("https://klasma.github.io/Logging_0581/klagomålsmail/A 19182-2025 FSC-klagomål mail.docx", "A 19182-2025")</f>
        <v/>
      </c>
      <c r="AC113">
        <f>HYPERLINK("https://klasma.github.io/Logging_0581/tillsyn/A 19182-2025 tillsynsbegäran.docx", "A 19182-2025")</f>
        <v/>
      </c>
      <c r="AD113">
        <f>HYPERLINK("https://klasma.github.io/Logging_0581/tillsynsmail/A 19182-2025 tillsynsbegäran mail.docx", "A 19182-2025")</f>
        <v/>
      </c>
    </row>
    <row r="114" ht="15" customHeight="1">
      <c r="A114" t="inlineStr">
        <is>
          <t>A 10769-2024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46235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Tjäder</t>
        </is>
      </c>
      <c r="W114">
        <f>HYPERLINK("https://klasma.github.io/Logging_0581/artfynd/A 10769-2024 artfynd.xlsx", "A 10769-2024")</f>
        <v/>
      </c>
      <c r="X114">
        <f>HYPERLINK("https://klasma.github.io/Logging_0581/kartor/A 10769-2024 karta.png", "A 10769-2024")</f>
        <v/>
      </c>
      <c r="Y114">
        <f>HYPERLINK("https://klasma.github.io/Logging_0581/kartor_geotiff/A 10769-2024 georefererad karta.tif", "A 10769-2024")</f>
        <v/>
      </c>
      <c r="AA114">
        <f>HYPERLINK("https://klasma.github.io/Logging_0581/klagomål/A 10769-2024 FSC-klagomål.docx", "A 10769-2024")</f>
        <v/>
      </c>
      <c r="AB114">
        <f>HYPERLINK("https://klasma.github.io/Logging_0581/klagomålsmail/A 10769-2024 FSC-klagomål mail.docx", "A 10769-2024")</f>
        <v/>
      </c>
      <c r="AC114">
        <f>HYPERLINK("https://klasma.github.io/Logging_0581/tillsyn/A 10769-2024 tillsynsbegäran.docx", "A 10769-2024")</f>
        <v/>
      </c>
      <c r="AD114">
        <f>HYPERLINK("https://klasma.github.io/Logging_0581/tillsynsmail/A 10769-2024 tillsynsbegäran mail.docx", "A 10769-2024")</f>
        <v/>
      </c>
      <c r="AE114">
        <f>HYPERLINK("https://klasma.github.io/Logging_0581/fåglar/A 10769-2024 prioriterade fågelarter.docx", "A 10769-2024")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46235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46235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46235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46235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46235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48612-2021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46235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Skogsklocka</t>
        </is>
      </c>
      <c r="W120">
        <f>HYPERLINK("https://klasma.github.io/Logging_0581/artfynd/A 48612-2021 artfynd.xlsx", "A 48612-2021")</f>
        <v/>
      </c>
      <c r="X120">
        <f>HYPERLINK("https://klasma.github.io/Logging_0581/kartor/A 48612-2021 karta.png", "A 48612-2021")</f>
        <v/>
      </c>
      <c r="Y120">
        <f>HYPERLINK("https://klasma.github.io/Logging_0581/kartor_geotiff/A 48612-2021 georefererad karta.tif", "A 48612-2021")</f>
        <v/>
      </c>
      <c r="AA120">
        <f>HYPERLINK("https://klasma.github.io/Logging_0581/klagomål/A 48612-2021 FSC-klagomål.docx", "A 48612-2021")</f>
        <v/>
      </c>
      <c r="AB120">
        <f>HYPERLINK("https://klasma.github.io/Logging_0581/klagomålsmail/A 48612-2021 FSC-klagomål mail.docx", "A 48612-2021")</f>
        <v/>
      </c>
      <c r="AC120">
        <f>HYPERLINK("https://klasma.github.io/Logging_0581/tillsyn/A 48612-2021 tillsynsbegäran.docx", "A 48612-2021")</f>
        <v/>
      </c>
      <c r="AD120">
        <f>HYPERLINK("https://klasma.github.io/Logging_0581/tillsynsmail/A 48612-2021 tillsynsbegäran mail.docx", "A 48612-2021")</f>
        <v/>
      </c>
    </row>
    <row r="121" ht="15" customHeight="1">
      <c r="A121" t="inlineStr">
        <is>
          <t>A 67652-2021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46235</v>
      </c>
      <c r="F121" t="inlineStr">
        <is>
          <t>ÖSTERGÖTLANDS LÄN</t>
        </is>
      </c>
      <c r="G121" t="inlineStr">
        <is>
          <t>NORRKÖPING</t>
        </is>
      </c>
      <c r="I121" t="n">
        <v>0.7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HYPERLINK("https://klasma.github.io/Logging_0581/artfynd/A 67652-2021 artfynd.xlsx", "A 67652-2021")</f>
        <v/>
      </c>
      <c r="X121">
        <f>HYPERLINK("https://klasma.github.io/Logging_0581/kartor/A 67652-2021 karta.png", "A 67652-2021")</f>
        <v/>
      </c>
      <c r="Y121">
        <f>HYPERLINK("https://klasma.github.io/Logging_0581/kartor_geotiff/A 67652-2021 georefererad karta.tif", "A 67652-2021")</f>
        <v/>
      </c>
      <c r="AA121">
        <f>HYPERLINK("https://klasma.github.io/Logging_0581/klagomål/A 67652-2021 FSC-klagomål.docx", "A 67652-2021")</f>
        <v/>
      </c>
      <c r="AB121">
        <f>HYPERLINK("https://klasma.github.io/Logging_0581/klagomålsmail/A 67652-2021 FSC-klagomål mail.docx", "A 67652-2021")</f>
        <v/>
      </c>
      <c r="AC121">
        <f>HYPERLINK("https://klasma.github.io/Logging_0581/tillsyn/A 67652-2021 tillsynsbegäran.docx", "A 67652-2021")</f>
        <v/>
      </c>
      <c r="AD121">
        <f>HYPERLINK("https://klasma.github.io/Logging_0581/tillsynsmail/A 67652-2021 tillsynsbegäran mail.docx", "A 67652-2021")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46235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46235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46235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41369-2023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46235</v>
      </c>
      <c r="F125" t="inlineStr">
        <is>
          <t>ÖSTERGÖTLANDS LÄN</t>
        </is>
      </c>
      <c r="G125" t="inlineStr">
        <is>
          <t>NORRKÖPING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HYPERLINK("https://klasma.github.io/Logging_0581/artfynd/A 41369-2023 artfynd.xlsx", "A 41369-2023")</f>
        <v/>
      </c>
      <c r="X125">
        <f>HYPERLINK("https://klasma.github.io/Logging_0581/kartor/A 41369-2023 karta.png", "A 41369-2023")</f>
        <v/>
      </c>
      <c r="Y125">
        <f>HYPERLINK("https://klasma.github.io/Logging_0581/kartor_geotiff/A 41369-2023 georefererad karta.tif", "A 41369-2023")</f>
        <v/>
      </c>
      <c r="AA125">
        <f>HYPERLINK("https://klasma.github.io/Logging_0581/klagomål/A 41369-2023 FSC-klagomål.docx", "A 41369-2023")</f>
        <v/>
      </c>
      <c r="AB125">
        <f>HYPERLINK("https://klasma.github.io/Logging_0581/klagomålsmail/A 41369-2023 FSC-klagomål mail.docx", "A 41369-2023")</f>
        <v/>
      </c>
      <c r="AC125">
        <f>HYPERLINK("https://klasma.github.io/Logging_0581/tillsyn/A 41369-2023 tillsynsbegäran.docx", "A 41369-2023")</f>
        <v/>
      </c>
      <c r="AD125">
        <f>HYPERLINK("https://klasma.github.io/Logging_0581/tillsynsmail/A 41369-2023 tillsynsbegäran mail.docx", "A 41369-2023")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46235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40053-2025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45894</v>
      </c>
      <c r="E127" s="1" t="n">
        <v>46235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Fläcknycklar</t>
        </is>
      </c>
      <c r="W127">
        <f>HYPERLINK("https://klasma.github.io/Logging_0581/artfynd/A 40053-2025 artfynd.xlsx", "A 40053-2025")</f>
        <v/>
      </c>
      <c r="X127">
        <f>HYPERLINK("https://klasma.github.io/Logging_0581/kartor/A 40053-2025 karta.png", "A 40053-2025")</f>
        <v/>
      </c>
      <c r="Y127">
        <f>HYPERLINK("https://klasma.github.io/Logging_0581/kartor_geotiff/A 40053-2025 georefererad karta.tif", "A 40053-2025")</f>
        <v/>
      </c>
      <c r="AA127">
        <f>HYPERLINK("https://klasma.github.io/Logging_0581/klagomål/A 40053-2025 FSC-klagomål.docx", "A 40053-2025")</f>
        <v/>
      </c>
      <c r="AB127">
        <f>HYPERLINK("https://klasma.github.io/Logging_0581/klagomålsmail/A 40053-2025 FSC-klagomål mail.docx", "A 40053-2025")</f>
        <v/>
      </c>
      <c r="AC127">
        <f>HYPERLINK("https://klasma.github.io/Logging_0581/tillsyn/A 40053-2025 tillsynsbegäran.docx", "A 40053-2025")</f>
        <v/>
      </c>
      <c r="AD127">
        <f>HYPERLINK("https://klasma.github.io/Logging_0581/tillsynsmail/A 40053-2025 tillsynsbegäran mail.docx", "A 40053-2025")</f>
        <v/>
      </c>
    </row>
    <row r="128" ht="15" customHeight="1">
      <c r="A128" t="inlineStr">
        <is>
          <t>A 40095-2025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46235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HYPERLINK("https://klasma.github.io/Logging_0581/artfynd/A 40095-2025 artfynd.xlsx", "A 40095-2025")</f>
        <v/>
      </c>
      <c r="X128">
        <f>HYPERLINK("https://klasma.github.io/Logging_0581/kartor/A 40095-2025 karta.png", "A 40095-2025")</f>
        <v/>
      </c>
      <c r="Y128">
        <f>HYPERLINK("https://klasma.github.io/Logging_0581/kartor_geotiff/A 40095-2025 georefererad karta.tif", "A 40095-2025")</f>
        <v/>
      </c>
      <c r="AA128">
        <f>HYPERLINK("https://klasma.github.io/Logging_0581/klagomål/A 40095-2025 FSC-klagomål.docx", "A 40095-2025")</f>
        <v/>
      </c>
      <c r="AB128">
        <f>HYPERLINK("https://klasma.github.io/Logging_0581/klagomålsmail/A 40095-2025 FSC-klagomål mail.docx", "A 40095-2025")</f>
        <v/>
      </c>
      <c r="AC128">
        <f>HYPERLINK("https://klasma.github.io/Logging_0581/tillsyn/A 40095-2025 tillsynsbegäran.docx", "A 40095-2025")</f>
        <v/>
      </c>
      <c r="AD128">
        <f>HYPERLINK("https://klasma.github.io/Logging_0581/tillsynsmail/A 40095-2025 tillsynsbegäran mail.docx", "A 40095-2025")</f>
        <v/>
      </c>
      <c r="AE128">
        <f>HYPERLINK("https://klasma.github.io/Logging_0581/fåglar/A 40095-2025 prioriterade fågelarter.docx", "A 40095-2025")</f>
        <v/>
      </c>
    </row>
    <row r="129" ht="15" customHeight="1">
      <c r="A129" t="inlineStr">
        <is>
          <t>A 31582-2023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46235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HYPERLINK("https://klasma.github.io/Logging_0581/artfynd/A 31582-2023 artfynd.xlsx", "A 31582-2023")</f>
        <v/>
      </c>
      <c r="X129">
        <f>HYPERLINK("https://klasma.github.io/Logging_0581/kartor/A 31582-2023 karta.png", "A 31582-2023")</f>
        <v/>
      </c>
      <c r="Y129">
        <f>HYPERLINK("https://klasma.github.io/Logging_0581/kartor_geotiff/A 31582-2023 georefererad karta.tif", "A 31582-2023")</f>
        <v/>
      </c>
      <c r="AA129">
        <f>HYPERLINK("https://klasma.github.io/Logging_0581/klagomål/A 31582-2023 FSC-klagomål.docx", "A 31582-2023")</f>
        <v/>
      </c>
      <c r="AB129">
        <f>HYPERLINK("https://klasma.github.io/Logging_0581/klagomålsmail/A 31582-2023 FSC-klagomål mail.docx", "A 31582-2023")</f>
        <v/>
      </c>
      <c r="AC129">
        <f>HYPERLINK("https://klasma.github.io/Logging_0581/tillsyn/A 31582-2023 tillsynsbegäran.docx", "A 31582-2023")</f>
        <v/>
      </c>
      <c r="AD129">
        <f>HYPERLINK("https://klasma.github.io/Logging_0581/tillsynsmail/A 31582-2023 tillsynsbegäran mail.docx", "A 31582-2023")</f>
        <v/>
      </c>
      <c r="AE129">
        <f>HYPERLINK("https://klasma.github.io/Logging_0581/fåglar/A 31582-2023 prioriterade fågelarter.docx", "A 31582-2023")</f>
        <v/>
      </c>
    </row>
    <row r="130" ht="15" customHeight="1">
      <c r="A130" t="inlineStr">
        <is>
          <t>A 42233-2025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46235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Jungfrulin</t>
        </is>
      </c>
      <c r="W130">
        <f>HYPERLINK("https://klasma.github.io/Logging_0581/artfynd/A 42233-2025 artfynd.xlsx", "A 42233-2025")</f>
        <v/>
      </c>
      <c r="X130">
        <f>HYPERLINK("https://klasma.github.io/Logging_0581/kartor/A 42233-2025 karta.png", "A 42233-2025")</f>
        <v/>
      </c>
      <c r="Y130">
        <f>HYPERLINK("https://klasma.github.io/Logging_0581/kartor_geotiff/A 42233-2025 georefererad karta.tif", "A 42233-2025")</f>
        <v/>
      </c>
      <c r="AA130">
        <f>HYPERLINK("https://klasma.github.io/Logging_0581/klagomål/A 42233-2025 FSC-klagomål.docx", "A 42233-2025")</f>
        <v/>
      </c>
      <c r="AB130">
        <f>HYPERLINK("https://klasma.github.io/Logging_0581/klagomålsmail/A 42233-2025 FSC-klagomål mail.docx", "A 42233-2025")</f>
        <v/>
      </c>
      <c r="AC130">
        <f>HYPERLINK("https://klasma.github.io/Logging_0581/tillsyn/A 42233-2025 tillsynsbegäran.docx", "A 42233-2025")</f>
        <v/>
      </c>
      <c r="AD130">
        <f>HYPERLINK("https://klasma.github.io/Logging_0581/tillsynsmail/A 42233-2025 tillsynsbegäran mail.docx", "A 42233-2025")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46235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Kattfotslav</t>
        </is>
      </c>
      <c r="W131">
        <f>HYPERLINK("https://klasma.github.io/Logging_0581/artfynd/A 42548-2025 artfynd.xlsx", "A 42548-2025")</f>
        <v/>
      </c>
      <c r="X131">
        <f>HYPERLINK("https://klasma.github.io/Logging_0581/kartor/A 42548-2025 karta.png", "A 42548-2025")</f>
        <v/>
      </c>
      <c r="Y131">
        <f>HYPERLINK("https://klasma.github.io/Logging_0581/kartor_geotiff/A 42548-2025 georefererad karta.tif", "A 42548-2025")</f>
        <v/>
      </c>
      <c r="AA131">
        <f>HYPERLINK("https://klasma.github.io/Logging_0581/klagomål/A 42548-2025 FSC-klagomål.docx", "A 42548-2025")</f>
        <v/>
      </c>
      <c r="AB131">
        <f>HYPERLINK("https://klasma.github.io/Logging_0581/klagomålsmail/A 42548-2025 FSC-klagomål mail.docx", "A 42548-2025")</f>
        <v/>
      </c>
      <c r="AC131">
        <f>HYPERLINK("https://klasma.github.io/Logging_0581/tillsyn/A 42548-2025 tillsynsbegäran.docx", "A 42548-2025")</f>
        <v/>
      </c>
      <c r="AD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19995-2025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46235</v>
      </c>
      <c r="F132" t="inlineStr">
        <is>
          <t>ÖSTERGÖTLANDS LÄN</t>
        </is>
      </c>
      <c r="G132" t="inlineStr">
        <is>
          <t>NORRKÖPING</t>
        </is>
      </c>
      <c r="I132" t="n">
        <v>1.1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Blomkålssvamp</t>
        </is>
      </c>
      <c r="W132">
        <f>HYPERLINK("https://klasma.github.io/Logging_0581/artfynd/A 19995-2025 artfynd.xlsx", "A 19995-2025")</f>
        <v/>
      </c>
      <c r="X132">
        <f>HYPERLINK("https://klasma.github.io/Logging_0581/kartor/A 19995-2025 karta.png", "A 19995-2025")</f>
        <v/>
      </c>
      <c r="Y132">
        <f>HYPERLINK("https://klasma.github.io/Logging_0581/kartor_geotiff/A 19995-2025 georefererad karta.tif", "A 19995-2025")</f>
        <v/>
      </c>
      <c r="AA132">
        <f>HYPERLINK("https://klasma.github.io/Logging_0581/klagomål/A 19995-2025 FSC-klagomål.docx", "A 19995-2025")</f>
        <v/>
      </c>
      <c r="AB132">
        <f>HYPERLINK("https://klasma.github.io/Logging_0581/klagomålsmail/A 19995-2025 FSC-klagomål mail.docx", "A 19995-2025")</f>
        <v/>
      </c>
      <c r="AC132">
        <f>HYPERLINK("https://klasma.github.io/Logging_0581/tillsyn/A 19995-2025 tillsynsbegäran.docx", "A 19995-2025")</f>
        <v/>
      </c>
      <c r="AD132">
        <f>HYPERLINK("https://klasma.github.io/Logging_0581/tillsynsmail/A 19995-2025 tillsynsbegäran mail.docx", "A 19995-2025")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46235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2545-2023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46235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Hasselticka</t>
        </is>
      </c>
      <c r="W134">
        <f>HYPERLINK("https://klasma.github.io/Logging_0581/artfynd/A 2545-2023 artfynd.xlsx", "A 2545-2023")</f>
        <v/>
      </c>
      <c r="X134">
        <f>HYPERLINK("https://klasma.github.io/Logging_0581/kartor/A 2545-2023 karta.png", "A 2545-2023")</f>
        <v/>
      </c>
      <c r="Y134">
        <f>HYPERLINK("https://klasma.github.io/Logging_0581/kartor_geotiff/A 2545-2023 georefererad karta.tif", "A 2545-2023")</f>
        <v/>
      </c>
      <c r="AA134">
        <f>HYPERLINK("https://klasma.github.io/Logging_0581/klagomål/A 2545-2023 FSC-klagomål.docx", "A 2545-2023")</f>
        <v/>
      </c>
      <c r="AB134">
        <f>HYPERLINK("https://klasma.github.io/Logging_0581/klagomålsmail/A 2545-2023 FSC-klagomål mail.docx", "A 2545-2023")</f>
        <v/>
      </c>
      <c r="AC134">
        <f>HYPERLINK("https://klasma.github.io/Logging_0581/tillsyn/A 2545-2023 tillsynsbegäran.docx", "A 2545-2023")</f>
        <v/>
      </c>
      <c r="AD134">
        <f>HYPERLINK("https://klasma.github.io/Logging_0581/tillsynsmail/A 2545-2023 tillsynsbegäran mail.docx", "A 2545-2023")</f>
        <v/>
      </c>
    </row>
    <row r="135" ht="15" customHeight="1">
      <c r="A135" t="inlineStr">
        <is>
          <t>A 58711-2023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46235</v>
      </c>
      <c r="F135" t="inlineStr">
        <is>
          <t>ÖSTERGÖTLANDS LÄN</t>
        </is>
      </c>
      <c r="G135" t="inlineStr">
        <is>
          <t>NORRKÖPING</t>
        </is>
      </c>
      <c r="I135" t="n">
        <v>4.3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Ängsskära</t>
        </is>
      </c>
      <c r="W135">
        <f>HYPERLINK("https://klasma.github.io/Logging_0581/artfynd/A 58711-2023 artfynd.xlsx", "A 58711-2023")</f>
        <v/>
      </c>
      <c r="X135">
        <f>HYPERLINK("https://klasma.github.io/Logging_0581/kartor/A 58711-2023 karta.png", "A 58711-2023")</f>
        <v/>
      </c>
      <c r="Y135">
        <f>HYPERLINK("https://klasma.github.io/Logging_0581/kartor_geotiff/A 58711-2023 georefererad karta.tif", "A 58711-2023")</f>
        <v/>
      </c>
      <c r="AA135">
        <f>HYPERLINK("https://klasma.github.io/Logging_0581/klagomål/A 58711-2023 FSC-klagomål.docx", "A 58711-2023")</f>
        <v/>
      </c>
      <c r="AB135">
        <f>HYPERLINK("https://klasma.github.io/Logging_0581/klagomålsmail/A 58711-2023 FSC-klagomål mail.docx", "A 58711-2023")</f>
        <v/>
      </c>
      <c r="AC135">
        <f>HYPERLINK("https://klasma.github.io/Logging_0581/tillsyn/A 58711-2023 tillsynsbegäran.docx", "A 58711-2023")</f>
        <v/>
      </c>
      <c r="AD135">
        <f>HYPERLINK("https://klasma.github.io/Logging_0581/tillsynsmail/A 58711-2023 tillsynsbegäran mail.docx", "A 58711-2023")</f>
        <v/>
      </c>
    </row>
    <row r="136" ht="15" customHeight="1">
      <c r="A136" t="inlineStr">
        <is>
          <t>A 46201-2025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46235</v>
      </c>
      <c r="F136" t="inlineStr">
        <is>
          <t>ÖSTERGÖTLANDS LÄN</t>
        </is>
      </c>
      <c r="G136" t="inlineStr">
        <is>
          <t>NORRKÖPING</t>
        </is>
      </c>
      <c r="I136" t="n">
        <v>1.5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Hasselticka</t>
        </is>
      </c>
      <c r="W136">
        <f>HYPERLINK("https://klasma.github.io/Logging_0581/artfynd/A 46201-2025 artfynd.xlsx", "A 46201-2025")</f>
        <v/>
      </c>
      <c r="X136">
        <f>HYPERLINK("https://klasma.github.io/Logging_0581/kartor/A 46201-2025 karta.png", "A 46201-2025")</f>
        <v/>
      </c>
      <c r="Y136">
        <f>HYPERLINK("https://klasma.github.io/Logging_0581/kartor_geotiff/A 46201-2025 georefererad karta.tif", "A 46201-2025")</f>
        <v/>
      </c>
      <c r="AA136">
        <f>HYPERLINK("https://klasma.github.io/Logging_0581/klagomål/A 46201-2025 FSC-klagomål.docx", "A 46201-2025")</f>
        <v/>
      </c>
      <c r="AB136">
        <f>HYPERLINK("https://klasma.github.io/Logging_0581/klagomålsmail/A 46201-2025 FSC-klagomål mail.docx", "A 46201-2025")</f>
        <v/>
      </c>
      <c r="AC136">
        <f>HYPERLINK("https://klasma.github.io/Logging_0581/tillsyn/A 46201-2025 tillsynsbegäran.docx", "A 46201-2025")</f>
        <v/>
      </c>
      <c r="AD136">
        <f>HYPERLINK("https://klasma.github.io/Logging_0581/tillsynsmail/A 46201-2025 tillsynsbegäran mail.docx", "A 46201-2025")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46235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14044-2023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45008</v>
      </c>
      <c r="E138" s="1" t="n">
        <v>46235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HYPERLINK("https://klasma.github.io/Logging_0581/artfynd/A 14044-2023 artfynd.xlsx", "A 14044-2023")</f>
        <v/>
      </c>
      <c r="X138">
        <f>HYPERLINK("https://klasma.github.io/Logging_0581/kartor/A 14044-2023 karta.png", "A 14044-2023")</f>
        <v/>
      </c>
      <c r="Y138">
        <f>HYPERLINK("https://klasma.github.io/Logging_0581/kartor_geotiff/A 14044-2023 georefererad karta.tif", "A 14044-2023")</f>
        <v/>
      </c>
      <c r="AA138">
        <f>HYPERLINK("https://klasma.github.io/Logging_0581/klagomål/A 14044-2023 FSC-klagomål.docx", "A 14044-2023")</f>
        <v/>
      </c>
      <c r="AB138">
        <f>HYPERLINK("https://klasma.github.io/Logging_0581/klagomålsmail/A 14044-2023 FSC-klagomål mail.docx", "A 14044-2023")</f>
        <v/>
      </c>
      <c r="AC138">
        <f>HYPERLINK("https://klasma.github.io/Logging_0581/tillsyn/A 14044-2023 tillsynsbegäran.docx", "A 14044-2023")</f>
        <v/>
      </c>
      <c r="AD138">
        <f>HYPERLINK("https://klasma.github.io/Logging_0581/tillsynsmail/A 14044-2023 tillsynsbegäran mail.docx", "A 14044-2023")</f>
        <v/>
      </c>
      <c r="AE138">
        <f>HYPERLINK("https://klasma.github.io/Logging_0581/fåglar/A 14044-2023 prioriterade fågelarter.docx", "A 14044-2023")</f>
        <v/>
      </c>
    </row>
    <row r="139" ht="15" customHeight="1">
      <c r="A139" t="inlineStr">
        <is>
          <t>A 46806-2024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45583</v>
      </c>
      <c r="E139" s="1" t="n">
        <v>46235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Vedskivlav</t>
        </is>
      </c>
      <c r="W139">
        <f>HYPERLINK("https://klasma.github.io/Logging_0581/artfynd/A 46806-2024 artfynd.xlsx", "A 46806-2024")</f>
        <v/>
      </c>
      <c r="X139">
        <f>HYPERLINK("https://klasma.github.io/Logging_0581/kartor/A 46806-2024 karta.png", "A 46806-2024")</f>
        <v/>
      </c>
      <c r="Y139">
        <f>HYPERLINK("https://klasma.github.io/Logging_0581/kartor_geotiff/A 46806-2024 georefererad karta.tif", "A 46806-2024")</f>
        <v/>
      </c>
      <c r="AA139">
        <f>HYPERLINK("https://klasma.github.io/Logging_0581/klagomål/A 46806-2024 FSC-klagomål.docx", "A 46806-2024")</f>
        <v/>
      </c>
      <c r="AB139">
        <f>HYPERLINK("https://klasma.github.io/Logging_0581/klagomålsmail/A 46806-2024 FSC-klagomål mail.docx", "A 46806-2024")</f>
        <v/>
      </c>
      <c r="AC139">
        <f>HYPERLINK("https://klasma.github.io/Logging_0581/tillsyn/A 46806-2024 tillsynsbegäran.docx", "A 46806-2024")</f>
        <v/>
      </c>
      <c r="AD139">
        <f>HYPERLINK("https://klasma.github.io/Logging_0581/tillsynsmail/A 46806-2024 tillsynsbegäran mail.docx", "A 46806-2024")</f>
        <v/>
      </c>
    </row>
    <row r="140" ht="15" customHeight="1">
      <c r="A140" t="inlineStr">
        <is>
          <t>A 45953-2024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45580</v>
      </c>
      <c r="E140" s="1" t="n">
        <v>46235</v>
      </c>
      <c r="F140" t="inlineStr">
        <is>
          <t>ÖSTERGÖTLANDS LÄN</t>
        </is>
      </c>
      <c r="G140" t="inlineStr">
        <is>
          <t>NORRKÖPING</t>
        </is>
      </c>
      <c r="I140" t="n">
        <v>1.9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Ekoxe</t>
        </is>
      </c>
      <c r="W140">
        <f>HYPERLINK("https://klasma.github.io/Logging_0581/artfynd/A 45953-2024 artfynd.xlsx", "A 45953-2024")</f>
        <v/>
      </c>
      <c r="X140">
        <f>HYPERLINK("https://klasma.github.io/Logging_0581/kartor/A 45953-2024 karta.png", "A 45953-2024")</f>
        <v/>
      </c>
      <c r="Y140">
        <f>HYPERLINK("https://klasma.github.io/Logging_0581/kartor_geotiff/A 45953-2024 georefererad karta.tif", "A 45953-2024")</f>
        <v/>
      </c>
      <c r="AA140">
        <f>HYPERLINK("https://klasma.github.io/Logging_0581/klagomål/A 45953-2024 FSC-klagomål.docx", "A 45953-2024")</f>
        <v/>
      </c>
      <c r="AB140">
        <f>HYPERLINK("https://klasma.github.io/Logging_0581/klagomålsmail/A 45953-2024 FSC-klagomål mail.docx", "A 45953-2024")</f>
        <v/>
      </c>
      <c r="AC140">
        <f>HYPERLINK("https://klasma.github.io/Logging_0581/tillsyn/A 45953-2024 tillsynsbegäran.docx", "A 45953-2024")</f>
        <v/>
      </c>
      <c r="AD140">
        <f>HYPERLINK("https://klasma.github.io/Logging_0581/tillsynsmail/A 45953-2024 tillsynsbegäran mail.docx", "A 45953-2024")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46235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27236-2023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46235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Motaggsvamp</t>
        </is>
      </c>
      <c r="W142">
        <f>HYPERLINK("https://klasma.github.io/Logging_0581/artfynd/A 27236-2023 artfynd.xlsx", "A 27236-2023")</f>
        <v/>
      </c>
      <c r="X142">
        <f>HYPERLINK("https://klasma.github.io/Logging_0581/kartor/A 27236-2023 karta.png", "A 27236-2023")</f>
        <v/>
      </c>
      <c r="Y142">
        <f>HYPERLINK("https://klasma.github.io/Logging_0581/kartor_geotiff/A 27236-2023 georefererad karta.tif", "A 27236-2023")</f>
        <v/>
      </c>
      <c r="AA142">
        <f>HYPERLINK("https://klasma.github.io/Logging_0581/klagomål/A 27236-2023 FSC-klagomål.docx", "A 27236-2023")</f>
        <v/>
      </c>
      <c r="AB142">
        <f>HYPERLINK("https://klasma.github.io/Logging_0581/klagomålsmail/A 27236-2023 FSC-klagomål mail.docx", "A 27236-2023")</f>
        <v/>
      </c>
      <c r="AC142">
        <f>HYPERLINK("https://klasma.github.io/Logging_0581/tillsyn/A 27236-2023 tillsynsbegäran.docx", "A 27236-2023")</f>
        <v/>
      </c>
      <c r="AD142">
        <f>HYPERLINK("https://klasma.github.io/Logging_0581/tillsynsmail/A 27236-2023 tillsynsbegäran mail.docx", "A 27236-2023")</f>
        <v/>
      </c>
    </row>
    <row r="143" ht="15" customHeight="1">
      <c r="A143" t="inlineStr">
        <is>
          <t>A 31659-2023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45117</v>
      </c>
      <c r="E143" s="1" t="n">
        <v>46235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HYPERLINK("https://klasma.github.io/Logging_0581/artfynd/A 31659-2023 artfynd.xlsx", "A 31659-2023")</f>
        <v/>
      </c>
      <c r="X143">
        <f>HYPERLINK("https://klasma.github.io/Logging_0581/kartor/A 31659-2023 karta.png", "A 31659-2023")</f>
        <v/>
      </c>
      <c r="Y143">
        <f>HYPERLINK("https://klasma.github.io/Logging_0581/kartor_geotiff/A 31659-2023 georefererad karta.tif", "A 31659-2023")</f>
        <v/>
      </c>
      <c r="AA143">
        <f>HYPERLINK("https://klasma.github.io/Logging_0581/klagomål/A 31659-2023 FSC-klagomål.docx", "A 31659-2023")</f>
        <v/>
      </c>
      <c r="AB143">
        <f>HYPERLINK("https://klasma.github.io/Logging_0581/klagomålsmail/A 31659-2023 FSC-klagomål mail.docx", "A 31659-2023")</f>
        <v/>
      </c>
      <c r="AC143">
        <f>HYPERLINK("https://klasma.github.io/Logging_0581/tillsyn/A 31659-2023 tillsynsbegäran.docx", "A 31659-2023")</f>
        <v/>
      </c>
      <c r="AD143">
        <f>HYPERLINK("https://klasma.github.io/Logging_0581/tillsynsmail/A 31659-2023 tillsynsbegäran mail.docx", "A 31659-2023")</f>
        <v/>
      </c>
      <c r="AE143">
        <f>HYPERLINK("https://klasma.github.io/Logging_0581/fåglar/A 31659-2023 prioriterade fågelarter.docx", "A 31659-2023")</f>
        <v/>
      </c>
    </row>
    <row r="144" ht="15" customHeight="1">
      <c r="A144" t="inlineStr">
        <is>
          <t>A 7317-2025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46235</v>
      </c>
      <c r="F144" t="inlineStr">
        <is>
          <t>ÖSTERGÖTLANDS LÄN</t>
        </is>
      </c>
      <c r="G144" t="inlineStr">
        <is>
          <t>NORRKÖPING</t>
        </is>
      </c>
      <c r="I144" t="n">
        <v>1.4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Backklöver</t>
        </is>
      </c>
      <c r="W144">
        <f>HYPERLINK("https://klasma.github.io/Logging_0581/artfynd/A 7317-2025 artfynd.xlsx", "A 7317-2025")</f>
        <v/>
      </c>
      <c r="X144">
        <f>HYPERLINK("https://klasma.github.io/Logging_0581/kartor/A 7317-2025 karta.png", "A 7317-2025")</f>
        <v/>
      </c>
      <c r="Y144">
        <f>HYPERLINK("https://klasma.github.io/Logging_0581/kartor_geotiff/A 7317-2025 georefererad karta.tif", "A 7317-2025")</f>
        <v/>
      </c>
      <c r="AA144">
        <f>HYPERLINK("https://klasma.github.io/Logging_0581/klagomål/A 7317-2025 FSC-klagomål.docx", "A 7317-2025")</f>
        <v/>
      </c>
      <c r="AB144">
        <f>HYPERLINK("https://klasma.github.io/Logging_0581/klagomålsmail/A 7317-2025 FSC-klagomål mail.docx", "A 7317-2025")</f>
        <v/>
      </c>
      <c r="AC144">
        <f>HYPERLINK("https://klasma.github.io/Logging_0581/tillsyn/A 7317-2025 tillsynsbegäran.docx", "A 7317-2025")</f>
        <v/>
      </c>
      <c r="AD144">
        <f>HYPERLINK("https://klasma.github.io/Logging_0581/tillsynsmail/A 7317-2025 tillsynsbegäran mail.docx", "A 7317-2025")</f>
        <v/>
      </c>
    </row>
    <row r="145" ht="15" customHeight="1">
      <c r="A145" t="inlineStr">
        <is>
          <t>A 29202-2026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46202</v>
      </c>
      <c r="E145" s="1" t="n">
        <v>46235</v>
      </c>
      <c r="F145" t="inlineStr">
        <is>
          <t>ÖSTERGÖTLANDS LÄN</t>
        </is>
      </c>
      <c r="G145" t="inlineStr">
        <is>
          <t>NORRKÖPING</t>
        </is>
      </c>
      <c r="I145" t="n">
        <v>2.5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Tibast</t>
        </is>
      </c>
      <c r="W145">
        <f>HYPERLINK("https://klasma.github.io/Logging_0581/artfynd/A 29202-2026 artfynd.xlsx", "A 29202-2026")</f>
        <v/>
      </c>
      <c r="X145">
        <f>HYPERLINK("https://klasma.github.io/Logging_0581/kartor/A 29202-2026 karta.png", "A 29202-2026")</f>
        <v/>
      </c>
      <c r="Y145">
        <f>HYPERLINK("https://klasma.github.io/Logging_0581/kartor_geotiff/A 29202-2026 georefererad karta.tif", "A 29202-2026")</f>
        <v/>
      </c>
      <c r="AA145">
        <f>HYPERLINK("https://klasma.github.io/Logging_0581/klagomål/A 29202-2026 FSC-klagomål.docx", "A 29202-2026")</f>
        <v/>
      </c>
      <c r="AB145">
        <f>HYPERLINK("https://klasma.github.io/Logging_0581/klagomålsmail/A 29202-2026 FSC-klagomål mail.docx", "A 29202-2026")</f>
        <v/>
      </c>
      <c r="AC145">
        <f>HYPERLINK("https://klasma.github.io/Logging_0581/tillsyn/A 29202-2026 tillsynsbegäran.docx", "A 29202-2026")</f>
        <v/>
      </c>
      <c r="AD145">
        <f>HYPERLINK("https://klasma.github.io/Logging_0581/tillsynsmail/A 29202-2026 tillsynsbegäran mail.docx", "A 29202-2026")</f>
        <v/>
      </c>
    </row>
    <row r="146" ht="15" customHeight="1">
      <c r="A146" t="inlineStr">
        <is>
          <t>A 12682-2025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45733</v>
      </c>
      <c r="E146" s="1" t="n">
        <v>46235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2.3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HYPERLINK("https://klasma.github.io/Logging_0581/artfynd/A 12682-2025 artfynd.xlsx", "A 12682-2025")</f>
        <v/>
      </c>
      <c r="X146">
        <f>HYPERLINK("https://klasma.github.io/Logging_0581/kartor/A 12682-2025 karta.png", "A 12682-2025")</f>
        <v/>
      </c>
      <c r="Y146">
        <f>HYPERLINK("https://klasma.github.io/Logging_0581/kartor_geotiff/A 12682-2025 georefererad karta.tif", "A 12682-2025")</f>
        <v/>
      </c>
      <c r="Z146">
        <f>HYPERLINK("https://klasma.github.io/Logging_0581/knärot/A 12682-2025 karta knärot.png", "A 12682-2025")</f>
        <v/>
      </c>
      <c r="AA146">
        <f>HYPERLINK("https://klasma.github.io/Logging_0581/klagomål/A 12682-2025 FSC-klagomål.docx", "A 12682-2025")</f>
        <v/>
      </c>
      <c r="AB146">
        <f>HYPERLINK("https://klasma.github.io/Logging_0581/klagomålsmail/A 12682-2025 FSC-klagomål mail.docx", "A 12682-2025")</f>
        <v/>
      </c>
      <c r="AC146">
        <f>HYPERLINK("https://klasma.github.io/Logging_0581/tillsyn/A 12682-2025 tillsynsbegäran.docx", "A 12682-2025")</f>
        <v/>
      </c>
      <c r="AD146">
        <f>HYPERLINK("https://klasma.github.io/Logging_0581/tillsynsmail/A 12682-2025 tillsynsbegäran mail.docx", "A 12682-2025")</f>
        <v/>
      </c>
      <c r="AE146">
        <f>HYPERLINK("https://klasma.github.io/Logging_0581/fåglar/A 12682-2025 prioriterade fågelarter.docx", "A 12682-2025")</f>
        <v/>
      </c>
    </row>
    <row r="147" ht="15" customHeight="1">
      <c r="A147" t="inlineStr">
        <is>
          <t>A 14329-2022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46235</v>
      </c>
      <c r="F147" t="inlineStr">
        <is>
          <t>ÖSTERGÖTLANDS LÄN</t>
        </is>
      </c>
      <c r="G147" t="inlineStr">
        <is>
          <t>NORRKÖPING</t>
        </is>
      </c>
      <c r="I147" t="n">
        <v>2.7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Röd skogslilja</t>
        </is>
      </c>
      <c r="W147">
        <f>HYPERLINK("https://klasma.github.io/Logging_0581/artfynd/A 14329-2022 artfynd.xlsx", "A 14329-2022")</f>
        <v/>
      </c>
      <c r="X147">
        <f>HYPERLINK("https://klasma.github.io/Logging_0581/kartor/A 14329-2022 karta.png", "A 14329-2022")</f>
        <v/>
      </c>
      <c r="Y147">
        <f>HYPERLINK("https://klasma.github.io/Logging_0581/kartor_geotiff/A 14329-2022 georefererad karta.tif", "A 14329-2022")</f>
        <v/>
      </c>
      <c r="AA147">
        <f>HYPERLINK("https://klasma.github.io/Logging_0581/klagomål/A 14329-2022 FSC-klagomål.docx", "A 14329-2022")</f>
        <v/>
      </c>
      <c r="AB147">
        <f>HYPERLINK("https://klasma.github.io/Logging_0581/klagomålsmail/A 14329-2022 FSC-klagomål mail.docx", "A 14329-2022")</f>
        <v/>
      </c>
      <c r="AC147">
        <f>HYPERLINK("https://klasma.github.io/Logging_0581/tillsyn/A 14329-2022 tillsynsbegäran.docx", "A 14329-2022")</f>
        <v/>
      </c>
      <c r="AD147">
        <f>HYPERLINK("https://klasma.github.io/Logging_0581/tillsynsmail/A 14329-2022 tillsynsbegäran mail.docx", "A 14329-2022")</f>
        <v/>
      </c>
    </row>
    <row r="148" ht="15" customHeight="1">
      <c r="A148" t="inlineStr">
        <is>
          <t>A 15124-2025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46235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3.8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2</v>
      </c>
      <c r="V148" s="2" t="inlineStr">
        <is>
          <t>Vedskivlav</t>
        </is>
      </c>
      <c r="W148">
        <f>HYPERLINK("https://klasma.github.io/Logging_0581/artfynd/A 15124-2025 artfynd.xlsx", "A 15124-2025")</f>
        <v/>
      </c>
      <c r="X148">
        <f>HYPERLINK("https://klasma.github.io/Logging_0581/kartor/A 15124-2025 karta.png", "A 15124-2025")</f>
        <v/>
      </c>
      <c r="Y148">
        <f>HYPERLINK("https://klasma.github.io/Logging_0581/kartor_geotiff/A 15124-2025 georefererad karta.tif", "A 15124-2025")</f>
        <v/>
      </c>
      <c r="AA148">
        <f>HYPERLINK("https://klasma.github.io/Logging_0581/klagomål/A 15124-2025 FSC-klagomål.docx", "A 15124-2025")</f>
        <v/>
      </c>
      <c r="AB148">
        <f>HYPERLINK("https://klasma.github.io/Logging_0581/klagomålsmail/A 15124-2025 FSC-klagomål mail.docx", "A 15124-2025")</f>
        <v/>
      </c>
      <c r="AC148">
        <f>HYPERLINK("https://klasma.github.io/Logging_0581/tillsyn/A 15124-2025 tillsynsbegäran.docx", "A 15124-2025")</f>
        <v/>
      </c>
      <c r="AD148">
        <f>HYPERLINK("https://klasma.github.io/Logging_0581/tillsynsmail/A 15124-2025 tillsynsbegäran mail.docx", "A 15124-2025")</f>
        <v/>
      </c>
    </row>
    <row r="149" ht="15" customHeight="1">
      <c r="A149" t="inlineStr">
        <is>
          <t>A 15143-2025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46235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Vedskivlav</t>
        </is>
      </c>
      <c r="W149">
        <f>HYPERLINK("https://klasma.github.io/Logging_0581/artfynd/A 15143-2025 artfynd.xlsx", "A 15143-2025")</f>
        <v/>
      </c>
      <c r="X149">
        <f>HYPERLINK("https://klasma.github.io/Logging_0581/kartor/A 15143-2025 karta.png", "A 15143-2025")</f>
        <v/>
      </c>
      <c r="Y149">
        <f>HYPERLINK("https://klasma.github.io/Logging_0581/kartor_geotiff/A 15143-2025 georefererad karta.tif", "A 15143-2025")</f>
        <v/>
      </c>
      <c r="AA149">
        <f>HYPERLINK("https://klasma.github.io/Logging_0581/klagomål/A 15143-2025 FSC-klagomål.docx", "A 15143-2025")</f>
        <v/>
      </c>
      <c r="AB149">
        <f>HYPERLINK("https://klasma.github.io/Logging_0581/klagomålsmail/A 15143-2025 FSC-klagomål mail.docx", "A 15143-2025")</f>
        <v/>
      </c>
      <c r="AC149">
        <f>HYPERLINK("https://klasma.github.io/Logging_0581/tillsyn/A 15143-2025 tillsynsbegäran.docx", "A 15143-2025")</f>
        <v/>
      </c>
      <c r="AD149">
        <f>HYPERLINK("https://klasma.github.io/Logging_0581/tillsynsmail/A 15143-2025 tillsynsbegäran mail.docx", "A 15143-2025")</f>
        <v/>
      </c>
    </row>
    <row r="150" ht="15" customHeight="1">
      <c r="A150" t="inlineStr">
        <is>
          <t>A 25982-2023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45090</v>
      </c>
      <c r="E150" s="1" t="n">
        <v>46235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Allmännings- och besparingsskogar</t>
        </is>
      </c>
      <c r="I150" t="n">
        <v>1.8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Linmåra/småsnärjmåra</t>
        </is>
      </c>
      <c r="W150">
        <f>HYPERLINK("https://klasma.github.io/Logging_0581/artfynd/A 25982-2023 artfynd.xlsx", "A 25982-2023")</f>
        <v/>
      </c>
      <c r="X150">
        <f>HYPERLINK("https://klasma.github.io/Logging_0581/kartor/A 25982-2023 karta.png", "A 25982-2023")</f>
        <v/>
      </c>
      <c r="Y150">
        <f>HYPERLINK("https://klasma.github.io/Logging_0581/kartor_geotiff/A 25982-2023 georefererad karta.tif", "A 25982-2023")</f>
        <v/>
      </c>
      <c r="AA150">
        <f>HYPERLINK("https://klasma.github.io/Logging_0581/klagomål/A 25982-2023 FSC-klagomål.docx", "A 25982-2023")</f>
        <v/>
      </c>
      <c r="AB150">
        <f>HYPERLINK("https://klasma.github.io/Logging_0581/klagomålsmail/A 25982-2023 FSC-klagomål mail.docx", "A 25982-2023")</f>
        <v/>
      </c>
      <c r="AC150">
        <f>HYPERLINK("https://klasma.github.io/Logging_0581/tillsyn/A 25982-2023 tillsynsbegäran.docx", "A 25982-2023")</f>
        <v/>
      </c>
      <c r="AD150">
        <f>HYPERLINK("https://klasma.github.io/Logging_0581/tillsynsmail/A 25982-2023 tillsynsbegäran mail.docx", "A 25982-2023")</f>
        <v/>
      </c>
    </row>
    <row r="151" ht="15" customHeight="1">
      <c r="A151" t="inlineStr">
        <is>
          <t>A 31254-2026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46218</v>
      </c>
      <c r="E151" s="1" t="n">
        <v>46235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Raggbock</t>
        </is>
      </c>
      <c r="W151">
        <f>HYPERLINK("https://klasma.github.io/Logging_0581/artfynd/A 31254-2026 artfynd.xlsx", "A 31254-2026")</f>
        <v/>
      </c>
      <c r="X151">
        <f>HYPERLINK("https://klasma.github.io/Logging_0581/kartor/A 31254-2026 karta.png", "A 31254-2026")</f>
        <v/>
      </c>
      <c r="Y151">
        <f>HYPERLINK("https://klasma.github.io/Logging_0581/kartor_geotiff/A 31254-2026 georefererad karta.tif", "A 31254-2026")</f>
        <v/>
      </c>
      <c r="AA151">
        <f>HYPERLINK("https://klasma.github.io/Logging_0581/klagomål/A 31254-2026 FSC-klagomål.docx", "A 31254-2026")</f>
        <v/>
      </c>
      <c r="AB151">
        <f>HYPERLINK("https://klasma.github.io/Logging_0581/klagomålsmail/A 31254-2026 FSC-klagomål mail.docx", "A 31254-2026")</f>
        <v/>
      </c>
      <c r="AC151">
        <f>HYPERLINK("https://klasma.github.io/Logging_0581/tillsyn/A 31254-2026 tillsynsbegäran.docx", "A 31254-2026")</f>
        <v/>
      </c>
      <c r="AD151">
        <f>HYPERLINK("https://klasma.github.io/Logging_0581/tillsynsmail/A 31254-2026 tillsynsbegäran mail.docx", "A 31254-2026")</f>
        <v/>
      </c>
    </row>
    <row r="152" ht="15" customHeight="1">
      <c r="A152" t="inlineStr">
        <is>
          <t>A 16610-2024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46235</v>
      </c>
      <c r="F152" t="inlineStr">
        <is>
          <t>ÖSTERGÖTLANDS LÄN</t>
        </is>
      </c>
      <c r="G152" t="inlineStr">
        <is>
          <t>NORRKÖPING</t>
        </is>
      </c>
      <c r="I152" t="n">
        <v>5.8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3</v>
      </c>
      <c r="U152" t="n">
        <v>3</v>
      </c>
      <c r="V152" s="2" t="inlineStr">
        <is>
          <t>Knärot</t>
        </is>
      </c>
      <c r="W152">
        <f>HYPERLINK("https://klasma.github.io/Logging_0581/artfynd/A 16610-2024 artfynd.xlsx", "A 16610-2024")</f>
        <v/>
      </c>
      <c r="X152">
        <f>HYPERLINK("https://klasma.github.io/Logging_0581/kartor/A 16610-2024 karta.png", "A 16610-2024")</f>
        <v/>
      </c>
      <c r="Y152">
        <f>HYPERLINK("https://klasma.github.io/Logging_0581/kartor_geotiff/A 16610-2024 georefererad karta.tif", "A 16610-2024")</f>
        <v/>
      </c>
      <c r="Z152">
        <f>HYPERLINK("https://klasma.github.io/Logging_0581/knärot/A 16610-2024 karta knärot.png", "A 16610-2024")</f>
        <v/>
      </c>
      <c r="AA152">
        <f>HYPERLINK("https://klasma.github.io/Logging_0581/klagomål/A 16610-2024 FSC-klagomål.docx", "A 16610-2024")</f>
        <v/>
      </c>
      <c r="AB152">
        <f>HYPERLINK("https://klasma.github.io/Logging_0581/klagomålsmail/A 16610-2024 FSC-klagomål mail.docx", "A 16610-2024")</f>
        <v/>
      </c>
      <c r="AC152">
        <f>HYPERLINK("https://klasma.github.io/Logging_0581/tillsyn/A 16610-2024 tillsynsbegäran.docx", "A 16610-2024")</f>
        <v/>
      </c>
      <c r="AD152">
        <f>HYPERLINK("https://klasma.github.io/Logging_0581/tillsynsmail/A 16610-2024 tillsynsbegäran mail.docx", "A 16610-2024")</f>
        <v/>
      </c>
    </row>
    <row r="153" ht="15" customHeight="1">
      <c r="A153" t="inlineStr">
        <is>
          <t>A 31231-2026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46217</v>
      </c>
      <c r="E153" s="1" t="n">
        <v>46235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4.2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Blåmossa</t>
        </is>
      </c>
      <c r="W153">
        <f>HYPERLINK("https://klasma.github.io/Logging_0581/artfynd/A 31231-2026 artfynd.xlsx", "A 31231-2026")</f>
        <v/>
      </c>
      <c r="X153">
        <f>HYPERLINK("https://klasma.github.io/Logging_0581/kartor/A 31231-2026 karta.png", "A 31231-2026")</f>
        <v/>
      </c>
      <c r="Y153">
        <f>HYPERLINK("https://klasma.github.io/Logging_0581/kartor_geotiff/A 31231-2026 georefererad karta.tif", "A 31231-2026")</f>
        <v/>
      </c>
      <c r="AA153">
        <f>HYPERLINK("https://klasma.github.io/Logging_0581/klagomål/A 31231-2026 FSC-klagomål.docx", "A 31231-2026")</f>
        <v/>
      </c>
      <c r="AB153">
        <f>HYPERLINK("https://klasma.github.io/Logging_0581/klagomålsmail/A 31231-2026 FSC-klagomål mail.docx", "A 31231-2026")</f>
        <v/>
      </c>
      <c r="AC153">
        <f>HYPERLINK("https://klasma.github.io/Logging_0581/tillsyn/A 31231-2026 tillsynsbegäran.docx", "A 31231-2026")</f>
        <v/>
      </c>
      <c r="AD153">
        <f>HYPERLINK("https://klasma.github.io/Logging_0581/tillsynsmail/A 31231-2026 tillsynsbegäran mail.docx", "A 31231-2026")</f>
        <v/>
      </c>
    </row>
    <row r="154" ht="15" customHeight="1">
      <c r="A154" t="inlineStr">
        <is>
          <t>A 31325-2026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46219</v>
      </c>
      <c r="E154" s="1" t="n">
        <v>46235</v>
      </c>
      <c r="F154" t="inlineStr">
        <is>
          <t>ÖSTERGÖTLANDS LÄN</t>
        </is>
      </c>
      <c r="G154" t="inlineStr">
        <is>
          <t>NORRKÖPING</t>
        </is>
      </c>
      <c r="I154" t="n">
        <v>11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Bergsslok</t>
        </is>
      </c>
      <c r="W154">
        <f>HYPERLINK("https://klasma.github.io/Logging_0581/artfynd/A 31325-2026 artfynd.xlsx", "A 31325-2026")</f>
        <v/>
      </c>
      <c r="X154">
        <f>HYPERLINK("https://klasma.github.io/Logging_0581/kartor/A 31325-2026 karta.png", "A 31325-2026")</f>
        <v/>
      </c>
      <c r="Y154">
        <f>HYPERLINK("https://klasma.github.io/Logging_0581/kartor_geotiff/A 31325-2026 georefererad karta.tif", "A 31325-2026")</f>
        <v/>
      </c>
      <c r="AA154">
        <f>HYPERLINK("https://klasma.github.io/Logging_0581/klagomål/A 31325-2026 FSC-klagomål.docx", "A 31325-2026")</f>
        <v/>
      </c>
      <c r="AB154">
        <f>HYPERLINK("https://klasma.github.io/Logging_0581/klagomålsmail/A 31325-2026 FSC-klagomål mail.docx", "A 31325-2026")</f>
        <v/>
      </c>
      <c r="AC154">
        <f>HYPERLINK("https://klasma.github.io/Logging_0581/tillsyn/A 31325-2026 tillsynsbegäran.docx", "A 31325-2026")</f>
        <v/>
      </c>
      <c r="AD154">
        <f>HYPERLINK("https://klasma.github.io/Logging_0581/tillsynsmail/A 31325-2026 tillsynsbegäran mail.docx", "A 31325-2026")</f>
        <v/>
      </c>
    </row>
    <row r="155" ht="15" customHeight="1">
      <c r="A155" t="inlineStr">
        <is>
          <t>A 2832-2026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46235</v>
      </c>
      <c r="F155" t="inlineStr">
        <is>
          <t>ÖSTERGÖTLANDS LÄN</t>
        </is>
      </c>
      <c r="G155" t="inlineStr">
        <is>
          <t>NORRKÖPING</t>
        </is>
      </c>
      <c r="I155" t="n">
        <v>5.5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Grönpyrola</t>
        </is>
      </c>
      <c r="W155">
        <f>HYPERLINK("https://klasma.github.io/Logging_0581/artfynd/A 2832-2026 artfynd.xlsx", "A 2832-2026")</f>
        <v/>
      </c>
      <c r="X155">
        <f>HYPERLINK("https://klasma.github.io/Logging_0581/kartor/A 2832-2026 karta.png", "A 2832-2026")</f>
        <v/>
      </c>
      <c r="Y155">
        <f>HYPERLINK("https://klasma.github.io/Logging_0581/kartor_geotiff/A 2832-2026 georefererad karta.tif", "A 2832-2026")</f>
        <v/>
      </c>
      <c r="AA155">
        <f>HYPERLINK("https://klasma.github.io/Logging_0581/klagomål/A 2832-2026 FSC-klagomål.docx", "A 2832-2026")</f>
        <v/>
      </c>
      <c r="AB155">
        <f>HYPERLINK("https://klasma.github.io/Logging_0581/klagomålsmail/A 2832-2026 FSC-klagomål mail.docx", "A 2832-2026")</f>
        <v/>
      </c>
      <c r="AC155">
        <f>HYPERLINK("https://klasma.github.io/Logging_0581/tillsyn/A 2832-2026 tillsynsbegäran.docx", "A 2832-2026")</f>
        <v/>
      </c>
      <c r="AD155">
        <f>HYPERLINK("https://klasma.github.io/Logging_0581/tillsynsmail/A 2832-2026 tillsynsbegäran mail.docx", "A 2832-2026")</f>
        <v/>
      </c>
    </row>
    <row r="156" ht="15" customHeight="1">
      <c r="A156" t="inlineStr">
        <is>
          <t>A 25707-2026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46178</v>
      </c>
      <c r="E156" s="1" t="n">
        <v>46235</v>
      </c>
      <c r="F156" t="inlineStr">
        <is>
          <t>ÖSTERGÖTLANDS LÄN</t>
        </is>
      </c>
      <c r="G156" t="inlineStr">
        <is>
          <t>NORRKÖPING</t>
        </is>
      </c>
      <c r="I156" t="n">
        <v>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HYPERLINK("https://klasma.github.io/Logging_0581/artfynd/A 25707-2026 artfynd.xlsx", "A 25707-2026")</f>
        <v/>
      </c>
      <c r="X156">
        <f>HYPERLINK("https://klasma.github.io/Logging_0581/kartor/A 25707-2026 karta.png", "A 25707-2026")</f>
        <v/>
      </c>
      <c r="Y156">
        <f>HYPERLINK("https://klasma.github.io/Logging_0581/kartor_geotiff/A 25707-2026 georefererad karta.tif", "A 25707-2026")</f>
        <v/>
      </c>
      <c r="AA156">
        <f>HYPERLINK("https://klasma.github.io/Logging_0581/klagomål/A 25707-2026 FSC-klagomål.docx", "A 25707-2026")</f>
        <v/>
      </c>
      <c r="AB156">
        <f>HYPERLINK("https://klasma.github.io/Logging_0581/klagomålsmail/A 25707-2026 FSC-klagomål mail.docx", "A 25707-2026")</f>
        <v/>
      </c>
      <c r="AC156">
        <f>HYPERLINK("https://klasma.github.io/Logging_0581/tillsyn/A 25707-2026 tillsynsbegäran.docx", "A 25707-2026")</f>
        <v/>
      </c>
      <c r="AD156">
        <f>HYPERLINK("https://klasma.github.io/Logging_0581/tillsynsmail/A 25707-2026 tillsynsbegäran mail.docx", "A 25707-2026")</f>
        <v/>
      </c>
    </row>
    <row r="157" ht="15" customHeight="1">
      <c r="A157" t="inlineStr">
        <is>
          <t>A 1077-2023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46235</v>
      </c>
      <c r="F157" t="inlineStr">
        <is>
          <t>ÖSTERGÖTLANDS LÄN</t>
        </is>
      </c>
      <c r="G157" t="inlineStr">
        <is>
          <t>NORRKÖPING</t>
        </is>
      </c>
      <c r="I157" t="n">
        <v>3.4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Äkta lopplummer</t>
        </is>
      </c>
      <c r="W157">
        <f>HYPERLINK("https://klasma.github.io/Logging_0581/artfynd/A 1077-2023 artfynd.xlsx", "A 1077-2023")</f>
        <v/>
      </c>
      <c r="X157">
        <f>HYPERLINK("https://klasma.github.io/Logging_0581/kartor/A 1077-2023 karta.png", "A 1077-2023")</f>
        <v/>
      </c>
      <c r="Y157">
        <f>HYPERLINK("https://klasma.github.io/Logging_0581/kartor_geotiff/A 1077-2023 georefererad karta.tif", "A 1077-2023")</f>
        <v/>
      </c>
      <c r="AA157">
        <f>HYPERLINK("https://klasma.github.io/Logging_0581/klagomål/A 1077-2023 FSC-klagomål.docx", "A 1077-2023")</f>
        <v/>
      </c>
      <c r="AB157">
        <f>HYPERLINK("https://klasma.github.io/Logging_0581/klagomålsmail/A 1077-2023 FSC-klagomål mail.docx", "A 1077-2023")</f>
        <v/>
      </c>
      <c r="AC157">
        <f>HYPERLINK("https://klasma.github.io/Logging_0581/tillsyn/A 1077-2023 tillsynsbegäran.docx", "A 1077-2023")</f>
        <v/>
      </c>
      <c r="AD157">
        <f>HYPERLINK("https://klasma.github.io/Logging_0581/tillsynsmail/A 1077-2023 tillsynsbegäran mail.docx", "A 1077-2023")</f>
        <v/>
      </c>
    </row>
    <row r="158" ht="15" customHeight="1">
      <c r="A158" t="inlineStr">
        <is>
          <t>A 12145-2024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46235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Allmännings- och besparingsskogar</t>
        </is>
      </c>
      <c r="I158" t="n">
        <v>10.4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Gullgröppa</t>
        </is>
      </c>
      <c r="W158">
        <f>HYPERLINK("https://klasma.github.io/Logging_0581/artfynd/A 12145-2024 artfynd.xlsx", "A 12145-2024")</f>
        <v/>
      </c>
      <c r="X158">
        <f>HYPERLINK("https://klasma.github.io/Logging_0581/kartor/A 12145-2024 karta.png", "A 12145-2024")</f>
        <v/>
      </c>
      <c r="Y158">
        <f>HYPERLINK("https://klasma.github.io/Logging_0581/kartor_geotiff/A 12145-2024 georefererad karta.tif", "A 12145-2024")</f>
        <v/>
      </c>
      <c r="AA158">
        <f>HYPERLINK("https://klasma.github.io/Logging_0581/klagomål/A 12145-2024 FSC-klagomål.docx", "A 12145-2024")</f>
        <v/>
      </c>
      <c r="AB158">
        <f>HYPERLINK("https://klasma.github.io/Logging_0581/klagomålsmail/A 12145-2024 FSC-klagomål mail.docx", "A 12145-2024")</f>
        <v/>
      </c>
      <c r="AC158">
        <f>HYPERLINK("https://klasma.github.io/Logging_0581/tillsyn/A 12145-2024 tillsynsbegäran.docx", "A 12145-2024")</f>
        <v/>
      </c>
      <c r="AD158">
        <f>HYPERLINK("https://klasma.github.io/Logging_0581/tillsynsmail/A 12145-2024 tillsynsbegäran mail.docx", "A 12145-2024")</f>
        <v/>
      </c>
    </row>
    <row r="159" ht="15" customHeight="1">
      <c r="A159" t="inlineStr">
        <is>
          <t>A 9790-2024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46235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Allmännings- och besparingsskogar</t>
        </is>
      </c>
      <c r="I159" t="n">
        <v>5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Mattlummer</t>
        </is>
      </c>
      <c r="W159">
        <f>HYPERLINK("https://klasma.github.io/Logging_0581/artfynd/A 9790-2024 artfynd.xlsx", "A 9790-2024")</f>
        <v/>
      </c>
      <c r="X159">
        <f>HYPERLINK("https://klasma.github.io/Logging_0581/kartor/A 9790-2024 karta.png", "A 9790-2024")</f>
        <v/>
      </c>
      <c r="Y159">
        <f>HYPERLINK("https://klasma.github.io/Logging_0581/kartor_geotiff/A 9790-2024 georefererad karta.tif", "A 9790-2024")</f>
        <v/>
      </c>
      <c r="AA159">
        <f>HYPERLINK("https://klasma.github.io/Logging_0581/klagomål/A 9790-2024 FSC-klagomål.docx", "A 9790-2024")</f>
        <v/>
      </c>
      <c r="AB159">
        <f>HYPERLINK("https://klasma.github.io/Logging_0581/klagomålsmail/A 9790-2024 FSC-klagomål mail.docx", "A 9790-2024")</f>
        <v/>
      </c>
      <c r="AC159">
        <f>HYPERLINK("https://klasma.github.io/Logging_0581/tillsyn/A 9790-2024 tillsynsbegäran.docx", "A 9790-2024")</f>
        <v/>
      </c>
      <c r="AD159">
        <f>HYPERLINK("https://klasma.github.io/Logging_0581/tillsynsmail/A 9790-2024 tillsynsbegäran mail.docx", "A 9790-2024")</f>
        <v/>
      </c>
    </row>
    <row r="160" ht="15" customHeight="1">
      <c r="A160" t="inlineStr">
        <is>
          <t>A 31660-2026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46225</v>
      </c>
      <c r="E160" s="1" t="n">
        <v>46235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31660-2026 artfynd.xlsx", "A 31660-2026")</f>
        <v/>
      </c>
      <c r="X160">
        <f>HYPERLINK("https://klasma.github.io/Logging_0581/kartor/A 31660-2026 karta.png", "A 31660-2026")</f>
        <v/>
      </c>
      <c r="Y160">
        <f>HYPERLINK("https://klasma.github.io/Logging_0581/kartor_geotiff/A 31660-2026 georefererad karta.tif", "A 31660-2026")</f>
        <v/>
      </c>
      <c r="AA160">
        <f>HYPERLINK("https://klasma.github.io/Logging_0581/klagomål/A 31660-2026 FSC-klagomål.docx", "A 31660-2026")</f>
        <v/>
      </c>
      <c r="AB160">
        <f>HYPERLINK("https://klasma.github.io/Logging_0581/klagomålsmail/A 31660-2026 FSC-klagomål mail.docx", "A 31660-2026")</f>
        <v/>
      </c>
      <c r="AC160">
        <f>HYPERLINK("https://klasma.github.io/Logging_0581/tillsyn/A 31660-2026 tillsynsbegäran.docx", "A 31660-2026")</f>
        <v/>
      </c>
      <c r="AD160">
        <f>HYPERLINK("https://klasma.github.io/Logging_0581/tillsynsmail/A 31660-2026 tillsynsbegäran mail.docx", "A 31660-2026")</f>
        <v/>
      </c>
    </row>
    <row r="161" ht="15" customHeight="1">
      <c r="A161" t="inlineStr">
        <is>
          <t>A 31892-2026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46235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2.9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HYPERLINK("https://klasma.github.io/Logging_0581/artfynd/A 31892-2026 artfynd.xlsx", "A 31892-2026")</f>
        <v/>
      </c>
      <c r="X161">
        <f>HYPERLINK("https://klasma.github.io/Logging_0581/kartor/A 31892-2026 karta.png", "A 31892-2026")</f>
        <v/>
      </c>
      <c r="Y161">
        <f>HYPERLINK("https://klasma.github.io/Logging_0581/kartor_geotiff/A 31892-2026 georefererad karta.tif", "A 31892-2026")</f>
        <v/>
      </c>
      <c r="AA161">
        <f>HYPERLINK("https://klasma.github.io/Logging_0581/klagomål/A 31892-2026 FSC-klagomål.docx", "A 31892-2026")</f>
        <v/>
      </c>
      <c r="AB161">
        <f>HYPERLINK("https://klasma.github.io/Logging_0581/klagomålsmail/A 31892-2026 FSC-klagomål mail.docx", "A 31892-2026")</f>
        <v/>
      </c>
      <c r="AC161">
        <f>HYPERLINK("https://klasma.github.io/Logging_0581/tillsyn/A 31892-2026 tillsynsbegäran.docx", "A 31892-2026")</f>
        <v/>
      </c>
      <c r="AD161">
        <f>HYPERLINK("https://klasma.github.io/Logging_0581/tillsynsmail/A 31892-2026 tillsynsbegäran mail.docx", "A 31892-2026")</f>
        <v/>
      </c>
    </row>
    <row r="162" ht="15" customHeight="1">
      <c r="A162" t="inlineStr">
        <is>
          <t>A 46957-2023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46235</v>
      </c>
      <c r="F162" t="inlineStr">
        <is>
          <t>ÖSTERGÖTLANDS LÄN</t>
        </is>
      </c>
      <c r="G162" t="inlineStr">
        <is>
          <t>NORRKÖPING</t>
        </is>
      </c>
      <c r="I162" t="n">
        <v>1.8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Vedskivlav</t>
        </is>
      </c>
      <c r="W162">
        <f>HYPERLINK("https://klasma.github.io/Logging_0581/artfynd/A 46957-2023 artfynd.xlsx", "A 46957-2023")</f>
        <v/>
      </c>
      <c r="X162">
        <f>HYPERLINK("https://klasma.github.io/Logging_0581/kartor/A 46957-2023 karta.png", "A 46957-2023")</f>
        <v/>
      </c>
      <c r="Y162">
        <f>HYPERLINK("https://klasma.github.io/Logging_0581/kartor_geotiff/A 46957-2023 georefererad karta.tif", "A 46957-2023")</f>
        <v/>
      </c>
      <c r="AA162">
        <f>HYPERLINK("https://klasma.github.io/Logging_0581/klagomål/A 46957-2023 FSC-klagomål.docx", "A 46957-2023")</f>
        <v/>
      </c>
      <c r="AB162">
        <f>HYPERLINK("https://klasma.github.io/Logging_0581/klagomålsmail/A 46957-2023 FSC-klagomål mail.docx", "A 46957-2023")</f>
        <v/>
      </c>
      <c r="AC162">
        <f>HYPERLINK("https://klasma.github.io/Logging_0581/tillsyn/A 46957-2023 tillsynsbegäran.docx", "A 46957-2023")</f>
        <v/>
      </c>
      <c r="AD162">
        <f>HYPERLINK("https://klasma.github.io/Logging_0581/tillsynsmail/A 46957-2023 tillsynsbegäran mail.docx", "A 46957-2023")</f>
        <v/>
      </c>
    </row>
    <row r="163" ht="15" customHeight="1">
      <c r="A163" t="inlineStr">
        <is>
          <t>A 11714-2026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46084</v>
      </c>
      <c r="E163" s="1" t="n">
        <v>46235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2.9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Gulsparv</t>
        </is>
      </c>
      <c r="W163">
        <f>HYPERLINK("https://klasma.github.io/Logging_0581/artfynd/A 11714-2026 artfynd.xlsx", "A 11714-2026")</f>
        <v/>
      </c>
      <c r="X163">
        <f>HYPERLINK("https://klasma.github.io/Logging_0581/kartor/A 11714-2026 karta.png", "A 11714-2026")</f>
        <v/>
      </c>
      <c r="Y163">
        <f>HYPERLINK("https://klasma.github.io/Logging_0581/kartor_geotiff/A 11714-2026 georefererad karta.tif", "A 11714-2026")</f>
        <v/>
      </c>
      <c r="AA163">
        <f>HYPERLINK("https://klasma.github.io/Logging_0581/klagomål/A 11714-2026 FSC-klagomål.docx", "A 11714-2026")</f>
        <v/>
      </c>
      <c r="AB163">
        <f>HYPERLINK("https://klasma.github.io/Logging_0581/klagomålsmail/A 11714-2026 FSC-klagomål mail.docx", "A 11714-2026")</f>
        <v/>
      </c>
      <c r="AC163">
        <f>HYPERLINK("https://klasma.github.io/Logging_0581/tillsyn/A 11714-2026 tillsynsbegäran.docx", "A 11714-2026")</f>
        <v/>
      </c>
      <c r="AD163">
        <f>HYPERLINK("https://klasma.github.io/Logging_0581/tillsynsmail/A 11714-2026 tillsynsbegäran mail.docx", "A 11714-2026")</f>
        <v/>
      </c>
      <c r="AE163">
        <f>HYPERLINK("https://klasma.github.io/Logging_0581/fåglar/A 11714-2026 prioriterade fågelarter.docx", "A 11714-2026")</f>
        <v/>
      </c>
    </row>
    <row r="164" ht="15" customHeight="1">
      <c r="A164" t="inlineStr">
        <is>
          <t>A 27107-2023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46235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0.5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Svartvit flugsnappare</t>
        </is>
      </c>
      <c r="W164">
        <f>HYPERLINK("https://klasma.github.io/Logging_0581/artfynd/A 27107-2023 artfynd.xlsx", "A 27107-2023")</f>
        <v/>
      </c>
      <c r="X164">
        <f>HYPERLINK("https://klasma.github.io/Logging_0581/kartor/A 27107-2023 karta.png", "A 27107-2023")</f>
        <v/>
      </c>
      <c r="Y164">
        <f>HYPERLINK("https://klasma.github.io/Logging_0581/kartor_geotiff/A 27107-2023 georefererad karta.tif", "A 27107-2023")</f>
        <v/>
      </c>
      <c r="AA164">
        <f>HYPERLINK("https://klasma.github.io/Logging_0581/klagomål/A 27107-2023 FSC-klagomål.docx", "A 27107-2023")</f>
        <v/>
      </c>
      <c r="AB164">
        <f>HYPERLINK("https://klasma.github.io/Logging_0581/klagomålsmail/A 27107-2023 FSC-klagomål mail.docx", "A 27107-2023")</f>
        <v/>
      </c>
      <c r="AC164">
        <f>HYPERLINK("https://klasma.github.io/Logging_0581/tillsyn/A 27107-2023 tillsynsbegäran.docx", "A 27107-2023")</f>
        <v/>
      </c>
      <c r="AD164">
        <f>HYPERLINK("https://klasma.github.io/Logging_0581/tillsynsmail/A 27107-2023 tillsynsbegäran mail.docx", "A 27107-2023")</f>
        <v/>
      </c>
    </row>
    <row r="165" ht="15" customHeight="1">
      <c r="A165" t="inlineStr">
        <is>
          <t>A 58318-2023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46235</v>
      </c>
      <c r="F165" t="inlineStr">
        <is>
          <t>ÖSTERGÖTLANDS LÄN</t>
        </is>
      </c>
      <c r="G165" t="inlineStr">
        <is>
          <t>NORRKÖPING</t>
        </is>
      </c>
      <c r="I165" t="n">
        <v>4.2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Havsörn</t>
        </is>
      </c>
      <c r="W165">
        <f>HYPERLINK("https://klasma.github.io/Logging_0581/artfynd/A 58318-2023 artfynd.xlsx", "A 58318-2023")</f>
        <v/>
      </c>
      <c r="X165">
        <f>HYPERLINK("https://klasma.github.io/Logging_0581/kartor/A 58318-2023 karta.png", "A 58318-2023")</f>
        <v/>
      </c>
      <c r="Y165">
        <f>HYPERLINK("https://klasma.github.io/Logging_0581/kartor_geotiff/A 58318-2023 georefererad karta.tif", "A 58318-2023")</f>
        <v/>
      </c>
      <c r="AA165">
        <f>HYPERLINK("https://klasma.github.io/Logging_0581/klagomål/A 58318-2023 FSC-klagomål.docx", "A 58318-2023")</f>
        <v/>
      </c>
      <c r="AB165">
        <f>HYPERLINK("https://klasma.github.io/Logging_0581/klagomålsmail/A 58318-2023 FSC-klagomål mail.docx", "A 58318-2023")</f>
        <v/>
      </c>
      <c r="AC165">
        <f>HYPERLINK("https://klasma.github.io/Logging_0581/tillsyn/A 58318-2023 tillsynsbegäran.docx", "A 58318-2023")</f>
        <v/>
      </c>
      <c r="AD165">
        <f>HYPERLINK("https://klasma.github.io/Logging_0581/tillsynsmail/A 58318-2023 tillsynsbegäran mail.docx", "A 58318-2023")</f>
        <v/>
      </c>
      <c r="AE165">
        <f>HYPERLINK("https://klasma.github.io/Logging_0581/fåglar/A 58318-2023 prioriterade fågelarter.docx", "A 58318-2023")</f>
        <v/>
      </c>
    </row>
    <row r="166" ht="15" customHeight="1">
      <c r="A166" t="inlineStr">
        <is>
          <t>A 15870-2024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45405</v>
      </c>
      <c r="E166" s="1" t="n">
        <v>46235</v>
      </c>
      <c r="F166" t="inlineStr">
        <is>
          <t>ÖSTERGÖTLANDS LÄN</t>
        </is>
      </c>
      <c r="G166" t="inlineStr">
        <is>
          <t>NORRKÖPING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Mörk dunört</t>
        </is>
      </c>
      <c r="W166">
        <f>HYPERLINK("https://klasma.github.io/Logging_0581/artfynd/A 15870-2024 artfynd.xlsx", "A 15870-2024")</f>
        <v/>
      </c>
      <c r="X166">
        <f>HYPERLINK("https://klasma.github.io/Logging_0581/kartor/A 15870-2024 karta.png", "A 15870-2024")</f>
        <v/>
      </c>
      <c r="Y166">
        <f>HYPERLINK("https://klasma.github.io/Logging_0581/kartor_geotiff/A 15870-2024 georefererad karta.tif", "A 15870-2024")</f>
        <v/>
      </c>
      <c r="AA166">
        <f>HYPERLINK("https://klasma.github.io/Logging_0581/klagomål/A 15870-2024 FSC-klagomål.docx", "A 15870-2024")</f>
        <v/>
      </c>
      <c r="AB166">
        <f>HYPERLINK("https://klasma.github.io/Logging_0581/klagomålsmail/A 15870-2024 FSC-klagomål mail.docx", "A 15870-2024")</f>
        <v/>
      </c>
      <c r="AC166">
        <f>HYPERLINK("https://klasma.github.io/Logging_0581/tillsyn/A 15870-2024 tillsynsbegäran.docx", "A 15870-2024")</f>
        <v/>
      </c>
      <c r="AD166">
        <f>HYPERLINK("https://klasma.github.io/Logging_0581/tillsynsmail/A 15870-2024 tillsynsbegäran mail.docx", "A 15870-2024")</f>
        <v/>
      </c>
    </row>
    <row r="167" ht="15" customHeight="1">
      <c r="A167" t="inlineStr">
        <is>
          <t>A 11520-2025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45726</v>
      </c>
      <c r="E167" s="1" t="n">
        <v>46235</v>
      </c>
      <c r="F167" t="inlineStr">
        <is>
          <t>ÖSTERGÖTLANDS LÄN</t>
        </is>
      </c>
      <c r="G167" t="inlineStr">
        <is>
          <t>NORRKÖPING</t>
        </is>
      </c>
      <c r="I167" t="n">
        <v>1.7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Myskbock</t>
        </is>
      </c>
      <c r="W167">
        <f>HYPERLINK("https://klasma.github.io/Logging_0581/artfynd/A 11520-2025 artfynd.xlsx", "A 11520-2025")</f>
        <v/>
      </c>
      <c r="X167">
        <f>HYPERLINK("https://klasma.github.io/Logging_0581/kartor/A 11520-2025 karta.png", "A 11520-2025")</f>
        <v/>
      </c>
      <c r="Y167">
        <f>HYPERLINK("https://klasma.github.io/Logging_0581/kartor_geotiff/A 11520-2025 georefererad karta.tif", "A 11520-2025")</f>
        <v/>
      </c>
      <c r="AA167">
        <f>HYPERLINK("https://klasma.github.io/Logging_0581/klagomål/A 11520-2025 FSC-klagomål.docx", "A 11520-2025")</f>
        <v/>
      </c>
      <c r="AB167">
        <f>HYPERLINK("https://klasma.github.io/Logging_0581/klagomålsmail/A 11520-2025 FSC-klagomål mail.docx", "A 11520-2025")</f>
        <v/>
      </c>
      <c r="AC167">
        <f>HYPERLINK("https://klasma.github.io/Logging_0581/tillsyn/A 11520-2025 tillsynsbegäran.docx", "A 11520-2025")</f>
        <v/>
      </c>
      <c r="AD167">
        <f>HYPERLINK("https://klasma.github.io/Logging_0581/tillsynsmail/A 11520-2025 tillsynsbegäran mail.docx", "A 11520-2025")</f>
        <v/>
      </c>
    </row>
    <row r="168" ht="15" customHeight="1">
      <c r="A168" t="inlineStr">
        <is>
          <t>A 8245-2023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44974</v>
      </c>
      <c r="E168" s="1" t="n">
        <v>46235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1.7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Svedjenäva</t>
        </is>
      </c>
      <c r="W168">
        <f>HYPERLINK("https://klasma.github.io/Logging_0581/artfynd/A 8245-2023 artfynd.xlsx", "A 8245-2023")</f>
        <v/>
      </c>
      <c r="X168">
        <f>HYPERLINK("https://klasma.github.io/Logging_0581/kartor/A 8245-2023 karta.png", "A 8245-2023")</f>
        <v/>
      </c>
      <c r="Y168">
        <f>HYPERLINK("https://klasma.github.io/Logging_0581/kartor_geotiff/A 8245-2023 georefererad karta.tif", "A 8245-2023")</f>
        <v/>
      </c>
      <c r="AA168">
        <f>HYPERLINK("https://klasma.github.io/Logging_0581/klagomål/A 8245-2023 FSC-klagomål.docx", "A 8245-2023")</f>
        <v/>
      </c>
      <c r="AB168">
        <f>HYPERLINK("https://klasma.github.io/Logging_0581/klagomålsmail/A 8245-2023 FSC-klagomål mail.docx", "A 8245-2023")</f>
        <v/>
      </c>
      <c r="AC168">
        <f>HYPERLINK("https://klasma.github.io/Logging_0581/tillsyn/A 8245-2023 tillsynsbegäran.docx", "A 8245-2023")</f>
        <v/>
      </c>
      <c r="AD168">
        <f>HYPERLINK("https://klasma.github.io/Logging_0581/tillsynsmail/A 8245-2023 tillsynsbegäran mail.docx", "A 8245-2023")</f>
        <v/>
      </c>
    </row>
    <row r="169" ht="15" customHeight="1">
      <c r="A169" t="inlineStr">
        <is>
          <t>A 31897-2022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44777</v>
      </c>
      <c r="E169" s="1" t="n">
        <v>46235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Kommuner</t>
        </is>
      </c>
      <c r="I169" t="n">
        <v>1.8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Grönpyrola</t>
        </is>
      </c>
      <c r="W169">
        <f>HYPERLINK("https://klasma.github.io/Logging_0581/artfynd/A 31897-2022 artfynd.xlsx", "A 31897-2022")</f>
        <v/>
      </c>
      <c r="X169">
        <f>HYPERLINK("https://klasma.github.io/Logging_0581/kartor/A 31897-2022 karta.png", "A 31897-2022")</f>
        <v/>
      </c>
      <c r="Y169">
        <f>HYPERLINK("https://klasma.github.io/Logging_0581/kartor_geotiff/A 31897-2022 georefererad karta.tif", "A 31897-2022")</f>
        <v/>
      </c>
      <c r="AA169">
        <f>HYPERLINK("https://klasma.github.io/Logging_0581/klagomål/A 31897-2022 FSC-klagomål.docx", "A 31897-2022")</f>
        <v/>
      </c>
      <c r="AB169">
        <f>HYPERLINK("https://klasma.github.io/Logging_0581/klagomålsmail/A 31897-2022 FSC-klagomål mail.docx", "A 31897-2022")</f>
        <v/>
      </c>
      <c r="AC169">
        <f>HYPERLINK("https://klasma.github.io/Logging_0581/tillsyn/A 31897-2022 tillsynsbegäran.docx", "A 31897-2022")</f>
        <v/>
      </c>
      <c r="AD169">
        <f>HYPERLINK("https://klasma.github.io/Logging_0581/tillsynsmail/A 31897-2022 tillsynsbegäran mail.docx", "A 31897-2022")</f>
        <v/>
      </c>
    </row>
    <row r="170" ht="15" customHeight="1">
      <c r="A170" t="inlineStr">
        <is>
          <t>A 57772-2022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46235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Fällmossa</t>
        </is>
      </c>
      <c r="W170">
        <f>HYPERLINK("https://klasma.github.io/Logging_0581/artfynd/A 57772-2022 artfynd.xlsx", "A 57772-2022")</f>
        <v/>
      </c>
      <c r="X170">
        <f>HYPERLINK("https://klasma.github.io/Logging_0581/kartor/A 57772-2022 karta.png", "A 57772-2022")</f>
        <v/>
      </c>
      <c r="Y170">
        <f>HYPERLINK("https://klasma.github.io/Logging_0581/kartor_geotiff/A 57772-2022 georefererad karta.tif", "A 57772-2022")</f>
        <v/>
      </c>
      <c r="AA170">
        <f>HYPERLINK("https://klasma.github.io/Logging_0581/klagomål/A 57772-2022 FSC-klagomål.docx", "A 57772-2022")</f>
        <v/>
      </c>
      <c r="AB170">
        <f>HYPERLINK("https://klasma.github.io/Logging_0581/klagomålsmail/A 57772-2022 FSC-klagomål mail.docx", "A 57772-2022")</f>
        <v/>
      </c>
      <c r="AC170">
        <f>HYPERLINK("https://klasma.github.io/Logging_0581/tillsyn/A 57772-2022 tillsynsbegäran.docx", "A 57772-2022")</f>
        <v/>
      </c>
      <c r="AD170">
        <f>HYPERLINK("https://klasma.github.io/Logging_0581/tillsynsmail/A 57772-2022 tillsynsbegäran mail.docx", "A 57772-2022")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46235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46235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46235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46235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46235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46235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46235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3108-2022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44582</v>
      </c>
      <c r="E178" s="1" t="n">
        <v>46235</v>
      </c>
      <c r="F178" t="inlineStr">
        <is>
          <t>ÖSTERGÖTLANDS LÄN</t>
        </is>
      </c>
      <c r="G178" t="inlineStr">
        <is>
          <t>NORRKÖPING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46235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46235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50136-2021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44456</v>
      </c>
      <c r="E181" s="1" t="n">
        <v>46235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46235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62406-2021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46235</v>
      </c>
      <c r="F183" t="inlineStr">
        <is>
          <t>ÖSTERGÖTLANDS LÄN</t>
        </is>
      </c>
      <c r="G183" t="inlineStr">
        <is>
          <t>NORRKÖPING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46235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46235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46235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45381-2021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44440</v>
      </c>
      <c r="E187" s="1" t="n">
        <v>46235</v>
      </c>
      <c r="F187" t="inlineStr">
        <is>
          <t>ÖSTERGÖTLANDS LÄN</t>
        </is>
      </c>
      <c r="G187" t="inlineStr">
        <is>
          <t>NORRKÖPING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46235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47899-2021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44448</v>
      </c>
      <c r="E189" s="1" t="n">
        <v>46235</v>
      </c>
      <c r="F189" t="inlineStr">
        <is>
          <t>ÖSTERGÖTLANDS LÄN</t>
        </is>
      </c>
      <c r="G189" t="inlineStr">
        <is>
          <t>NORRKÖPING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46235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46235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46235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46235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44432</v>
      </c>
      <c r="E194" s="1" t="n">
        <v>46235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44433</v>
      </c>
      <c r="E195" s="1" t="n">
        <v>46235</v>
      </c>
      <c r="F195" t="inlineStr">
        <is>
          <t>ÖSTERGÖTLANDS LÄN</t>
        </is>
      </c>
      <c r="G195" t="inlineStr">
        <is>
          <t>NORRKÖPING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46235</v>
      </c>
      <c r="F196" t="inlineStr">
        <is>
          <t>ÖSTERGÖTLANDS LÄN</t>
        </is>
      </c>
      <c r="G196" t="inlineStr">
        <is>
          <t>NORRKÖPING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46235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44671</v>
      </c>
      <c r="E198" s="1" t="n">
        <v>46235</v>
      </c>
      <c r="F198" t="inlineStr">
        <is>
          <t>ÖSTERGÖTLANDS LÄN</t>
        </is>
      </c>
      <c r="G198" t="inlineStr">
        <is>
          <t>NORRKÖPING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46235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69065-2021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46235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65336-2021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44515</v>
      </c>
      <c r="E201" s="1" t="n">
        <v>46235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46235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46235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55488-2021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46235</v>
      </c>
      <c r="F204" t="inlineStr">
        <is>
          <t>ÖSTERGÖTLANDS LÄN</t>
        </is>
      </c>
      <c r="G204" t="inlineStr">
        <is>
          <t>NORRKÖPING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46235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44630</v>
      </c>
      <c r="E206" s="1" t="n">
        <v>46235</v>
      </c>
      <c r="F206" t="inlineStr">
        <is>
          <t>ÖSTERGÖTLANDS LÄN</t>
        </is>
      </c>
      <c r="G206" t="inlineStr">
        <is>
          <t>NORRKÖPING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47252-2021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44447</v>
      </c>
      <c r="E207" s="1" t="n">
        <v>46235</v>
      </c>
      <c r="F207" t="inlineStr">
        <is>
          <t>ÖSTERGÖTLANDS LÄN</t>
        </is>
      </c>
      <c r="G207" t="inlineStr">
        <is>
          <t>NORRKÖPING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69038-2021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46235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62574-2021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44503</v>
      </c>
      <c r="E209" s="1" t="n">
        <v>46235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44459</v>
      </c>
      <c r="E210" s="1" t="n">
        <v>46235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47125-2021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44446</v>
      </c>
      <c r="E211" s="1" t="n">
        <v>46235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53366-2022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46235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50306-2021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44459</v>
      </c>
      <c r="E213" s="1" t="n">
        <v>46235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55429-2021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44475</v>
      </c>
      <c r="E214" s="1" t="n">
        <v>46235</v>
      </c>
      <c r="F214" t="inlineStr">
        <is>
          <t>ÖSTERGÖTLANDS LÄN</t>
        </is>
      </c>
      <c r="G214" t="inlineStr">
        <is>
          <t>NORRKÖPING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44574</v>
      </c>
      <c r="E215" s="1" t="n">
        <v>46235</v>
      </c>
      <c r="F215" t="inlineStr">
        <is>
          <t>ÖSTERGÖTLANDS LÄN</t>
        </is>
      </c>
      <c r="G215" t="inlineStr">
        <is>
          <t>NORRKÖPING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44686</v>
      </c>
      <c r="E216" s="1" t="n">
        <v>46235</v>
      </c>
      <c r="F216" t="inlineStr">
        <is>
          <t>ÖSTERGÖTLANDS LÄN</t>
        </is>
      </c>
      <c r="G216" t="inlineStr">
        <is>
          <t>NORRKÖPING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46235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56032-2022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44889</v>
      </c>
      <c r="E218" s="1" t="n">
        <v>46235</v>
      </c>
      <c r="F218" t="inlineStr">
        <is>
          <t>ÖSTERGÖTLANDS LÄN</t>
        </is>
      </c>
      <c r="G218" t="inlineStr">
        <is>
          <t>NORRKÖPING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48492-2021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44452</v>
      </c>
      <c r="E219" s="1" t="n">
        <v>46235</v>
      </c>
      <c r="F219" t="inlineStr">
        <is>
          <t>ÖSTERGÖTLANDS LÄN</t>
        </is>
      </c>
      <c r="G219" t="inlineStr">
        <is>
          <t>NORRKÖPING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46235</v>
      </c>
      <c r="F220" t="inlineStr">
        <is>
          <t>ÖSTERGÖTLANDS LÄN</t>
        </is>
      </c>
      <c r="G220" t="inlineStr">
        <is>
          <t>NORRKÖPING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46235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46235</v>
      </c>
      <c r="F222" t="inlineStr">
        <is>
          <t>ÖSTERGÖTLANDS LÄN</t>
        </is>
      </c>
      <c r="G222" t="inlineStr">
        <is>
          <t>NORRKÖPING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46235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44730</v>
      </c>
      <c r="E224" s="1" t="n">
        <v>46235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46235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BillerudKorsnäs AB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54958-2022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46235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Holmen skog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48230-2021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46235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Allmännings- och besparingsskogar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44432</v>
      </c>
      <c r="E228" s="1" t="n">
        <v>46235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46235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Allmännings- och besparingsskogar</t>
        </is>
      </c>
      <c r="I229" t="n">
        <v>10.3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46235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45093</v>
      </c>
      <c r="E231" s="1" t="n">
        <v>46235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46235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18661-2023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45043</v>
      </c>
      <c r="E233" s="1" t="n">
        <v>46235</v>
      </c>
      <c r="F233" t="inlineStr">
        <is>
          <t>ÖSTERGÖTLANDS LÄN</t>
        </is>
      </c>
      <c r="G233" t="inlineStr">
        <is>
          <t>NORRKÖPING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44487</v>
      </c>
      <c r="E234" s="1" t="n">
        <v>46235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44596</v>
      </c>
      <c r="E235" s="1" t="n">
        <v>46235</v>
      </c>
      <c r="F235" t="inlineStr">
        <is>
          <t>ÖSTERGÖTLANDS LÄN</t>
        </is>
      </c>
      <c r="G235" t="inlineStr">
        <is>
          <t>NORRKÖPING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44874</v>
      </c>
      <c r="E236" s="1" t="n">
        <v>46235</v>
      </c>
      <c r="F236" t="inlineStr">
        <is>
          <t>ÖSTERGÖTLANDS LÄN</t>
        </is>
      </c>
      <c r="G236" t="inlineStr">
        <is>
          <t>NORRKÖPING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53444-2021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44468</v>
      </c>
      <c r="E237" s="1" t="n">
        <v>46235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44861</v>
      </c>
      <c r="E238" s="1" t="n">
        <v>46235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58525-2021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44488</v>
      </c>
      <c r="E239" s="1" t="n">
        <v>46235</v>
      </c>
      <c r="F239" t="inlineStr">
        <is>
          <t>ÖSTERGÖTLANDS LÄN</t>
        </is>
      </c>
      <c r="G239" t="inlineStr">
        <is>
          <t>NORRKÖPING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45096</v>
      </c>
      <c r="E240" s="1" t="n">
        <v>46235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45008</v>
      </c>
      <c r="E241" s="1" t="n">
        <v>46235</v>
      </c>
      <c r="F241" t="inlineStr">
        <is>
          <t>ÖSTERGÖTLANDS LÄN</t>
        </is>
      </c>
      <c r="G241" t="inlineStr">
        <is>
          <t>NORRKÖPING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45947-2021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44441</v>
      </c>
      <c r="E242" s="1" t="n">
        <v>46235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44936</v>
      </c>
      <c r="E243" s="1" t="n">
        <v>46235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46235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45030</v>
      </c>
      <c r="E245" s="1" t="n">
        <v>46235</v>
      </c>
      <c r="F245" t="inlineStr">
        <is>
          <t>ÖSTERGÖTLANDS LÄN</t>
        </is>
      </c>
      <c r="G245" t="inlineStr">
        <is>
          <t>NORRKÖPING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44630</v>
      </c>
      <c r="E246" s="1" t="n">
        <v>46235</v>
      </c>
      <c r="F246" t="inlineStr">
        <is>
          <t>ÖSTERGÖTLANDS LÄN</t>
        </is>
      </c>
      <c r="G246" t="inlineStr">
        <is>
          <t>NORRKÖPING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48591-2021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44452</v>
      </c>
      <c r="E247" s="1" t="n">
        <v>46235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62028-2023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46235</v>
      </c>
      <c r="F248" t="inlineStr">
        <is>
          <t>ÖSTERGÖTLANDS LÄN</t>
        </is>
      </c>
      <c r="G248" t="inlineStr">
        <is>
          <t>NORRKÖPING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30315-2024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45490</v>
      </c>
      <c r="E249" s="1" t="n">
        <v>46235</v>
      </c>
      <c r="F249" t="inlineStr">
        <is>
          <t>ÖSTERGÖTLANDS LÄN</t>
        </is>
      </c>
      <c r="G249" t="inlineStr">
        <is>
          <t>NORRKÖPING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44930</v>
      </c>
      <c r="E250" s="1" t="n">
        <v>46235</v>
      </c>
      <c r="F250" t="inlineStr">
        <is>
          <t>ÖSTERGÖTLANDS LÄN</t>
        </is>
      </c>
      <c r="G250" t="inlineStr">
        <is>
          <t>NORRKÖPING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46580-2021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44445</v>
      </c>
      <c r="E251" s="1" t="n">
        <v>46235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44936</v>
      </c>
      <c r="E252" s="1" t="n">
        <v>46235</v>
      </c>
      <c r="F252" t="inlineStr">
        <is>
          <t>ÖSTERGÖTLANDS LÄN</t>
        </is>
      </c>
      <c r="G252" t="inlineStr">
        <is>
          <t>NORRKÖPING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51419-2022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46235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46235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Allmännings- och besparingsskogar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45709</v>
      </c>
      <c r="E255" s="1" t="n">
        <v>46235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46235</v>
      </c>
      <c r="F256" t="inlineStr">
        <is>
          <t>ÖSTERGÖTLANDS LÄN</t>
        </is>
      </c>
      <c r="G256" t="inlineStr">
        <is>
          <t>NORRKÖPING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41367-2023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46235</v>
      </c>
      <c r="F257" t="inlineStr">
        <is>
          <t>ÖSTERGÖTLANDS LÄN</t>
        </is>
      </c>
      <c r="G257" t="inlineStr">
        <is>
          <t>NORRKÖPING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45174</v>
      </c>
      <c r="E258" s="1" t="n">
        <v>46235</v>
      </c>
      <c r="F258" t="inlineStr">
        <is>
          <t>ÖSTERGÖTLANDS LÄN</t>
        </is>
      </c>
      <c r="G258" t="inlineStr">
        <is>
          <t>NORRKÖPING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45405</v>
      </c>
      <c r="E259" s="1" t="n">
        <v>46235</v>
      </c>
      <c r="F259" t="inlineStr">
        <is>
          <t>ÖSTERGÖTLANDS LÄN</t>
        </is>
      </c>
      <c r="G259" t="inlineStr">
        <is>
          <t>NORRKÖPING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56331-2022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46235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44992</v>
      </c>
      <c r="E261" s="1" t="n">
        <v>46235</v>
      </c>
      <c r="F261" t="inlineStr">
        <is>
          <t>ÖSTERGÖTLANDS LÄN</t>
        </is>
      </c>
      <c r="G261" t="inlineStr">
        <is>
          <t>NORRKÖPING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45362-2021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44439</v>
      </c>
      <c r="E262" s="1" t="n">
        <v>46235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Allmännings- och besparingsskogar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45268</v>
      </c>
      <c r="E263" s="1" t="n">
        <v>46235</v>
      </c>
      <c r="F263" t="inlineStr">
        <is>
          <t>ÖSTERGÖTLANDS LÄN</t>
        </is>
      </c>
      <c r="G263" t="inlineStr">
        <is>
          <t>NORRKÖPING</t>
        </is>
      </c>
      <c r="I263" t="n">
        <v>12.5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45043</v>
      </c>
      <c r="E264" s="1" t="n">
        <v>46235</v>
      </c>
      <c r="F264" t="inlineStr">
        <is>
          <t>ÖSTERGÖTLANDS LÄN</t>
        </is>
      </c>
      <c r="G264" t="inlineStr">
        <is>
          <t>NORRKÖPING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14901-2023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45014</v>
      </c>
      <c r="E265" s="1" t="n">
        <v>46235</v>
      </c>
      <c r="F265" t="inlineStr">
        <is>
          <t>ÖSTERGÖTLANDS LÄN</t>
        </is>
      </c>
      <c r="G265" t="inlineStr">
        <is>
          <t>NORRKÖPING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50117-2023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45215</v>
      </c>
      <c r="E266" s="1" t="n">
        <v>46235</v>
      </c>
      <c r="F266" t="inlineStr">
        <is>
          <t>ÖSTERGÖTLANDS LÄN</t>
        </is>
      </c>
      <c r="G266" t="inlineStr">
        <is>
          <t>NORRKÖPING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45414</v>
      </c>
      <c r="E267" s="1" t="n">
        <v>46235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44825</v>
      </c>
      <c r="E268" s="1" t="n">
        <v>46235</v>
      </c>
      <c r="F268" t="inlineStr">
        <is>
          <t>ÖSTERGÖTLANDS LÄN</t>
        </is>
      </c>
      <c r="G268" t="inlineStr">
        <is>
          <t>NORRKÖPING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50157-2022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44865</v>
      </c>
      <c r="E269" s="1" t="n">
        <v>46235</v>
      </c>
      <c r="F269" t="inlineStr">
        <is>
          <t>ÖSTERGÖTLANDS LÄN</t>
        </is>
      </c>
      <c r="G269" t="inlineStr">
        <is>
          <t>NORRKÖPING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22956-2023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45072</v>
      </c>
      <c r="E270" s="1" t="n">
        <v>46235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49799-2022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44862</v>
      </c>
      <c r="E271" s="1" t="n">
        <v>46235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18667-2023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45043</v>
      </c>
      <c r="E272" s="1" t="n">
        <v>46235</v>
      </c>
      <c r="F272" t="inlineStr">
        <is>
          <t>ÖSTERGÖTLANDS LÄN</t>
        </is>
      </c>
      <c r="G272" t="inlineStr">
        <is>
          <t>NORRKÖPING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46235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35701-2024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45532</v>
      </c>
      <c r="E274" s="1" t="n">
        <v>46235</v>
      </c>
      <c r="F274" t="inlineStr">
        <is>
          <t>ÖSTERGÖTLANDS LÄN</t>
        </is>
      </c>
      <c r="G274" t="inlineStr">
        <is>
          <t>NORRKÖPING</t>
        </is>
      </c>
      <c r="I274" t="n">
        <v>11.7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57495-2023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46235</v>
      </c>
      <c r="F275" t="inlineStr">
        <is>
          <t>ÖSTERGÖTLANDS LÄN</t>
        </is>
      </c>
      <c r="G275" t="inlineStr">
        <is>
          <t>NORRKÖPING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46235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45022</v>
      </c>
      <c r="E277" s="1" t="n">
        <v>46235</v>
      </c>
      <c r="F277" t="inlineStr">
        <is>
          <t>ÖSTERGÖTLANDS LÄN</t>
        </is>
      </c>
      <c r="G277" t="inlineStr">
        <is>
          <t>NORRKÖPING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44582</v>
      </c>
      <c r="E278" s="1" t="n">
        <v>46235</v>
      </c>
      <c r="F278" t="inlineStr">
        <is>
          <t>ÖSTERGÖTLANDS LÄN</t>
        </is>
      </c>
      <c r="G278" t="inlineStr">
        <is>
          <t>NORRKÖPING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44805</v>
      </c>
      <c r="E279" s="1" t="n">
        <v>46235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Allmännings- och besparingsskogar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45118</v>
      </c>
      <c r="E280" s="1" t="n">
        <v>46235</v>
      </c>
      <c r="F280" t="inlineStr">
        <is>
          <t>ÖSTERGÖTLANDS LÄN</t>
        </is>
      </c>
      <c r="G280" t="inlineStr">
        <is>
          <t>NORRKÖPING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10798-2024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46235</v>
      </c>
      <c r="F281" t="inlineStr">
        <is>
          <t>ÖSTERGÖTLANDS LÄN</t>
        </is>
      </c>
      <c r="G281" t="inlineStr">
        <is>
          <t>NORRKÖPING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45336</v>
      </c>
      <c r="E282" s="1" t="n">
        <v>46235</v>
      </c>
      <c r="F282" t="inlineStr">
        <is>
          <t>ÖSTERGÖTLANDS LÄN</t>
        </is>
      </c>
      <c r="G282" t="inlineStr">
        <is>
          <t>NORRKÖPING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46235</v>
      </c>
      <c r="F283" t="inlineStr">
        <is>
          <t>ÖSTERGÖTLANDS LÄN</t>
        </is>
      </c>
      <c r="G283" t="inlineStr">
        <is>
          <t>NORRKÖPING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17714-2023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45037</v>
      </c>
      <c r="E284" s="1" t="n">
        <v>46235</v>
      </c>
      <c r="F284" t="inlineStr">
        <is>
          <t>ÖSTERGÖTLANDS LÄN</t>
        </is>
      </c>
      <c r="G284" t="inlineStr">
        <is>
          <t>NORRKÖPING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46235</v>
      </c>
      <c r="F285" t="inlineStr">
        <is>
          <t>ÖSTERGÖTLANDS LÄN</t>
        </is>
      </c>
      <c r="G285" t="inlineStr">
        <is>
          <t>NORRKÖPING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46235</v>
      </c>
      <c r="F286" t="inlineStr">
        <is>
          <t>ÖSTERGÖTLANDS LÄN</t>
        </is>
      </c>
      <c r="G286" t="inlineStr">
        <is>
          <t>NORRKÖPING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25981-2023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46235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Allmännings- och besparingsskogar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45365</v>
      </c>
      <c r="E288" s="1" t="n">
        <v>46235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Kommuner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49617-2022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44862</v>
      </c>
      <c r="E289" s="1" t="n">
        <v>46235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44860</v>
      </c>
      <c r="E290" s="1" t="n">
        <v>46235</v>
      </c>
      <c r="F290" t="inlineStr">
        <is>
          <t>ÖSTERGÖTLANDS LÄN</t>
        </is>
      </c>
      <c r="G290" t="inlineStr">
        <is>
          <t>NORRKÖPING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32574-2022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44783</v>
      </c>
      <c r="E291" s="1" t="n">
        <v>46235</v>
      </c>
      <c r="F291" t="inlineStr">
        <is>
          <t>ÖSTERGÖTLANDS LÄN</t>
        </is>
      </c>
      <c r="G291" t="inlineStr">
        <is>
          <t>NORRKÖPING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21767-2024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45442</v>
      </c>
      <c r="E292" s="1" t="n">
        <v>46235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46235</v>
      </c>
      <c r="F293" t="inlineStr">
        <is>
          <t>ÖSTERGÖTLANDS LÄN</t>
        </is>
      </c>
      <c r="G293" t="inlineStr">
        <is>
          <t>NORRKÖPING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44414</v>
      </c>
      <c r="E294" s="1" t="n">
        <v>46235</v>
      </c>
      <c r="F294" t="inlineStr">
        <is>
          <t>ÖSTERGÖTLANDS LÄN</t>
        </is>
      </c>
      <c r="G294" t="inlineStr">
        <is>
          <t>NORRKÖPING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45386</v>
      </c>
      <c r="E295" s="1" t="n">
        <v>46235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51877-2021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44462</v>
      </c>
      <c r="E296" s="1" t="n">
        <v>46235</v>
      </c>
      <c r="F296" t="inlineStr">
        <is>
          <t>ÖSTERGÖTLANDS LÄN</t>
        </is>
      </c>
      <c r="G296" t="inlineStr">
        <is>
          <t>NORRKÖPING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16689-2023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45030</v>
      </c>
      <c r="E297" s="1" t="n">
        <v>46235</v>
      </c>
      <c r="F297" t="inlineStr">
        <is>
          <t>ÖSTERGÖTLANDS LÄN</t>
        </is>
      </c>
      <c r="G297" t="inlineStr">
        <is>
          <t>NORRKÖPING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44889</v>
      </c>
      <c r="E298" s="1" t="n">
        <v>46235</v>
      </c>
      <c r="F298" t="inlineStr">
        <is>
          <t>ÖSTERGÖTLANDS LÄN</t>
        </is>
      </c>
      <c r="G298" t="inlineStr">
        <is>
          <t>NORRKÖPING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43773-2021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44433</v>
      </c>
      <c r="E299" s="1" t="n">
        <v>46235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45317</v>
      </c>
      <c r="E300" s="1" t="n">
        <v>46235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46235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45028</v>
      </c>
      <c r="E302" s="1" t="n">
        <v>46235</v>
      </c>
      <c r="F302" t="inlineStr">
        <is>
          <t>ÖSTERGÖTLANDS LÄN</t>
        </is>
      </c>
      <c r="G302" t="inlineStr">
        <is>
          <t>NORRKÖPING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46235</v>
      </c>
      <c r="F303" t="inlineStr">
        <is>
          <t>ÖSTERGÖTLANDS LÄN</t>
        </is>
      </c>
      <c r="G303" t="inlineStr">
        <is>
          <t>NORRKÖPING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46235</v>
      </c>
      <c r="F304" t="inlineStr">
        <is>
          <t>ÖSTERGÖTLANDS LÄN</t>
        </is>
      </c>
      <c r="G304" t="inlineStr">
        <is>
          <t>NORRKÖPING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46235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60233-2022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44910</v>
      </c>
      <c r="E306" s="1" t="n">
        <v>46235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46235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38740-2025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46235</v>
      </c>
      <c r="F308" t="inlineStr">
        <is>
          <t>ÖSTERGÖTLANDS LÄN</t>
        </is>
      </c>
      <c r="G308" t="inlineStr">
        <is>
          <t>NORRKÖPING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46235</v>
      </c>
      <c r="F309" t="inlineStr">
        <is>
          <t>ÖSTERGÖTLANDS LÄN</t>
        </is>
      </c>
      <c r="G309" t="inlineStr">
        <is>
          <t>NORRKÖPING</t>
        </is>
      </c>
      <c r="I309" t="n">
        <v>10.1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45425</v>
      </c>
      <c r="E310" s="1" t="n">
        <v>46235</v>
      </c>
      <c r="F310" t="inlineStr">
        <is>
          <t>ÖSTERGÖTLANDS LÄN</t>
        </is>
      </c>
      <c r="G310" t="inlineStr">
        <is>
          <t>NORRKÖPING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53747-2022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44880</v>
      </c>
      <c r="E311" s="1" t="n">
        <v>46235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45317</v>
      </c>
      <c r="E312" s="1" t="n">
        <v>46235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46235</v>
      </c>
      <c r="F313" t="inlineStr">
        <is>
          <t>ÖSTERGÖTLANDS LÄN</t>
        </is>
      </c>
      <c r="G313" t="inlineStr">
        <is>
          <t>NORRKÖPING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31850-2023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46235</v>
      </c>
      <c r="F314" t="inlineStr">
        <is>
          <t>ÖSTERGÖTLANDS LÄN</t>
        </is>
      </c>
      <c r="G314" t="inlineStr">
        <is>
          <t>NORRKÖPING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1914-2023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44939</v>
      </c>
      <c r="E315" s="1" t="n">
        <v>46235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Naturvårdsverket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46235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63961-2023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46235</v>
      </c>
      <c r="F317" t="inlineStr">
        <is>
          <t>ÖSTERGÖTLANDS LÄN</t>
        </is>
      </c>
      <c r="G317" t="inlineStr">
        <is>
          <t>NORRKÖPING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48462-2022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44858</v>
      </c>
      <c r="E318" s="1" t="n">
        <v>46235</v>
      </c>
      <c r="F318" t="inlineStr">
        <is>
          <t>ÖSTERGÖTLANDS LÄN</t>
        </is>
      </c>
      <c r="G318" t="inlineStr">
        <is>
          <t>NORRKÖPING</t>
        </is>
      </c>
      <c r="H318" t="inlineStr">
        <is>
          <t>Holmen skog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40134-2025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46235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46235</v>
      </c>
      <c r="F320" t="inlineStr">
        <is>
          <t>ÖSTERGÖTLANDS LÄN</t>
        </is>
      </c>
      <c r="G320" t="inlineStr">
        <is>
          <t>NORRKÖPING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46235</v>
      </c>
      <c r="F321" t="inlineStr">
        <is>
          <t>ÖSTERGÖTLANDS LÄN</t>
        </is>
      </c>
      <c r="G321" t="inlineStr">
        <is>
          <t>NORRKÖPING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40284-2025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46235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46235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46235</v>
      </c>
      <c r="F324" t="inlineStr">
        <is>
          <t>ÖSTERGÖTLANDS LÄN</t>
        </is>
      </c>
      <c r="G324" t="inlineStr">
        <is>
          <t>NORRKÖPING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18664-2023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45043</v>
      </c>
      <c r="E325" s="1" t="n">
        <v>46235</v>
      </c>
      <c r="F325" t="inlineStr">
        <is>
          <t>ÖSTERGÖTLANDS LÄN</t>
        </is>
      </c>
      <c r="G325" t="inlineStr">
        <is>
          <t>NORRKÖPING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42390-2021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44427</v>
      </c>
      <c r="E326" s="1" t="n">
        <v>46235</v>
      </c>
      <c r="F326" t="inlineStr">
        <is>
          <t>ÖSTERGÖTLANDS LÄN</t>
        </is>
      </c>
      <c r="G326" t="inlineStr">
        <is>
          <t>NORRKÖPING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45178</v>
      </c>
      <c r="E327" s="1" t="n">
        <v>46235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41321-2025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46235</v>
      </c>
      <c r="F328" t="inlineStr">
        <is>
          <t>ÖSTERGÖTLANDS LÄN</t>
        </is>
      </c>
      <c r="G328" t="inlineStr">
        <is>
          <t>NORRKÖPING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10796-2024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45369</v>
      </c>
      <c r="E329" s="1" t="n">
        <v>46235</v>
      </c>
      <c r="F329" t="inlineStr">
        <is>
          <t>ÖSTERGÖTLANDS LÄN</t>
        </is>
      </c>
      <c r="G329" t="inlineStr">
        <is>
          <t>NORRKÖPING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45215</v>
      </c>
      <c r="E330" s="1" t="n">
        <v>46235</v>
      </c>
      <c r="F330" t="inlineStr">
        <is>
          <t>ÖSTERGÖTLANDS LÄN</t>
        </is>
      </c>
      <c r="G330" t="inlineStr">
        <is>
          <t>NORRKÖPING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46235</v>
      </c>
      <c r="F331" t="inlineStr">
        <is>
          <t>ÖSTERGÖTLANDS LÄN</t>
        </is>
      </c>
      <c r="G331" t="inlineStr">
        <is>
          <t>NORRKÖPING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44936</v>
      </c>
      <c r="E332" s="1" t="n">
        <v>46235</v>
      </c>
      <c r="F332" t="inlineStr">
        <is>
          <t>ÖSTERGÖTLANDS LÄN</t>
        </is>
      </c>
      <c r="G332" t="inlineStr">
        <is>
          <t>NORRKÖPING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45817</v>
      </c>
      <c r="E333" s="1" t="n">
        <v>46235</v>
      </c>
      <c r="F333" t="inlineStr">
        <is>
          <t>ÖSTERGÖTLANDS LÄN</t>
        </is>
      </c>
      <c r="G333" t="inlineStr">
        <is>
          <t>NORRKÖPING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46235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8292-2023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44974</v>
      </c>
      <c r="E335" s="1" t="n">
        <v>46235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45903</v>
      </c>
      <c r="E336" s="1" t="n">
        <v>46235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44943</v>
      </c>
      <c r="E337" s="1" t="n">
        <v>46235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46235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42766-2025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46235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46235</v>
      </c>
      <c r="F340" t="inlineStr">
        <is>
          <t>ÖSTERGÖTLANDS LÄN</t>
        </is>
      </c>
      <c r="G340" t="inlineStr">
        <is>
          <t>NORRKÖPING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41381-2023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45174</v>
      </c>
      <c r="E341" s="1" t="n">
        <v>46235</v>
      </c>
      <c r="F341" t="inlineStr">
        <is>
          <t>ÖSTERGÖTLANDS LÄN</t>
        </is>
      </c>
      <c r="G341" t="inlineStr">
        <is>
          <t>NORRKÖPING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41382-2023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45174</v>
      </c>
      <c r="E342" s="1" t="n">
        <v>46235</v>
      </c>
      <c r="F342" t="inlineStr">
        <is>
          <t>ÖSTERGÖTLANDS LÄN</t>
        </is>
      </c>
      <c r="G342" t="inlineStr">
        <is>
          <t>NORRKÖPING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47895-2021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44448</v>
      </c>
      <c r="E343" s="1" t="n">
        <v>46235</v>
      </c>
      <c r="F343" t="inlineStr">
        <is>
          <t>ÖSTERGÖTLANDS LÄN</t>
        </is>
      </c>
      <c r="G343" t="inlineStr">
        <is>
          <t>NORRKÖPING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46235</v>
      </c>
      <c r="F344" t="inlineStr">
        <is>
          <t>ÖSTERGÖTLANDS LÄN</t>
        </is>
      </c>
      <c r="G344" t="inlineStr">
        <is>
          <t>NORRKÖPING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55359-2023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46235</v>
      </c>
      <c r="F345" t="inlineStr">
        <is>
          <t>ÖSTERGÖTLANDS LÄN</t>
        </is>
      </c>
      <c r="G345" t="inlineStr">
        <is>
          <t>NORRKÖPING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20194-2026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46139</v>
      </c>
      <c r="E346" s="1" t="n">
        <v>46235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45917</v>
      </c>
      <c r="E347" s="1" t="n">
        <v>46235</v>
      </c>
      <c r="F347" t="inlineStr">
        <is>
          <t>ÖSTERGÖTLANDS LÄN</t>
        </is>
      </c>
      <c r="G347" t="inlineStr">
        <is>
          <t>NORRKÖPING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45699</v>
      </c>
      <c r="E348" s="1" t="n">
        <v>46235</v>
      </c>
      <c r="F348" t="inlineStr">
        <is>
          <t>ÖSTERGÖTLANDS LÄN</t>
        </is>
      </c>
      <c r="G348" t="inlineStr">
        <is>
          <t>NORRKÖPING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20352-2026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46139</v>
      </c>
      <c r="E349" s="1" t="n">
        <v>46235</v>
      </c>
      <c r="F349" t="inlineStr">
        <is>
          <t>ÖSTERGÖTLANDS LÄN</t>
        </is>
      </c>
      <c r="G349" t="inlineStr">
        <is>
          <t>NORRKÖPING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46235</v>
      </c>
      <c r="F350" t="inlineStr">
        <is>
          <t>ÖSTERGÖTLANDS LÄN</t>
        </is>
      </c>
      <c r="G350" t="inlineStr">
        <is>
          <t>NORRKÖPING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36302-2025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45867</v>
      </c>
      <c r="E351" s="1" t="n">
        <v>46235</v>
      </c>
      <c r="F351" t="inlineStr">
        <is>
          <t>ÖSTERGÖTLANDS LÄN</t>
        </is>
      </c>
      <c r="G351" t="inlineStr">
        <is>
          <t>NORRKÖPING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19334-2023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45049</v>
      </c>
      <c r="E352" s="1" t="n">
        <v>46235</v>
      </c>
      <c r="F352" t="inlineStr">
        <is>
          <t>ÖSTERGÖTLANDS LÄN</t>
        </is>
      </c>
      <c r="G352" t="inlineStr">
        <is>
          <t>NORRKÖPING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46235</v>
      </c>
      <c r="F353" t="inlineStr">
        <is>
          <t>ÖSTERGÖTLANDS LÄN</t>
        </is>
      </c>
      <c r="G353" t="inlineStr">
        <is>
          <t>NORRKÖPING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45534-2025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45922</v>
      </c>
      <c r="E354" s="1" t="n">
        <v>46235</v>
      </c>
      <c r="F354" t="inlineStr">
        <is>
          <t>ÖSTERGÖTLANDS LÄN</t>
        </is>
      </c>
      <c r="G354" t="inlineStr">
        <is>
          <t>NORRKÖPING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26977-2023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45091</v>
      </c>
      <c r="E355" s="1" t="n">
        <v>46235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Allmännings- och besparingsskogar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46148-2025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45924</v>
      </c>
      <c r="E356" s="1" t="n">
        <v>46235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45112</v>
      </c>
      <c r="E357" s="1" t="n">
        <v>46235</v>
      </c>
      <c r="F357" t="inlineStr">
        <is>
          <t>ÖSTERGÖTLANDS LÄN</t>
        </is>
      </c>
      <c r="G357" t="inlineStr">
        <is>
          <t>NORRKÖPING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46177-2025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45924</v>
      </c>
      <c r="E358" s="1" t="n">
        <v>46235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17138-2022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44677</v>
      </c>
      <c r="E359" s="1" t="n">
        <v>46235</v>
      </c>
      <c r="F359" t="inlineStr">
        <is>
          <t>ÖSTERGÖTLANDS LÄN</t>
        </is>
      </c>
      <c r="G359" t="inlineStr">
        <is>
          <t>NORRKÖPING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46235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20356-2024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45435</v>
      </c>
      <c r="E361" s="1" t="n">
        <v>46235</v>
      </c>
      <c r="F361" t="inlineStr">
        <is>
          <t>ÖSTERGÖTLANDS LÄN</t>
        </is>
      </c>
      <c r="G361" t="inlineStr">
        <is>
          <t>NORRKÖPING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46235</v>
      </c>
      <c r="F362" t="inlineStr">
        <is>
          <t>ÖSTERGÖTLANDS LÄN</t>
        </is>
      </c>
      <c r="G362" t="inlineStr">
        <is>
          <t>NORRKÖPING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43322-2022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46235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47202-2025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46235</v>
      </c>
      <c r="F364" t="inlineStr">
        <is>
          <t>ÖSTERGÖTLANDS LÄN</t>
        </is>
      </c>
      <c r="G364" t="inlineStr">
        <is>
          <t>NORRKÖPING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46235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Allmännings- och besparingsskogar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27040-2022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44741</v>
      </c>
      <c r="E366" s="1" t="n">
        <v>46235</v>
      </c>
      <c r="F366" t="inlineStr">
        <is>
          <t>ÖSTERGÖTLANDS LÄN</t>
        </is>
      </c>
      <c r="G366" t="inlineStr">
        <is>
          <t>NORRKÖPING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45678</v>
      </c>
      <c r="E367" s="1" t="n">
        <v>46235</v>
      </c>
      <c r="F367" t="inlineStr">
        <is>
          <t>ÖSTERGÖTLANDS LÄN</t>
        </is>
      </c>
      <c r="G367" t="inlineStr">
        <is>
          <t>NORRKÖPING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44965</v>
      </c>
      <c r="E368" s="1" t="n">
        <v>46235</v>
      </c>
      <c r="F368" t="inlineStr">
        <is>
          <t>ÖSTERGÖTLANDS LÄN</t>
        </is>
      </c>
      <c r="G368" t="inlineStr">
        <is>
          <t>NORRKÖPING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14899-2023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45014</v>
      </c>
      <c r="E369" s="1" t="n">
        <v>46235</v>
      </c>
      <c r="F369" t="inlineStr">
        <is>
          <t>ÖSTERGÖTLANDS LÄN</t>
        </is>
      </c>
      <c r="G369" t="inlineStr">
        <is>
          <t>NORRKÖPING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4494-2023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46235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8805-2024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45356</v>
      </c>
      <c r="E371" s="1" t="n">
        <v>46235</v>
      </c>
      <c r="F371" t="inlineStr">
        <is>
          <t>ÖSTERGÖTLANDS LÄN</t>
        </is>
      </c>
      <c r="G371" t="inlineStr">
        <is>
          <t>NORRKÖPING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25287-2023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45086</v>
      </c>
      <c r="E372" s="1" t="n">
        <v>46235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Allmännings- och besparingsskogar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45636</v>
      </c>
      <c r="E373" s="1" t="n">
        <v>46235</v>
      </c>
      <c r="F373" t="inlineStr">
        <is>
          <t>ÖSTERGÖTLANDS LÄN</t>
        </is>
      </c>
      <c r="G373" t="inlineStr">
        <is>
          <t>NORRKÖPING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48500-2025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45936</v>
      </c>
      <c r="E374" s="1" t="n">
        <v>46235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23051-2022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44719</v>
      </c>
      <c r="E375" s="1" t="n">
        <v>46235</v>
      </c>
      <c r="F375" t="inlineStr">
        <is>
          <t>ÖSTERGÖTLANDS LÄN</t>
        </is>
      </c>
      <c r="G375" t="inlineStr">
        <is>
          <t>NORRKÖPING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36750-2025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45873</v>
      </c>
      <c r="E376" s="1" t="n">
        <v>46235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58884-2024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45636</v>
      </c>
      <c r="E377" s="1" t="n">
        <v>46235</v>
      </c>
      <c r="F377" t="inlineStr">
        <is>
          <t>ÖSTERGÖTLANDS LÄN</t>
        </is>
      </c>
      <c r="G377" t="inlineStr">
        <is>
          <t>NORRKÖPING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45581</v>
      </c>
      <c r="E378" s="1" t="n">
        <v>46235</v>
      </c>
      <c r="F378" t="inlineStr">
        <is>
          <t>ÖSTERGÖTLANDS LÄN</t>
        </is>
      </c>
      <c r="G378" t="inlineStr">
        <is>
          <t>NORRKÖPING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1383-2022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44573</v>
      </c>
      <c r="E379" s="1" t="n">
        <v>46235</v>
      </c>
      <c r="F379" t="inlineStr">
        <is>
          <t>ÖSTERGÖTLANDS LÄN</t>
        </is>
      </c>
      <c r="G379" t="inlineStr">
        <is>
          <t>NORRKÖPING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45414</v>
      </c>
      <c r="E380" s="1" t="n">
        <v>46235</v>
      </c>
      <c r="F380" t="inlineStr">
        <is>
          <t>ÖSTERGÖTLANDS LÄN</t>
        </is>
      </c>
      <c r="G380" t="inlineStr">
        <is>
          <t>NORRKÖPING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46146</v>
      </c>
      <c r="E381" s="1" t="n">
        <v>46235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22651-2023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45071</v>
      </c>
      <c r="E382" s="1" t="n">
        <v>46235</v>
      </c>
      <c r="F382" t="inlineStr">
        <is>
          <t>ÖSTERGÖTLANDS LÄN</t>
        </is>
      </c>
      <c r="G382" t="inlineStr">
        <is>
          <t>NORRKÖPING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46235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64898-2021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44512</v>
      </c>
      <c r="E384" s="1" t="n">
        <v>46235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44970</v>
      </c>
      <c r="E385" s="1" t="n">
        <v>46235</v>
      </c>
      <c r="F385" t="inlineStr">
        <is>
          <t>ÖSTERGÖTLANDS LÄN</t>
        </is>
      </c>
      <c r="G385" t="inlineStr">
        <is>
          <t>NORRKÖPING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45096</v>
      </c>
      <c r="E386" s="1" t="n">
        <v>46235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12.3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9174-2023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44980</v>
      </c>
      <c r="E387" s="1" t="n">
        <v>46235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50146-2025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45943</v>
      </c>
      <c r="E388" s="1" t="n">
        <v>46235</v>
      </c>
      <c r="F388" t="inlineStr">
        <is>
          <t>ÖSTERGÖTLANDS LÄN</t>
        </is>
      </c>
      <c r="G388" t="inlineStr">
        <is>
          <t>NORRKÖPING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46696-2024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45583</v>
      </c>
      <c r="E389" s="1" t="n">
        <v>46235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36542-2023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45153</v>
      </c>
      <c r="E390" s="1" t="n">
        <v>46235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31668-2023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45117</v>
      </c>
      <c r="E391" s="1" t="n">
        <v>46235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45757</v>
      </c>
      <c r="E392" s="1" t="n">
        <v>46235</v>
      </c>
      <c r="F392" t="inlineStr">
        <is>
          <t>ÖSTERGÖTLANDS LÄN</t>
        </is>
      </c>
      <c r="G392" t="inlineStr">
        <is>
          <t>NORRKÖPING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13152-2024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46235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28255-2026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46235</v>
      </c>
      <c r="F394" t="inlineStr">
        <is>
          <t>ÖSTERGÖTLANDS LÄN</t>
        </is>
      </c>
      <c r="G394" t="inlineStr">
        <is>
          <t>NORRKÖPING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28258-2026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46235</v>
      </c>
      <c r="F395" t="inlineStr">
        <is>
          <t>ÖSTERGÖTLANDS LÄN</t>
        </is>
      </c>
      <c r="G395" t="inlineStr">
        <is>
          <t>NORRKÖPING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28259-2026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46235</v>
      </c>
      <c r="F396" t="inlineStr">
        <is>
          <t>ÖSTERGÖTLANDS LÄN</t>
        </is>
      </c>
      <c r="G396" t="inlineStr">
        <is>
          <t>NORRKÖPING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45093</v>
      </c>
      <c r="E397" s="1" t="n">
        <v>46235</v>
      </c>
      <c r="F397" t="inlineStr">
        <is>
          <t>ÖSTERGÖTLANDS LÄN</t>
        </is>
      </c>
      <c r="G397" t="inlineStr">
        <is>
          <t>NORRKÖPING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46235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44966</v>
      </c>
      <c r="E399" s="1" t="n">
        <v>46235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16705-2023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45030</v>
      </c>
      <c r="E400" s="1" t="n">
        <v>46235</v>
      </c>
      <c r="F400" t="inlineStr">
        <is>
          <t>ÖSTERGÖTLANDS LÄN</t>
        </is>
      </c>
      <c r="G400" t="inlineStr">
        <is>
          <t>NORRKÖPING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44721</v>
      </c>
      <c r="E401" s="1" t="n">
        <v>46235</v>
      </c>
      <c r="F401" t="inlineStr">
        <is>
          <t>ÖSTERGÖTLANDS LÄN</t>
        </is>
      </c>
      <c r="G401" t="inlineStr">
        <is>
          <t>NORRKÖPING</t>
        </is>
      </c>
      <c r="I401" t="n">
        <v>11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31362-2023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45114</v>
      </c>
      <c r="E402" s="1" t="n">
        <v>46235</v>
      </c>
      <c r="F402" t="inlineStr">
        <is>
          <t>ÖSTERGÖTLANDS LÄN</t>
        </is>
      </c>
      <c r="G402" t="inlineStr">
        <is>
          <t>NORRKÖPING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46235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46196</v>
      </c>
      <c r="E404" s="1" t="n">
        <v>46235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28601-2024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45478</v>
      </c>
      <c r="E405" s="1" t="n">
        <v>46235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57376-2024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46235</v>
      </c>
      <c r="F406" t="inlineStr">
        <is>
          <t>ÖSTERGÖTLANDS LÄN</t>
        </is>
      </c>
      <c r="G406" t="inlineStr">
        <is>
          <t>NORRKÖPING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27735-2023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46235</v>
      </c>
      <c r="F407" t="inlineStr">
        <is>
          <t>ÖSTERGÖTLANDS LÄN</t>
        </is>
      </c>
      <c r="G407" t="inlineStr">
        <is>
          <t>NORRKÖPING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44805</v>
      </c>
      <c r="E408" s="1" t="n">
        <v>46235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31653-2023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45117</v>
      </c>
      <c r="E409" s="1" t="n">
        <v>46235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46610-2024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45582</v>
      </c>
      <c r="E410" s="1" t="n">
        <v>46235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Allmännings- och besparingsskogar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8517-2023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44977</v>
      </c>
      <c r="E411" s="1" t="n">
        <v>46235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45597</v>
      </c>
      <c r="E412" s="1" t="n">
        <v>46235</v>
      </c>
      <c r="F412" t="inlineStr">
        <is>
          <t>ÖSTERGÖTLANDS LÄN</t>
        </is>
      </c>
      <c r="G412" t="inlineStr">
        <is>
          <t>NORRKÖPING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46235</v>
      </c>
      <c r="F413" t="inlineStr">
        <is>
          <t>ÖSTERGÖTLANDS LÄN</t>
        </is>
      </c>
      <c r="G413" t="inlineStr">
        <is>
          <t>NORRKÖPING</t>
        </is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45726</v>
      </c>
      <c r="E414" s="1" t="n">
        <v>46235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22470-2022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44713</v>
      </c>
      <c r="E415" s="1" t="n">
        <v>46235</v>
      </c>
      <c r="F415" t="inlineStr">
        <is>
          <t>ÖSTERGÖTLANDS LÄN</t>
        </is>
      </c>
      <c r="G415" t="inlineStr">
        <is>
          <t>NORRKÖPING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28781-2026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46235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32511-2023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46235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46235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53702-2025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45960</v>
      </c>
      <c r="E419" s="1" t="n">
        <v>46235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15402-2025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46235</v>
      </c>
      <c r="F420" t="inlineStr">
        <is>
          <t>ÖSTERGÖTLANDS LÄN</t>
        </is>
      </c>
      <c r="G420" t="inlineStr">
        <is>
          <t>NORRKÖPING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46235</v>
      </c>
      <c r="F421" t="inlineStr">
        <is>
          <t>ÖSTERGÖTLANDS LÄN</t>
        </is>
      </c>
      <c r="G421" t="inlineStr">
        <is>
          <t>NORRKÖPING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45961</v>
      </c>
      <c r="E422" s="1" t="n">
        <v>46235</v>
      </c>
      <c r="F422" t="inlineStr">
        <is>
          <t>ÖSTERGÖTLANDS LÄN</t>
        </is>
      </c>
      <c r="G422" t="inlineStr">
        <is>
          <t>NORRKÖPING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16696-2023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46235</v>
      </c>
      <c r="F423" t="inlineStr">
        <is>
          <t>ÖSTERGÖTLANDS LÄN</t>
        </is>
      </c>
      <c r="G423" t="inlineStr">
        <is>
          <t>NORRKÖPING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16698-2023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45030</v>
      </c>
      <c r="E424" s="1" t="n">
        <v>46235</v>
      </c>
      <c r="F424" t="inlineStr">
        <is>
          <t>ÖSTERGÖTLANDS LÄN</t>
        </is>
      </c>
      <c r="G424" t="inlineStr">
        <is>
          <t>NORRKÖPING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43559-2021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44433</v>
      </c>
      <c r="E425" s="1" t="n">
        <v>46235</v>
      </c>
      <c r="F425" t="inlineStr">
        <is>
          <t>ÖSTERGÖTLANDS LÄN</t>
        </is>
      </c>
      <c r="G425" t="inlineStr">
        <is>
          <t>NORRKÖPING</t>
        </is>
      </c>
      <c r="I425" t="n">
        <v>11.1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47477-2022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44853</v>
      </c>
      <c r="E426" s="1" t="n">
        <v>46235</v>
      </c>
      <c r="F426" t="inlineStr">
        <is>
          <t>ÖSTERGÖTLANDS LÄN</t>
        </is>
      </c>
      <c r="G426" t="inlineStr">
        <is>
          <t>NORRKÖPING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12511-2023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44999</v>
      </c>
      <c r="E427" s="1" t="n">
        <v>46235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30095-2023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46235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44826</v>
      </c>
      <c r="E429" s="1" t="n">
        <v>46235</v>
      </c>
      <c r="F429" t="inlineStr">
        <is>
          <t>ÖSTERGÖTLANDS LÄN</t>
        </is>
      </c>
      <c r="G429" t="inlineStr">
        <is>
          <t>NORRKÖPING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45442</v>
      </c>
      <c r="E430" s="1" t="n">
        <v>46235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46235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46235</v>
      </c>
      <c r="F432" t="inlineStr">
        <is>
          <t>ÖSTERGÖTLANDS LÄN</t>
        </is>
      </c>
      <c r="G432" t="inlineStr">
        <is>
          <t>NORRKÖPING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45442</v>
      </c>
      <c r="E433" s="1" t="n">
        <v>46235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46235</v>
      </c>
      <c r="F434" t="inlineStr">
        <is>
          <t>ÖSTERGÖTLANDS LÄN</t>
        </is>
      </c>
      <c r="G434" t="inlineStr">
        <is>
          <t>NORRKÖPING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45008</v>
      </c>
      <c r="E435" s="1" t="n">
        <v>46235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44980</v>
      </c>
      <c r="E436" s="1" t="n">
        <v>46235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46235</v>
      </c>
      <c r="F437" t="inlineStr">
        <is>
          <t>ÖSTERGÖTLANDS LÄN</t>
        </is>
      </c>
      <c r="G437" t="inlineStr">
        <is>
          <t>NORRKÖPING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13173-2022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44644</v>
      </c>
      <c r="E438" s="1" t="n">
        <v>46235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Allmännings- och besparingsskogar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29285-2026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46235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Allmännings- och besparingsskogar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45229</v>
      </c>
      <c r="E440" s="1" t="n">
        <v>46235</v>
      </c>
      <c r="F440" t="inlineStr">
        <is>
          <t>ÖSTERGÖTLANDS LÄN</t>
        </is>
      </c>
      <c r="G440" t="inlineStr">
        <is>
          <t>NORRKÖPING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46235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46235</v>
      </c>
      <c r="F442" t="inlineStr">
        <is>
          <t>ÖSTERGÖTLANDS LÄN</t>
        </is>
      </c>
      <c r="G442" t="inlineStr">
        <is>
          <t>NORRKÖPING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45764</v>
      </c>
      <c r="E443" s="1" t="n">
        <v>46235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29030-2026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46235</v>
      </c>
      <c r="F444" t="inlineStr">
        <is>
          <t>ÖSTERGÖTLANDS LÄN</t>
        </is>
      </c>
      <c r="G444" t="inlineStr">
        <is>
          <t>NORRKÖPING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9532-2025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45715</v>
      </c>
      <c r="E445" s="1" t="n">
        <v>46235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14485-2023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46235</v>
      </c>
      <c r="F446" t="inlineStr">
        <is>
          <t>ÖSTERGÖTLANDS LÄN</t>
        </is>
      </c>
      <c r="G446" t="inlineStr">
        <is>
          <t>NORRKÖPING</t>
        </is>
      </c>
      <c r="I446" t="n">
        <v>9.9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11587-2023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44992</v>
      </c>
      <c r="E447" s="1" t="n">
        <v>46235</v>
      </c>
      <c r="F447" t="inlineStr">
        <is>
          <t>ÖSTERGÖTLANDS LÄN</t>
        </is>
      </c>
      <c r="G447" t="inlineStr">
        <is>
          <t>NORRKÖPING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44575</v>
      </c>
      <c r="E448" s="1" t="n">
        <v>46235</v>
      </c>
      <c r="F448" t="inlineStr">
        <is>
          <t>ÖSTERGÖTLANDS LÄN</t>
        </is>
      </c>
      <c r="G448" t="inlineStr">
        <is>
          <t>NORRKÖPING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44957</v>
      </c>
      <c r="E449" s="1" t="n">
        <v>46235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44945</v>
      </c>
      <c r="E450" s="1" t="n">
        <v>46235</v>
      </c>
      <c r="F450" t="inlineStr">
        <is>
          <t>ÖSTERGÖTLANDS LÄN</t>
        </is>
      </c>
      <c r="G450" t="inlineStr">
        <is>
          <t>NORRKÖPING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26834-2023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45093</v>
      </c>
      <c r="E451" s="1" t="n">
        <v>46235</v>
      </c>
      <c r="F451" t="inlineStr">
        <is>
          <t>ÖSTERGÖTLANDS LÄN</t>
        </is>
      </c>
      <c r="G451" t="inlineStr">
        <is>
          <t>NORRKÖPING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30062-2023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45110</v>
      </c>
      <c r="E452" s="1" t="n">
        <v>46235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46235</v>
      </c>
      <c r="F453" t="inlineStr">
        <is>
          <t>ÖSTERGÖTLANDS LÄN</t>
        </is>
      </c>
      <c r="G453" t="inlineStr">
        <is>
          <t>NORRKÖPING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29034-2026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46235</v>
      </c>
      <c r="F454" t="inlineStr">
        <is>
          <t>ÖSTERGÖTLANDS LÄN</t>
        </is>
      </c>
      <c r="G454" t="inlineStr">
        <is>
          <t>NORRKÖPING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46235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8.5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45274</v>
      </c>
      <c r="E456" s="1" t="n">
        <v>46235</v>
      </c>
      <c r="F456" t="inlineStr">
        <is>
          <t>ÖSTERGÖTLANDS LÄN</t>
        </is>
      </c>
      <c r="G456" t="inlineStr">
        <is>
          <t>NORRKÖPING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45976</v>
      </c>
      <c r="E457" s="1" t="n">
        <v>46235</v>
      </c>
      <c r="F457" t="inlineStr">
        <is>
          <t>ÖSTERGÖTLANDS LÄN</t>
        </is>
      </c>
      <c r="G457" t="inlineStr">
        <is>
          <t>NORRKÖPING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45254</v>
      </c>
      <c r="E458" s="1" t="n">
        <v>46235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45077</v>
      </c>
      <c r="E459" s="1" t="n">
        <v>46235</v>
      </c>
      <c r="F459" t="inlineStr">
        <is>
          <t>ÖSTERGÖTLANDS LÄN</t>
        </is>
      </c>
      <c r="G459" t="inlineStr">
        <is>
          <t>NORRKÖPING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45509</v>
      </c>
      <c r="E460" s="1" t="n">
        <v>46235</v>
      </c>
      <c r="F460" t="inlineStr">
        <is>
          <t>ÖSTERGÖTLANDS LÄN</t>
        </is>
      </c>
      <c r="G460" t="inlineStr">
        <is>
          <t>NORRKÖPING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18658-2023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45043</v>
      </c>
      <c r="E461" s="1" t="n">
        <v>46235</v>
      </c>
      <c r="F461" t="inlineStr">
        <is>
          <t>ÖSTERGÖTLANDS LÄN</t>
        </is>
      </c>
      <c r="G461" t="inlineStr">
        <is>
          <t>NORRKÖPING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46235</v>
      </c>
      <c r="F462" t="inlineStr">
        <is>
          <t>ÖSTERGÖTLANDS LÄN</t>
        </is>
      </c>
      <c r="G462" t="inlineStr">
        <is>
          <t>NORRKÖPING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43277-2023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45183</v>
      </c>
      <c r="E463" s="1" t="n">
        <v>46235</v>
      </c>
      <c r="F463" t="inlineStr">
        <is>
          <t>ÖSTERGÖTLANDS LÄN</t>
        </is>
      </c>
      <c r="G463" t="inlineStr">
        <is>
          <t>NORRKÖPING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10791-2024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46235</v>
      </c>
      <c r="F464" t="inlineStr">
        <is>
          <t>ÖSTERGÖTLANDS LÄN</t>
        </is>
      </c>
      <c r="G464" t="inlineStr">
        <is>
          <t>NORRKÖPING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58814-2025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46235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Allmännings- och besparingsskogar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45049</v>
      </c>
      <c r="E466" s="1" t="n">
        <v>46235</v>
      </c>
      <c r="F466" t="inlineStr">
        <is>
          <t>ÖSTERGÖTLANDS LÄN</t>
        </is>
      </c>
      <c r="G466" t="inlineStr">
        <is>
          <t>NORRKÖPING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45049</v>
      </c>
      <c r="E467" s="1" t="n">
        <v>46235</v>
      </c>
      <c r="F467" t="inlineStr">
        <is>
          <t>ÖSTERGÖTLANDS LÄN</t>
        </is>
      </c>
      <c r="G467" t="inlineStr">
        <is>
          <t>NORRKÖPING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2021-2023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44939</v>
      </c>
      <c r="E468" s="1" t="n">
        <v>46235</v>
      </c>
      <c r="F468" t="inlineStr">
        <is>
          <t>ÖSTERGÖTLANDS LÄN</t>
        </is>
      </c>
      <c r="G468" t="inlineStr">
        <is>
          <t>NORRKÖPING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14503-2023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45012</v>
      </c>
      <c r="E469" s="1" t="n">
        <v>46235</v>
      </c>
      <c r="F469" t="inlineStr">
        <is>
          <t>ÖSTERGÖTLANDS LÄN</t>
        </is>
      </c>
      <c r="G469" t="inlineStr">
        <is>
          <t>NORRKÖPING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58379-2025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46235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46235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46235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46235</v>
      </c>
      <c r="F473" t="inlineStr">
        <is>
          <t>ÖSTERGÖTLANDS LÄN</t>
        </is>
      </c>
      <c r="G473" t="inlineStr">
        <is>
          <t>NORRKÖPING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30217-2026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46235</v>
      </c>
      <c r="F474" t="inlineStr">
        <is>
          <t>ÖSTERGÖTLANDS LÄN</t>
        </is>
      </c>
      <c r="G474" t="inlineStr">
        <is>
          <t>NORRKÖPING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55063-2023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45237</v>
      </c>
      <c r="E475" s="1" t="n">
        <v>46235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Kyrkan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46235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19287-2025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45769</v>
      </c>
      <c r="E477" s="1" t="n">
        <v>46235</v>
      </c>
      <c r="F477" t="inlineStr">
        <is>
          <t>ÖSTERGÖTLANDS LÄN</t>
        </is>
      </c>
      <c r="G477" t="inlineStr">
        <is>
          <t>NORRKÖPING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19298-2025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45769</v>
      </c>
      <c r="E478" s="1" t="n">
        <v>46235</v>
      </c>
      <c r="F478" t="inlineStr">
        <is>
          <t>ÖSTERGÖTLANDS LÄN</t>
        </is>
      </c>
      <c r="G478" t="inlineStr">
        <is>
          <t>NORRKÖPING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49452-2021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44454</v>
      </c>
      <c r="E479" s="1" t="n">
        <v>46235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12674-2025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45733</v>
      </c>
      <c r="E480" s="1" t="n">
        <v>46235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23462-2023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45076</v>
      </c>
      <c r="E481" s="1" t="n">
        <v>46235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45706</v>
      </c>
      <c r="E482" s="1" t="n">
        <v>46235</v>
      </c>
      <c r="F482" t="inlineStr">
        <is>
          <t>ÖSTERGÖTLANDS LÄN</t>
        </is>
      </c>
      <c r="G482" t="inlineStr">
        <is>
          <t>NORRKÖPING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19114-2023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45048</v>
      </c>
      <c r="E483" s="1" t="n">
        <v>46235</v>
      </c>
      <c r="F483" t="inlineStr">
        <is>
          <t>ÖSTERGÖTLANDS LÄN</t>
        </is>
      </c>
      <c r="G483" t="inlineStr">
        <is>
          <t>NORRKÖPING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46235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44860</v>
      </c>
      <c r="E485" s="1" t="n">
        <v>46235</v>
      </c>
      <c r="F485" t="inlineStr">
        <is>
          <t>ÖSTERGÖTLANDS LÄN</t>
        </is>
      </c>
      <c r="G485" t="inlineStr">
        <is>
          <t>NORRKÖPING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30164-2026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46206</v>
      </c>
      <c r="E486" s="1" t="n">
        <v>46235</v>
      </c>
      <c r="F486" t="inlineStr">
        <is>
          <t>ÖSTERGÖTLANDS LÄN</t>
        </is>
      </c>
      <c r="G486" t="inlineStr">
        <is>
          <t>NORRKÖPING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14441-2025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45741</v>
      </c>
      <c r="E487" s="1" t="n">
        <v>46235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45362-2021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44439</v>
      </c>
      <c r="E488" s="1" t="n">
        <v>46235</v>
      </c>
      <c r="F488" t="inlineStr">
        <is>
          <t>ÖSTERGÖTLANDS LÄN</t>
        </is>
      </c>
      <c r="G488" t="inlineStr">
        <is>
          <t>NORRKÖPING</t>
        </is>
      </c>
      <c r="H488" t="inlineStr">
        <is>
          <t>Allmännings- och besparingsskogar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44896</v>
      </c>
      <c r="E489" s="1" t="n">
        <v>46235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57979-2022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44900</v>
      </c>
      <c r="E490" s="1" t="n">
        <v>46235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23625-2026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46235</v>
      </c>
      <c r="F491" t="inlineStr">
        <is>
          <t>ÖSTERGÖTLANDS LÄN</t>
        </is>
      </c>
      <c r="G491" t="inlineStr">
        <is>
          <t>NORRKÖPING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19324-2025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45769</v>
      </c>
      <c r="E492" s="1" t="n">
        <v>46235</v>
      </c>
      <c r="F492" t="inlineStr">
        <is>
          <t>ÖSTERGÖTLANDS LÄN</t>
        </is>
      </c>
      <c r="G492" t="inlineStr">
        <is>
          <t>NORRKÖPING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45629</v>
      </c>
      <c r="E493" s="1" t="n">
        <v>46235</v>
      </c>
      <c r="F493" t="inlineStr">
        <is>
          <t>ÖSTERGÖTLANDS LÄN</t>
        </is>
      </c>
      <c r="G493" t="inlineStr">
        <is>
          <t>NORRKÖPING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57733-2022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44897</v>
      </c>
      <c r="E494" s="1" t="n">
        <v>46235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44928</v>
      </c>
      <c r="E495" s="1" t="n">
        <v>46235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62376-2022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44923</v>
      </c>
      <c r="E496" s="1" t="n">
        <v>46235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30485-2026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46235</v>
      </c>
      <c r="F497" t="inlineStr">
        <is>
          <t>ÖSTERGÖTLANDS LÄN</t>
        </is>
      </c>
      <c r="G497" t="inlineStr">
        <is>
          <t>NORRKÖPING</t>
        </is>
      </c>
      <c r="H497" t="inlineStr">
        <is>
          <t>Allmännings- och besparingsskogar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7853-2026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46061</v>
      </c>
      <c r="E498" s="1" t="n">
        <v>46235</v>
      </c>
      <c r="F498" t="inlineStr">
        <is>
          <t>ÖSTERGÖTLANDS LÄN</t>
        </is>
      </c>
      <c r="G498" t="inlineStr">
        <is>
          <t>NORRKÖPING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59586-2022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44907</v>
      </c>
      <c r="E499" s="1" t="n">
        <v>46235</v>
      </c>
      <c r="F499" t="inlineStr">
        <is>
          <t>ÖSTERGÖTLANDS LÄN</t>
        </is>
      </c>
      <c r="G499" t="inlineStr">
        <is>
          <t>NORRKÖPING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46235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46235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45432</v>
      </c>
      <c r="E502" s="1" t="n">
        <v>46235</v>
      </c>
      <c r="F502" t="inlineStr">
        <is>
          <t>ÖSTERGÖTLANDS LÄN</t>
        </is>
      </c>
      <c r="G502" t="inlineStr">
        <is>
          <t>NORRKÖPING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62107-2025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46235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62112-2025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46235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20587-2024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45436</v>
      </c>
      <c r="E505" s="1" t="n">
        <v>46235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36258-2022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44803</v>
      </c>
      <c r="E506" s="1" t="n">
        <v>46235</v>
      </c>
      <c r="F506" t="inlineStr">
        <is>
          <t>ÖSTERGÖTLANDS LÄN</t>
        </is>
      </c>
      <c r="G506" t="inlineStr">
        <is>
          <t>NORRKÖPING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62108-2025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46235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44783</v>
      </c>
      <c r="E508" s="1" t="n">
        <v>46235</v>
      </c>
      <c r="F508" t="inlineStr">
        <is>
          <t>ÖSTERGÖTLANDS LÄN</t>
        </is>
      </c>
      <c r="G508" t="inlineStr">
        <is>
          <t>NORRKÖPING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62370-2025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46007</v>
      </c>
      <c r="E509" s="1" t="n">
        <v>46235</v>
      </c>
      <c r="F509" t="inlineStr">
        <is>
          <t>ÖSTERGÖTLANDS LÄN</t>
        </is>
      </c>
      <c r="G509" t="inlineStr">
        <is>
          <t>NORRKÖPING</t>
        </is>
      </c>
      <c r="H509" t="inlineStr">
        <is>
          <t>Holmen skog AB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46235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45716</v>
      </c>
      <c r="E511" s="1" t="n">
        <v>46235</v>
      </c>
      <c r="F511" t="inlineStr">
        <is>
          <t>ÖSTERGÖTLANDS LÄN</t>
        </is>
      </c>
      <c r="G511" t="inlineStr">
        <is>
          <t>NORRKÖPING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63229-2025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46235</v>
      </c>
      <c r="F512" t="inlineStr">
        <is>
          <t>ÖSTERGÖTLANDS LÄN</t>
        </is>
      </c>
      <c r="G512" t="inlineStr">
        <is>
          <t>NORRKÖPING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39223-2025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45889</v>
      </c>
      <c r="E513" s="1" t="n">
        <v>46235</v>
      </c>
      <c r="F513" t="inlineStr">
        <is>
          <t>ÖSTERGÖTLANDS LÄN</t>
        </is>
      </c>
      <c r="G513" t="inlineStr">
        <is>
          <t>NORRKÖPING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63165-2025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46010</v>
      </c>
      <c r="E514" s="1" t="n">
        <v>46235</v>
      </c>
      <c r="F514" t="inlineStr">
        <is>
          <t>ÖSTERGÖTLANDS LÄN</t>
        </is>
      </c>
      <c r="G514" t="inlineStr">
        <is>
          <t>NORRKÖPING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19191-2025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45769</v>
      </c>
      <c r="E515" s="1" t="n">
        <v>46235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63168-2025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46235</v>
      </c>
      <c r="F516" t="inlineStr">
        <is>
          <t>ÖSTERGÖTLANDS LÄN</t>
        </is>
      </c>
      <c r="G516" t="inlineStr">
        <is>
          <t>NORRKÖPING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45628</v>
      </c>
      <c r="E517" s="1" t="n">
        <v>46235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63241-2025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46010</v>
      </c>
      <c r="E518" s="1" t="n">
        <v>46235</v>
      </c>
      <c r="F518" t="inlineStr">
        <is>
          <t>ÖSTERGÖTLANDS LÄN</t>
        </is>
      </c>
      <c r="G518" t="inlineStr">
        <is>
          <t>NORRKÖPING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45436</v>
      </c>
      <c r="E519" s="1" t="n">
        <v>46235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17852-2025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45758</v>
      </c>
      <c r="E520" s="1" t="n">
        <v>46235</v>
      </c>
      <c r="F520" t="inlineStr">
        <is>
          <t>ÖSTERGÖTLANDS LÄN</t>
        </is>
      </c>
      <c r="G520" t="inlineStr">
        <is>
          <t>NORRKÖPING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30901-2026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46213</v>
      </c>
      <c r="E521" s="1" t="n">
        <v>46235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26407-2023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45092</v>
      </c>
      <c r="E522" s="1" t="n">
        <v>46235</v>
      </c>
      <c r="F522" t="inlineStr">
        <is>
          <t>ÖSTERGÖTLANDS LÄN</t>
        </is>
      </c>
      <c r="G522" t="inlineStr">
        <is>
          <t>NORRKÖPING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36412-2024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45535</v>
      </c>
      <c r="E523" s="1" t="n">
        <v>46235</v>
      </c>
      <c r="F523" t="inlineStr">
        <is>
          <t>ÖSTERGÖTLANDS LÄN</t>
        </is>
      </c>
      <c r="G523" t="inlineStr">
        <is>
          <t>NORRKÖPING</t>
        </is>
      </c>
      <c r="I523" t="n">
        <v>12.8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45373</v>
      </c>
      <c r="E524" s="1" t="n">
        <v>46235</v>
      </c>
      <c r="F524" t="inlineStr">
        <is>
          <t>ÖSTERGÖTLANDS LÄN</t>
        </is>
      </c>
      <c r="G524" t="inlineStr">
        <is>
          <t>NORRKÖPING</t>
        </is>
      </c>
      <c r="I524" t="n">
        <v>8.6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30905-2026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46213</v>
      </c>
      <c r="E525" s="1" t="n">
        <v>46235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31838-2023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46235</v>
      </c>
      <c r="F526" t="inlineStr">
        <is>
          <t>ÖSTERGÖTLANDS LÄN</t>
        </is>
      </c>
      <c r="G526" t="inlineStr">
        <is>
          <t>NORRKÖPING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51124-2023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45219</v>
      </c>
      <c r="E527" s="1" t="n">
        <v>46235</v>
      </c>
      <c r="F527" t="inlineStr">
        <is>
          <t>ÖSTERGÖTLANDS LÄN</t>
        </is>
      </c>
      <c r="G527" t="inlineStr">
        <is>
          <t>NORRKÖPING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45330</v>
      </c>
      <c r="E528" s="1" t="n">
        <v>46235</v>
      </c>
      <c r="F528" t="inlineStr">
        <is>
          <t>ÖSTERGÖTLANDS LÄN</t>
        </is>
      </c>
      <c r="G528" t="inlineStr">
        <is>
          <t>NORRKÖPING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12538-2024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45379</v>
      </c>
      <c r="E529" s="1" t="n">
        <v>46235</v>
      </c>
      <c r="F529" t="inlineStr">
        <is>
          <t>ÖSTERGÖTLANDS LÄN</t>
        </is>
      </c>
      <c r="G529" t="inlineStr">
        <is>
          <t>NORRKÖPING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45386</v>
      </c>
      <c r="E530" s="1" t="n">
        <v>46235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46213</v>
      </c>
      <c r="E531" s="1" t="n">
        <v>46235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14.9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31078-2026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46216</v>
      </c>
      <c r="E532" s="1" t="n">
        <v>46235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56210-2023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45240</v>
      </c>
      <c r="E533" s="1" t="n">
        <v>46235</v>
      </c>
      <c r="F533" t="inlineStr">
        <is>
          <t>ÖSTERGÖTLANDS LÄN</t>
        </is>
      </c>
      <c r="G533" t="inlineStr">
        <is>
          <t>NORRKÖPING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31229-2026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46217</v>
      </c>
      <c r="E534" s="1" t="n">
        <v>46235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46218</v>
      </c>
      <c r="E535" s="1" t="n">
        <v>46235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63944-2025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46235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6490-2024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45339</v>
      </c>
      <c r="E537" s="1" t="n">
        <v>46235</v>
      </c>
      <c r="F537" t="inlineStr">
        <is>
          <t>ÖSTERGÖTLANDS LÄN</t>
        </is>
      </c>
      <c r="G537" t="inlineStr">
        <is>
          <t>NORRKÖPING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46235</v>
      </c>
      <c r="F538" t="inlineStr">
        <is>
          <t>ÖSTERGÖTLANDS LÄN</t>
        </is>
      </c>
      <c r="G538" t="inlineStr">
        <is>
          <t>NORRKÖPING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46218</v>
      </c>
      <c r="E539" s="1" t="n">
        <v>46235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16590-2024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45408</v>
      </c>
      <c r="E540" s="1" t="n">
        <v>46235</v>
      </c>
      <c r="F540" t="inlineStr">
        <is>
          <t>ÖSTERGÖTLANDS LÄN</t>
        </is>
      </c>
      <c r="G540" t="inlineStr">
        <is>
          <t>NORRKÖPING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46030</v>
      </c>
      <c r="E541" s="1" t="n">
        <v>46235</v>
      </c>
      <c r="F541" t="inlineStr">
        <is>
          <t>ÖSTERGÖTLANDS LÄN</t>
        </is>
      </c>
      <c r="G541" t="inlineStr">
        <is>
          <t>NORRKÖPING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59520-2023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45254</v>
      </c>
      <c r="E542" s="1" t="n">
        <v>46235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BillerudKorsnäs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7709-2022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44607</v>
      </c>
      <c r="E543" s="1" t="n">
        <v>46235</v>
      </c>
      <c r="F543" t="inlineStr">
        <is>
          <t>ÖSTERGÖTLANDS LÄN</t>
        </is>
      </c>
      <c r="G543" t="inlineStr">
        <is>
          <t>NORRKÖPING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31225-2026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46217</v>
      </c>
      <c r="E544" s="1" t="n">
        <v>46235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46235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Allmännings- och besparingsskogar</t>
        </is>
      </c>
      <c r="I545" t="n">
        <v>12.4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3650-2023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44950</v>
      </c>
      <c r="E546" s="1" t="n">
        <v>46235</v>
      </c>
      <c r="F546" t="inlineStr">
        <is>
          <t>ÖSTERGÖTLANDS LÄN</t>
        </is>
      </c>
      <c r="G546" t="inlineStr">
        <is>
          <t>NORRKÖPING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26391-2023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46235</v>
      </c>
      <c r="F547" t="inlineStr">
        <is>
          <t>ÖSTERGÖTLANDS LÄN</t>
        </is>
      </c>
      <c r="G547" t="inlineStr">
        <is>
          <t>NORRKÖPING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45006</v>
      </c>
      <c r="E548" s="1" t="n">
        <v>46235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11144-2025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45723</v>
      </c>
      <c r="E549" s="1" t="n">
        <v>46235</v>
      </c>
      <c r="F549" t="inlineStr">
        <is>
          <t>ÖSTERGÖTLANDS LÄN</t>
        </is>
      </c>
      <c r="G549" t="inlineStr">
        <is>
          <t>NORRKÖPING</t>
        </is>
      </c>
      <c r="I549" t="n">
        <v>5.1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46235</v>
      </c>
      <c r="F550" t="inlineStr">
        <is>
          <t>ÖSTERGÖTLANDS LÄN</t>
        </is>
      </c>
      <c r="G550" t="inlineStr">
        <is>
          <t>NORRKÖPING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16703-2023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45030</v>
      </c>
      <c r="E551" s="1" t="n">
        <v>46235</v>
      </c>
      <c r="F551" t="inlineStr">
        <is>
          <t>ÖSTERGÖTLANDS LÄN</t>
        </is>
      </c>
      <c r="G551" t="inlineStr">
        <is>
          <t>NORRKÖPING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16708-2023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45030</v>
      </c>
      <c r="E552" s="1" t="n">
        <v>46235</v>
      </c>
      <c r="F552" t="inlineStr">
        <is>
          <t>ÖSTERGÖTLANDS LÄN</t>
        </is>
      </c>
      <c r="G552" t="inlineStr">
        <is>
          <t>NORRKÖPING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46175</v>
      </c>
      <c r="E553" s="1" t="n">
        <v>46235</v>
      </c>
      <c r="F553" t="inlineStr">
        <is>
          <t>ÖSTERGÖTLANDS LÄN</t>
        </is>
      </c>
      <c r="G553" t="inlineStr">
        <is>
          <t>NORRKÖPING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11612-2023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44994</v>
      </c>
      <c r="E554" s="1" t="n">
        <v>46235</v>
      </c>
      <c r="F554" t="inlineStr">
        <is>
          <t>ÖSTERGÖTLANDS LÄN</t>
        </is>
      </c>
      <c r="G554" t="inlineStr">
        <is>
          <t>NORRKÖPING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46037</v>
      </c>
      <c r="E555" s="1" t="n">
        <v>46235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46235</v>
      </c>
      <c r="F556" t="inlineStr">
        <is>
          <t>ÖSTERGÖTLANDS LÄN</t>
        </is>
      </c>
      <c r="G556" t="inlineStr">
        <is>
          <t>NORRKÖPING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46235</v>
      </c>
      <c r="F557" t="inlineStr">
        <is>
          <t>ÖSTERGÖTLANDS LÄN</t>
        </is>
      </c>
      <c r="G557" t="inlineStr">
        <is>
          <t>NORRKÖPING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45110</v>
      </c>
      <c r="E558" s="1" t="n">
        <v>46235</v>
      </c>
      <c r="F558" t="inlineStr">
        <is>
          <t>ÖSTERGÖTLANDS LÄN</t>
        </is>
      </c>
      <c r="G558" t="inlineStr">
        <is>
          <t>NORRKÖPING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30159-2023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46235</v>
      </c>
      <c r="F559" t="inlineStr">
        <is>
          <t>ÖSTERGÖTLANDS LÄN</t>
        </is>
      </c>
      <c r="G559" t="inlineStr">
        <is>
          <t>NORRKÖPING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46235</v>
      </c>
      <c r="F560" t="inlineStr">
        <is>
          <t>ÖSTERGÖTLANDS LÄN</t>
        </is>
      </c>
      <c r="G560" t="inlineStr">
        <is>
          <t>NORRKÖPING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46235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Kommuner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46213</v>
      </c>
      <c r="E562" s="1" t="n">
        <v>46235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Allmännings- och besparingsskogar</t>
        </is>
      </c>
      <c r="I562" t="n">
        <v>6.1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16594-2023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45027</v>
      </c>
      <c r="E563" s="1" t="n">
        <v>46235</v>
      </c>
      <c r="F563" t="inlineStr">
        <is>
          <t>ÖSTERGÖTLANDS LÄN</t>
        </is>
      </c>
      <c r="G563" t="inlineStr">
        <is>
          <t>NORRKÖPING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46235</v>
      </c>
      <c r="F564" t="inlineStr">
        <is>
          <t>ÖSTERGÖTLANDS LÄN</t>
        </is>
      </c>
      <c r="G564" t="inlineStr">
        <is>
          <t>NORRKÖPING</t>
        </is>
      </c>
      <c r="I564" t="n">
        <v>7.4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45132</v>
      </c>
      <c r="E565" s="1" t="n">
        <v>46235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Allmännings- och besparingsskogar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46235</v>
      </c>
      <c r="F566" t="inlineStr">
        <is>
          <t>ÖSTERGÖTLANDS LÄN</t>
        </is>
      </c>
      <c r="G566" t="inlineStr">
        <is>
          <t>NORRKÖPING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11737-2024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46235</v>
      </c>
      <c r="F567" t="inlineStr">
        <is>
          <t>ÖSTERGÖTLANDS LÄN</t>
        </is>
      </c>
      <c r="G567" t="inlineStr">
        <is>
          <t>NORRKÖPING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46235</v>
      </c>
      <c r="F568" t="inlineStr">
        <is>
          <t>ÖSTERGÖTLANDS LÄN</t>
        </is>
      </c>
      <c r="G568" t="inlineStr">
        <is>
          <t>NORRKÖPING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28600-2024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45478</v>
      </c>
      <c r="E569" s="1" t="n">
        <v>46235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Holmen skog AB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26085-2026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46235</v>
      </c>
      <c r="F570" t="inlineStr">
        <is>
          <t>ÖSTERGÖTLANDS LÄN</t>
        </is>
      </c>
      <c r="G570" t="inlineStr">
        <is>
          <t>NORRKÖPING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10989-2024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45370</v>
      </c>
      <c r="E571" s="1" t="n">
        <v>46235</v>
      </c>
      <c r="F571" t="inlineStr">
        <is>
          <t>ÖSTERGÖTLANDS LÄN</t>
        </is>
      </c>
      <c r="G571" t="inlineStr">
        <is>
          <t>NORRKÖPING</t>
        </is>
      </c>
      <c r="H571" t="inlineStr">
        <is>
          <t>Holmen skog AB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40816-2024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45558</v>
      </c>
      <c r="E572" s="1" t="n">
        <v>46235</v>
      </c>
      <c r="F572" t="inlineStr">
        <is>
          <t>ÖSTERGÖTLANDS LÄN</t>
        </is>
      </c>
      <c r="G572" t="inlineStr">
        <is>
          <t>NORRKÖPING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44935</v>
      </c>
      <c r="E573" s="1" t="n">
        <v>46235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25687-2026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46235</v>
      </c>
      <c r="F574" t="inlineStr">
        <is>
          <t>ÖSTERGÖTLANDS LÄN</t>
        </is>
      </c>
      <c r="G574" t="inlineStr">
        <is>
          <t>NORRKÖPING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46178</v>
      </c>
      <c r="E575" s="1" t="n">
        <v>46235</v>
      </c>
      <c r="F575" t="inlineStr">
        <is>
          <t>ÖSTERGÖTLANDS LÄN</t>
        </is>
      </c>
      <c r="G575" t="inlineStr">
        <is>
          <t>NORRKÖPING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25711-2026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46235</v>
      </c>
      <c r="F576" t="inlineStr">
        <is>
          <t>ÖSTERGÖTLANDS LÄN</t>
        </is>
      </c>
      <c r="G576" t="inlineStr">
        <is>
          <t>NORRKÖPING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46178</v>
      </c>
      <c r="E577" s="1" t="n">
        <v>46235</v>
      </c>
      <c r="F577" t="inlineStr">
        <is>
          <t>ÖSTERGÖTLANDS LÄN</t>
        </is>
      </c>
      <c r="G577" t="inlineStr">
        <is>
          <t>NORRKÖPING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44957</v>
      </c>
      <c r="E578" s="1" t="n">
        <v>46235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59768-2021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44494</v>
      </c>
      <c r="E579" s="1" t="n">
        <v>46235</v>
      </c>
      <c r="F579" t="inlineStr">
        <is>
          <t>ÖSTERGÖTLANDS LÄN</t>
        </is>
      </c>
      <c r="G579" t="inlineStr">
        <is>
          <t>NORRKÖPING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8220-2023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44974</v>
      </c>
      <c r="E580" s="1" t="n">
        <v>46235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46046</v>
      </c>
      <c r="E581" s="1" t="n">
        <v>46235</v>
      </c>
      <c r="F581" t="inlineStr">
        <is>
          <t>ÖSTERGÖTLANDS LÄN</t>
        </is>
      </c>
      <c r="G581" t="inlineStr">
        <is>
          <t>NORRKÖPING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46048</v>
      </c>
      <c r="E582" s="1" t="n">
        <v>46235</v>
      </c>
      <c r="F582" t="inlineStr">
        <is>
          <t>ÖSTERGÖTLANDS LÄN</t>
        </is>
      </c>
      <c r="G582" t="inlineStr">
        <is>
          <t>NORRKÖPING</t>
        </is>
      </c>
      <c r="I582" t="n">
        <v>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46235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Allmännings- och besparingsskogar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46046</v>
      </c>
      <c r="E584" s="1" t="n">
        <v>46235</v>
      </c>
      <c r="F584" t="inlineStr">
        <is>
          <t>ÖSTERGÖTLANDS LÄN</t>
        </is>
      </c>
      <c r="G584" t="inlineStr">
        <is>
          <t>NORRKÖPING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46235</v>
      </c>
      <c r="F585" t="inlineStr">
        <is>
          <t>ÖSTERGÖTLANDS LÄN</t>
        </is>
      </c>
      <c r="G585" t="inlineStr">
        <is>
          <t>NORRKÖPING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19785-2025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45771</v>
      </c>
      <c r="E586" s="1" t="n">
        <v>46235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26106-2026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46181</v>
      </c>
      <c r="E587" s="1" t="n">
        <v>46235</v>
      </c>
      <c r="F587" t="inlineStr">
        <is>
          <t>ÖSTERGÖTLANDS LÄN</t>
        </is>
      </c>
      <c r="G587" t="inlineStr">
        <is>
          <t>NORRKÖPING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46052</v>
      </c>
      <c r="E588" s="1" t="n">
        <v>46235</v>
      </c>
      <c r="F588" t="inlineStr">
        <is>
          <t>ÖSTERGÖTLANDS LÄN</t>
        </is>
      </c>
      <c r="G588" t="inlineStr">
        <is>
          <t>NORRKÖPING</t>
        </is>
      </c>
      <c r="I588" t="n">
        <v>10.1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24018-2025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45796</v>
      </c>
      <c r="E589" s="1" t="n">
        <v>46235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8.6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6011-2026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46052</v>
      </c>
      <c r="E590" s="1" t="n">
        <v>46235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28663-2024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45478</v>
      </c>
      <c r="E591" s="1" t="n">
        <v>46235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45637</v>
      </c>
      <c r="E592" s="1" t="n">
        <v>46235</v>
      </c>
      <c r="F592" t="inlineStr">
        <is>
          <t>ÖSTERGÖTLANDS LÄN</t>
        </is>
      </c>
      <c r="G592" t="inlineStr">
        <is>
          <t>NORRKÖPING</t>
        </is>
      </c>
      <c r="I592" t="n">
        <v>24.7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46235</v>
      </c>
      <c r="F593" t="inlineStr">
        <is>
          <t>ÖSTERGÖTLANDS LÄN</t>
        </is>
      </c>
      <c r="G593" t="inlineStr">
        <is>
          <t>NORRKÖPING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25694-2026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46235</v>
      </c>
      <c r="F594" t="inlineStr">
        <is>
          <t>ÖSTERGÖTLANDS LÄN</t>
        </is>
      </c>
      <c r="G594" t="inlineStr">
        <is>
          <t>NORRKÖPING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48758-2024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45593</v>
      </c>
      <c r="E595" s="1" t="n">
        <v>46235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46235</v>
      </c>
      <c r="F596" t="inlineStr">
        <is>
          <t>ÖSTERGÖTLANDS LÄN</t>
        </is>
      </c>
      <c r="G596" t="inlineStr">
        <is>
          <t>NORRKÖPING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25715-2026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46235</v>
      </c>
      <c r="F597" t="inlineStr">
        <is>
          <t>ÖSTERGÖTLANDS LÄN</t>
        </is>
      </c>
      <c r="G597" t="inlineStr">
        <is>
          <t>NORRKÖPING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33170-2023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45126</v>
      </c>
      <c r="E598" s="1" t="n">
        <v>46235</v>
      </c>
      <c r="F598" t="inlineStr">
        <is>
          <t>ÖSTERGÖTLANDS LÄN</t>
        </is>
      </c>
      <c r="G598" t="inlineStr">
        <is>
          <t>NORRKÖPING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33171-2023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45126</v>
      </c>
      <c r="E599" s="1" t="n">
        <v>46235</v>
      </c>
      <c r="F599" t="inlineStr">
        <is>
          <t>ÖSTERGÖTLANDS LÄN</t>
        </is>
      </c>
      <c r="G599" t="inlineStr">
        <is>
          <t>NORRKÖPING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46235</v>
      </c>
      <c r="F600" t="inlineStr">
        <is>
          <t>ÖSTERGÖTLANDS LÄN</t>
        </is>
      </c>
      <c r="G600" t="inlineStr">
        <is>
          <t>NORRKÖPING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46235</v>
      </c>
      <c r="F601" t="inlineStr">
        <is>
          <t>ÖSTERGÖTLANDS LÄN</t>
        </is>
      </c>
      <c r="G601" t="inlineStr">
        <is>
          <t>NORRKÖPING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46235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Kommuner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34977-2023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45141</v>
      </c>
      <c r="E603" s="1" t="n">
        <v>46235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26360-2026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46182</v>
      </c>
      <c r="E604" s="1" t="n">
        <v>46235</v>
      </c>
      <c r="F604" t="inlineStr">
        <is>
          <t>ÖSTERGÖTLANDS LÄN</t>
        </is>
      </c>
      <c r="G604" t="inlineStr">
        <is>
          <t>NORRKÖPING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26349-2026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46182</v>
      </c>
      <c r="E605" s="1" t="n">
        <v>46235</v>
      </c>
      <c r="F605" t="inlineStr">
        <is>
          <t>ÖSTERGÖTLANDS LÄN</t>
        </is>
      </c>
      <c r="G605" t="inlineStr">
        <is>
          <t>NORRKÖPING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24634-2025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45798</v>
      </c>
      <c r="E606" s="1" t="n">
        <v>46235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Holmen skog AB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45145</v>
      </c>
      <c r="E607" s="1" t="n">
        <v>46235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15190-2024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45400</v>
      </c>
      <c r="E608" s="1" t="n">
        <v>46235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26355-2026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46235</v>
      </c>
      <c r="F609" t="inlineStr">
        <is>
          <t>ÖSTERGÖTLANDS LÄN</t>
        </is>
      </c>
      <c r="G609" t="inlineStr">
        <is>
          <t>NORRKÖPING</t>
        </is>
      </c>
      <c r="I609" t="n">
        <v>6.8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46225</v>
      </c>
      <c r="E610" s="1" t="n">
        <v>46235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15640-2024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45403</v>
      </c>
      <c r="E611" s="1" t="n">
        <v>46235</v>
      </c>
      <c r="F611" t="inlineStr">
        <is>
          <t>ÖSTERGÖTLANDS LÄN</t>
        </is>
      </c>
      <c r="G611" t="inlineStr">
        <is>
          <t>NORRKÖPING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44935</v>
      </c>
      <c r="E612" s="1" t="n">
        <v>46235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45118</v>
      </c>
      <c r="E613" s="1" t="n">
        <v>46235</v>
      </c>
      <c r="F613" t="inlineStr">
        <is>
          <t>ÖSTERGÖTLANDS LÄN</t>
        </is>
      </c>
      <c r="G613" t="inlineStr">
        <is>
          <t>NORRKÖPING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31359-2023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46235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46235</v>
      </c>
      <c r="F615" t="inlineStr">
        <is>
          <t>ÖSTERGÖTLANDS LÄN</t>
        </is>
      </c>
      <c r="G615" t="inlineStr">
        <is>
          <t>NORRKÖPING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9201-2023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44980</v>
      </c>
      <c r="E616" s="1" t="n">
        <v>46235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7742-2025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45706</v>
      </c>
      <c r="E617" s="1" t="n">
        <v>46235</v>
      </c>
      <c r="F617" t="inlineStr">
        <is>
          <t>ÖSTERGÖTLANDS LÄN</t>
        </is>
      </c>
      <c r="G617" t="inlineStr">
        <is>
          <t>NORRKÖPING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22479-2026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46235</v>
      </c>
      <c r="F618" t="inlineStr">
        <is>
          <t>ÖSTERGÖTLANDS LÄN</t>
        </is>
      </c>
      <c r="G618" t="inlineStr">
        <is>
          <t>NORRKÖPING</t>
        </is>
      </c>
      <c r="I618" t="n">
        <v>3.5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26999-2026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46235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26953-2026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46235</v>
      </c>
      <c r="F620" t="inlineStr">
        <is>
          <t>ÖSTERGÖTLANDS LÄN</t>
        </is>
      </c>
      <c r="G620" t="inlineStr">
        <is>
          <t>NORRKÖPING</t>
        </is>
      </c>
      <c r="H620" t="inlineStr">
        <is>
          <t>Holmen skog AB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38441-2024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46235</v>
      </c>
      <c r="F621" t="inlineStr">
        <is>
          <t>ÖSTERGÖTLANDS LÄN</t>
        </is>
      </c>
      <c r="G621" t="inlineStr">
        <is>
          <t>NORRKÖPING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8806-2024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45356</v>
      </c>
      <c r="E622" s="1" t="n">
        <v>46235</v>
      </c>
      <c r="F622" t="inlineStr">
        <is>
          <t>ÖSTERGÖTLANDS LÄN</t>
        </is>
      </c>
      <c r="G622" t="inlineStr">
        <is>
          <t>NORRKÖPING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8569-2023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44977</v>
      </c>
      <c r="E623" s="1" t="n">
        <v>46235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26392-2023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45092</v>
      </c>
      <c r="E624" s="1" t="n">
        <v>46235</v>
      </c>
      <c r="F624" t="inlineStr">
        <is>
          <t>ÖSTERGÖTLANDS LÄN</t>
        </is>
      </c>
      <c r="G624" t="inlineStr">
        <is>
          <t>NORRKÖPING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62049-2023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45266</v>
      </c>
      <c r="E625" s="1" t="n">
        <v>46235</v>
      </c>
      <c r="F625" t="inlineStr">
        <is>
          <t>ÖSTERGÖTLANDS LÄN</t>
        </is>
      </c>
      <c r="G625" t="inlineStr">
        <is>
          <t>NORRKÖPING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46231</v>
      </c>
      <c r="E626" s="1" t="n">
        <v>46235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3070-2025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45678</v>
      </c>
      <c r="E627" s="1" t="n">
        <v>46235</v>
      </c>
      <c r="F627" t="inlineStr">
        <is>
          <t>ÖSTERGÖTLANDS LÄN</t>
        </is>
      </c>
      <c r="G627" t="inlineStr">
        <is>
          <t>NORRKÖPING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45309-2023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45191</v>
      </c>
      <c r="E628" s="1" t="n">
        <v>46235</v>
      </c>
      <c r="F628" t="inlineStr">
        <is>
          <t>ÖSTERGÖTLANDS LÄN</t>
        </is>
      </c>
      <c r="G628" t="inlineStr">
        <is>
          <t>NORRKÖPING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16949-2023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45033</v>
      </c>
      <c r="E629" s="1" t="n">
        <v>46235</v>
      </c>
      <c r="F629" t="inlineStr">
        <is>
          <t>ÖSTERGÖTLANDS LÄN</t>
        </is>
      </c>
      <c r="G629" t="inlineStr">
        <is>
          <t>NORRKÖPING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70378-2021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44536</v>
      </c>
      <c r="E630" s="1" t="n">
        <v>46235</v>
      </c>
      <c r="F630" t="inlineStr">
        <is>
          <t>ÖSTERGÖTLANDS LÄN</t>
        </is>
      </c>
      <c r="G630" t="inlineStr">
        <is>
          <t>NORRKÖPING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5868-2022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44596</v>
      </c>
      <c r="E631" s="1" t="n">
        <v>46235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Allmännings- och besparingsskogar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1506-2022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44573</v>
      </c>
      <c r="E632" s="1" t="n">
        <v>46235</v>
      </c>
      <c r="F632" t="inlineStr">
        <is>
          <t>ÖSTERGÖTLANDS LÄN</t>
        </is>
      </c>
      <c r="G632" t="inlineStr">
        <is>
          <t>NORRKÖPING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9781-2026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46072</v>
      </c>
      <c r="E633" s="1" t="n">
        <v>46235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Kyrkan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9787-2026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46072</v>
      </c>
      <c r="E634" s="1" t="n">
        <v>46235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Kyrkan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46235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27119-2026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46188</v>
      </c>
      <c r="E636" s="1" t="n">
        <v>46235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36571-2023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45153</v>
      </c>
      <c r="E637" s="1" t="n">
        <v>46235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51112-2024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45603</v>
      </c>
      <c r="E638" s="1" t="n">
        <v>46235</v>
      </c>
      <c r="F638" t="inlineStr">
        <is>
          <t>ÖSTERGÖTLANDS LÄN</t>
        </is>
      </c>
      <c r="G638" t="inlineStr">
        <is>
          <t>NORRKÖPING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11136-2025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45723</v>
      </c>
      <c r="E639" s="1" t="n">
        <v>46235</v>
      </c>
      <c r="F639" t="inlineStr">
        <is>
          <t>ÖSTERGÖTLANDS LÄN</t>
        </is>
      </c>
      <c r="G639" t="inlineStr">
        <is>
          <t>NORRKÖPING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1811-2023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44936</v>
      </c>
      <c r="E640" s="1" t="n">
        <v>46235</v>
      </c>
      <c r="F640" t="inlineStr">
        <is>
          <t>ÖSTERGÖTLANDS LÄN</t>
        </is>
      </c>
      <c r="G640" t="inlineStr">
        <is>
          <t>NORRKÖPING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46235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14585-2025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45742</v>
      </c>
      <c r="E642" s="1" t="n">
        <v>46235</v>
      </c>
      <c r="F642" t="inlineStr">
        <is>
          <t>ÖSTERGÖTLANDS LÄN</t>
        </is>
      </c>
      <c r="G642" t="inlineStr">
        <is>
          <t>NORRKÖPING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39232-2024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45550</v>
      </c>
      <c r="E643" s="1" t="n">
        <v>46235</v>
      </c>
      <c r="F643" t="inlineStr">
        <is>
          <t>ÖSTERGÖTLANDS LÄN</t>
        </is>
      </c>
      <c r="G643" t="inlineStr">
        <is>
          <t>NORRKÖPING</t>
        </is>
      </c>
      <c r="I643" t="n">
        <v>6.2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10261-2026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46235</v>
      </c>
      <c r="F644" t="inlineStr">
        <is>
          <t>ÖSTERGÖTLANDS LÄN</t>
        </is>
      </c>
      <c r="G644" t="inlineStr">
        <is>
          <t>NORRKÖPING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10375-2026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46235</v>
      </c>
      <c r="F645" t="inlineStr">
        <is>
          <t>ÖSTERGÖTLANDS LÄN</t>
        </is>
      </c>
      <c r="G645" t="inlineStr">
        <is>
          <t>NORRKÖPING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45153</v>
      </c>
      <c r="E646" s="1" t="n">
        <v>46235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10266-2026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46076</v>
      </c>
      <c r="E647" s="1" t="n">
        <v>46235</v>
      </c>
      <c r="F647" t="inlineStr">
        <is>
          <t>ÖSTERGÖTLANDS LÄN</t>
        </is>
      </c>
      <c r="G647" t="inlineStr">
        <is>
          <t>NORRKÖPING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10377-2026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46076</v>
      </c>
      <c r="E648" s="1" t="n">
        <v>46235</v>
      </c>
      <c r="F648" t="inlineStr">
        <is>
          <t>ÖSTERGÖTLANDS LÄN</t>
        </is>
      </c>
      <c r="G648" t="inlineStr">
        <is>
          <t>NORRKÖPING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46233</v>
      </c>
      <c r="E649" s="1" t="n">
        <v>46235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46235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32073-2026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46233</v>
      </c>
      <c r="E651" s="1" t="n">
        <v>46235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46233</v>
      </c>
      <c r="E652" s="1" t="n">
        <v>46235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46235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32027-2026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46233</v>
      </c>
      <c r="E654" s="1" t="n">
        <v>46235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11767-2025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45727</v>
      </c>
      <c r="E655" s="1" t="n">
        <v>46235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Allmännings- och besparingsskogar</t>
        </is>
      </c>
      <c r="I655" t="n">
        <v>5.7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46235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32028-2026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46235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46079</v>
      </c>
      <c r="E658" s="1" t="n">
        <v>46235</v>
      </c>
      <c r="F658" t="inlineStr">
        <is>
          <t>ÖSTERGÖTLANDS LÄN</t>
        </is>
      </c>
      <c r="G658" t="inlineStr">
        <is>
          <t>NORRKÖPING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46235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37700-2023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45159</v>
      </c>
      <c r="E660" s="1" t="n">
        <v>46235</v>
      </c>
      <c r="F660" t="inlineStr">
        <is>
          <t>ÖSTERGÖTLANDS LÄN</t>
        </is>
      </c>
      <c r="G660" t="inlineStr">
        <is>
          <t>NORRKÖPING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19702-2024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45432</v>
      </c>
      <c r="E661" s="1" t="n">
        <v>46235</v>
      </c>
      <c r="F661" t="inlineStr">
        <is>
          <t>ÖSTERGÖTLANDS LÄN</t>
        </is>
      </c>
      <c r="G661" t="inlineStr">
        <is>
          <t>NORRKÖPING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11041-2026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46079</v>
      </c>
      <c r="E662" s="1" t="n">
        <v>46235</v>
      </c>
      <c r="F662" t="inlineStr">
        <is>
          <t>ÖSTERGÖTLANDS LÄN</t>
        </is>
      </c>
      <c r="G662" t="inlineStr">
        <is>
          <t>NORRKÖPING</t>
        </is>
      </c>
      <c r="I662" t="n">
        <v>8.199999999999999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46079</v>
      </c>
      <c r="E663" s="1" t="n">
        <v>46235</v>
      </c>
      <c r="F663" t="inlineStr">
        <is>
          <t>ÖSTERGÖTLANDS LÄN</t>
        </is>
      </c>
      <c r="G663" t="inlineStr">
        <is>
          <t>NORRKÖPING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18705-2023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46235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11693-2026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46084</v>
      </c>
      <c r="E665" s="1" t="n">
        <v>46235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Allmännings- och besparingsskogar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59580-2022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44907</v>
      </c>
      <c r="E666" s="1" t="n">
        <v>46235</v>
      </c>
      <c r="F666" t="inlineStr">
        <is>
          <t>ÖSTERGÖTLANDS LÄN</t>
        </is>
      </c>
      <c r="G666" t="inlineStr">
        <is>
          <t>NORRKÖPING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49465-2023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45211</v>
      </c>
      <c r="E667" s="1" t="n">
        <v>46235</v>
      </c>
      <c r="F667" t="inlineStr">
        <is>
          <t>ÖSTERGÖTLANDS LÄN</t>
        </is>
      </c>
      <c r="G667" t="inlineStr">
        <is>
          <t>NORRKÖPING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12727-2022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44641</v>
      </c>
      <c r="E668" s="1" t="n">
        <v>46235</v>
      </c>
      <c r="F668" t="inlineStr">
        <is>
          <t>ÖSTERGÖTLANDS LÄN</t>
        </is>
      </c>
      <c r="G668" t="inlineStr">
        <is>
          <t>NORRKÖPING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44936</v>
      </c>
      <c r="E669" s="1" t="n">
        <v>46235</v>
      </c>
      <c r="F669" t="inlineStr">
        <is>
          <t>ÖSTERGÖTLANDS LÄN</t>
        </is>
      </c>
      <c r="G669" t="inlineStr">
        <is>
          <t>NORRKÖPING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43344-2023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45183</v>
      </c>
      <c r="E670" s="1" t="n">
        <v>46235</v>
      </c>
      <c r="F670" t="inlineStr">
        <is>
          <t>ÖSTERGÖTLANDS LÄN</t>
        </is>
      </c>
      <c r="G670" t="inlineStr">
        <is>
          <t>NORRKÖPING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43346-2023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46235</v>
      </c>
      <c r="F671" t="inlineStr">
        <is>
          <t>ÖSTERGÖTLANDS LÄN</t>
        </is>
      </c>
      <c r="G671" t="inlineStr">
        <is>
          <t>NORRKÖPING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2287-2025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45673</v>
      </c>
      <c r="E672" s="1" t="n">
        <v>46235</v>
      </c>
      <c r="F672" t="inlineStr">
        <is>
          <t>ÖSTERGÖTLANDS LÄN</t>
        </is>
      </c>
      <c r="G672" t="inlineStr">
        <is>
          <t>NORRKÖPING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19844-2023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45053</v>
      </c>
      <c r="E673" s="1" t="n">
        <v>46235</v>
      </c>
      <c r="F673" t="inlineStr">
        <is>
          <t>ÖSTERGÖTLANDS LÄN</t>
        </is>
      </c>
      <c r="G673" t="inlineStr">
        <is>
          <t>NORRKÖPING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50678-2023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45217</v>
      </c>
      <c r="E674" s="1" t="n">
        <v>46235</v>
      </c>
      <c r="F674" t="inlineStr">
        <is>
          <t>ÖSTERGÖTLANDS LÄN</t>
        </is>
      </c>
      <c r="G674" t="inlineStr">
        <is>
          <t>NORRKÖPING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58901-2024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45636</v>
      </c>
      <c r="E675" s="1" t="n">
        <v>46235</v>
      </c>
      <c r="F675" t="inlineStr">
        <is>
          <t>ÖSTERGÖTLANDS LÄN</t>
        </is>
      </c>
      <c r="G675" t="inlineStr">
        <is>
          <t>NORRKÖPING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15177-2023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45016</v>
      </c>
      <c r="E676" s="1" t="n">
        <v>46235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33446-2023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45129</v>
      </c>
      <c r="E677" s="1" t="n">
        <v>46235</v>
      </c>
      <c r="F677" t="inlineStr">
        <is>
          <t>ÖSTERGÖTLANDS LÄN</t>
        </is>
      </c>
      <c r="G677" t="inlineStr">
        <is>
          <t>NORRKÖPING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45313</v>
      </c>
      <c r="E678" s="1" t="n">
        <v>46235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Holmen skog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45121</v>
      </c>
      <c r="E679" s="1" t="n">
        <v>46235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12279-2026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46087</v>
      </c>
      <c r="E680" s="1" t="n">
        <v>46235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Allmännings- och besparingsskogar</t>
        </is>
      </c>
      <c r="I680" t="n">
        <v>6.9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9806-2026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46072</v>
      </c>
      <c r="E681" s="1" t="n">
        <v>46235</v>
      </c>
      <c r="F681" t="inlineStr">
        <is>
          <t>ÖSTERGÖTLANDS LÄN</t>
        </is>
      </c>
      <c r="G681" t="inlineStr">
        <is>
          <t>NORRKÖPING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9806-2026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46072</v>
      </c>
      <c r="E682" s="1" t="n">
        <v>46235</v>
      </c>
      <c r="F682" t="inlineStr">
        <is>
          <t>ÖSTERGÖTLANDS LÄN</t>
        </is>
      </c>
      <c r="G682" t="inlineStr">
        <is>
          <t>NORRKÖPING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12584-2026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46090</v>
      </c>
      <c r="E683" s="1" t="n">
        <v>46235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24354-2024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45457</v>
      </c>
      <c r="E684" s="1" t="n">
        <v>46235</v>
      </c>
      <c r="F684" t="inlineStr">
        <is>
          <t>ÖSTERGÖTLANDS LÄN</t>
        </is>
      </c>
      <c r="G684" t="inlineStr">
        <is>
          <t>NORRKÖPING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13012-2026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46092</v>
      </c>
      <c r="E685" s="1" t="n">
        <v>46235</v>
      </c>
      <c r="F685" t="inlineStr">
        <is>
          <t>ÖSTERGÖTLANDS LÄN</t>
        </is>
      </c>
      <c r="G685" t="inlineStr">
        <is>
          <t>NORRKÖPING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46235</v>
      </c>
      <c r="F686" t="inlineStr">
        <is>
          <t>ÖSTERGÖTLANDS LÄN</t>
        </is>
      </c>
      <c r="G686" t="inlineStr">
        <is>
          <t>NORRKÖPING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46235</v>
      </c>
      <c r="F687" t="inlineStr">
        <is>
          <t>ÖSTERGÖTLANDS LÄN</t>
        </is>
      </c>
      <c r="G687" t="inlineStr">
        <is>
          <t>NORRKÖPING</t>
        </is>
      </c>
      <c r="I687" t="n">
        <v>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13239-2026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46235</v>
      </c>
      <c r="F688" t="inlineStr">
        <is>
          <t>ÖSTERGÖTLANDS LÄN</t>
        </is>
      </c>
      <c r="G688" t="inlineStr">
        <is>
          <t>NORRKÖPING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13228-2026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46093</v>
      </c>
      <c r="E689" s="1" t="n">
        <v>46235</v>
      </c>
      <c r="F689" t="inlineStr">
        <is>
          <t>ÖSTERGÖTLANDS LÄN</t>
        </is>
      </c>
      <c r="G689" t="inlineStr">
        <is>
          <t>NORRKÖPING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46235</v>
      </c>
      <c r="F690" t="inlineStr">
        <is>
          <t>ÖSTERGÖTLANDS LÄN</t>
        </is>
      </c>
      <c r="G690" t="inlineStr">
        <is>
          <t>NORRKÖPING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30865-2024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45497</v>
      </c>
      <c r="E691" s="1" t="n">
        <v>46235</v>
      </c>
      <c r="F691" t="inlineStr">
        <is>
          <t>ÖSTERGÖTLANDS LÄN</t>
        </is>
      </c>
      <c r="G691" t="inlineStr">
        <is>
          <t>NORRKÖPING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13342-2026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46235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48091-2023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45205</v>
      </c>
      <c r="E693" s="1" t="n">
        <v>46235</v>
      </c>
      <c r="F693" t="inlineStr">
        <is>
          <t>ÖSTERGÖTLANDS LÄN</t>
        </is>
      </c>
      <c r="G693" t="inlineStr">
        <is>
          <t>NORRKÖPING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48122-2023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45205</v>
      </c>
      <c r="E694" s="1" t="n">
        <v>46235</v>
      </c>
      <c r="F694" t="inlineStr">
        <is>
          <t>ÖSTERGÖTLANDS LÄN</t>
        </is>
      </c>
      <c r="G694" t="inlineStr">
        <is>
          <t>NORRKÖPING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13330-2026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46235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7763-2025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45706</v>
      </c>
      <c r="E696" s="1" t="n">
        <v>46235</v>
      </c>
      <c r="F696" t="inlineStr">
        <is>
          <t>ÖSTERGÖTLANDS LÄN</t>
        </is>
      </c>
      <c r="G696" t="inlineStr">
        <is>
          <t>NORRKÖPING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13388-2026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46235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2320-2024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46235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17503-2022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44679</v>
      </c>
      <c r="E699" s="1" t="n">
        <v>46235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Allmännings- och besparingsskogar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14587-2025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45742</v>
      </c>
      <c r="E700" s="1" t="n">
        <v>46235</v>
      </c>
      <c r="F700" t="inlineStr">
        <is>
          <t>ÖSTERGÖTLANDS LÄN</t>
        </is>
      </c>
      <c r="G700" t="inlineStr">
        <is>
          <t>NORRKÖPING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18128-2025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45761</v>
      </c>
      <c r="E701" s="1" t="n">
        <v>46235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11344-2022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44630</v>
      </c>
      <c r="E702" s="1" t="n">
        <v>46235</v>
      </c>
      <c r="F702" t="inlineStr">
        <is>
          <t>ÖSTERGÖTLANDS LÄN</t>
        </is>
      </c>
      <c r="G702" t="inlineStr">
        <is>
          <t>NORRKÖPING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49462-2023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45211</v>
      </c>
      <c r="E703" s="1" t="n">
        <v>46235</v>
      </c>
      <c r="F703" t="inlineStr">
        <is>
          <t>ÖSTERGÖTLANDS LÄN</t>
        </is>
      </c>
      <c r="G703" t="inlineStr">
        <is>
          <t>NORRKÖPING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14674-2026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46235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14645-2026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46101</v>
      </c>
      <c r="E705" s="1" t="n">
        <v>46235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17813-2025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45758</v>
      </c>
      <c r="E706" s="1" t="n">
        <v>46235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3.8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45709</v>
      </c>
      <c r="E707" s="1" t="n">
        <v>46235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14138-2022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44651</v>
      </c>
      <c r="E708" s="1" t="n">
        <v>46235</v>
      </c>
      <c r="F708" t="inlineStr">
        <is>
          <t>ÖSTERGÖTLANDS LÄN</t>
        </is>
      </c>
      <c r="G708" t="inlineStr">
        <is>
          <t>NORRKÖPING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15722-2026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46235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22319-2024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45446</v>
      </c>
      <c r="E710" s="1" t="n">
        <v>46235</v>
      </c>
      <c r="F710" t="inlineStr">
        <is>
          <t>ÖSTERGÖTLANDS LÄN</t>
        </is>
      </c>
      <c r="G710" t="inlineStr">
        <is>
          <t>NORRKÖPING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45446</v>
      </c>
      <c r="E711" s="1" t="n">
        <v>46235</v>
      </c>
      <c r="F711" t="inlineStr">
        <is>
          <t>ÖSTERGÖTLANDS LÄN</t>
        </is>
      </c>
      <c r="G711" t="inlineStr">
        <is>
          <t>NORRKÖPING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57405-2024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45629</v>
      </c>
      <c r="E712" s="1" t="n">
        <v>46235</v>
      </c>
      <c r="F712" t="inlineStr">
        <is>
          <t>ÖSTERGÖTLANDS LÄN</t>
        </is>
      </c>
      <c r="G712" t="inlineStr">
        <is>
          <t>NORRKÖPING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15531-2026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46106</v>
      </c>
      <c r="E713" s="1" t="n">
        <v>46235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16083-2026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46235</v>
      </c>
      <c r="F714" t="inlineStr">
        <is>
          <t>ÖSTERGÖTLANDS LÄN</t>
        </is>
      </c>
      <c r="G714" t="inlineStr">
        <is>
          <t>NORRKÖPING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16682-2026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46235</v>
      </c>
      <c r="F715" t="inlineStr">
        <is>
          <t>ÖSTERGÖTLANDS LÄN</t>
        </is>
      </c>
      <c r="G715" t="inlineStr">
        <is>
          <t>NORRKÖPING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59544-2023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45254</v>
      </c>
      <c r="E716" s="1" t="n">
        <v>46235</v>
      </c>
      <c r="F716" t="inlineStr">
        <is>
          <t>ÖSTERGÖTLANDS LÄN</t>
        </is>
      </c>
      <c r="G716" t="inlineStr">
        <is>
          <t>NORRKÖPING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50092-2023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45215</v>
      </c>
      <c r="E717" s="1" t="n">
        <v>46235</v>
      </c>
      <c r="F717" t="inlineStr">
        <is>
          <t>ÖSTERGÖTLANDS LÄN</t>
        </is>
      </c>
      <c r="G717" t="inlineStr">
        <is>
          <t>NORRKÖPING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44197-2023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45188</v>
      </c>
      <c r="E718" s="1" t="n">
        <v>46235</v>
      </c>
      <c r="F718" t="inlineStr">
        <is>
          <t>ÖSTERGÖTLANDS LÄN</t>
        </is>
      </c>
      <c r="G718" t="inlineStr">
        <is>
          <t>NORRKÖPING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9542-2025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45715</v>
      </c>
      <c r="E719" s="1" t="n">
        <v>46235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11140-2025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45723</v>
      </c>
      <c r="E720" s="1" t="n">
        <v>46235</v>
      </c>
      <c r="F720" t="inlineStr">
        <is>
          <t>ÖSTERGÖTLANDS LÄN</t>
        </is>
      </c>
      <c r="G720" t="inlineStr">
        <is>
          <t>NORRKÖPING</t>
        </is>
      </c>
      <c r="I720" t="n">
        <v>13.9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17452-2026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46120</v>
      </c>
      <c r="E721" s="1" t="n">
        <v>46235</v>
      </c>
      <c r="F721" t="inlineStr">
        <is>
          <t>ÖSTERGÖTLANDS LÄN</t>
        </is>
      </c>
      <c r="G721" t="inlineStr">
        <is>
          <t>NORRKÖPING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6568-2025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45699</v>
      </c>
      <c r="E722" s="1" t="n">
        <v>46235</v>
      </c>
      <c r="F722" t="inlineStr">
        <is>
          <t>ÖSTERGÖTLANDS LÄN</t>
        </is>
      </c>
      <c r="G722" t="inlineStr">
        <is>
          <t>NORRKÖPING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21093-2025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45777</v>
      </c>
      <c r="E723" s="1" t="n">
        <v>46235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17506-2026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46120</v>
      </c>
      <c r="E724" s="1" t="n">
        <v>46235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17453-2026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46120</v>
      </c>
      <c r="E725" s="1" t="n">
        <v>46235</v>
      </c>
      <c r="F725" t="inlineStr">
        <is>
          <t>ÖSTERGÖTLANDS LÄN</t>
        </is>
      </c>
      <c r="G725" t="inlineStr">
        <is>
          <t>NORRKÖPING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21542-2025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45782</v>
      </c>
      <c r="E726" s="1" t="n">
        <v>46235</v>
      </c>
      <c r="F726" t="inlineStr">
        <is>
          <t>ÖSTERGÖTLANDS LÄN</t>
        </is>
      </c>
      <c r="G726" t="inlineStr">
        <is>
          <t>NORRKÖPING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21770-2025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45783</v>
      </c>
      <c r="E727" s="1" t="n">
        <v>46235</v>
      </c>
      <c r="F727" t="inlineStr">
        <is>
          <t>ÖSTERGÖTLANDS LÄN</t>
        </is>
      </c>
      <c r="G727" t="inlineStr">
        <is>
          <t>NORRKÖPING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47846-2023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45204</v>
      </c>
      <c r="E728" s="1" t="n">
        <v>46235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Naturvårdsverket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26294-2024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45468</v>
      </c>
      <c r="E729" s="1" t="n">
        <v>46235</v>
      </c>
      <c r="F729" t="inlineStr">
        <is>
          <t>ÖSTERGÖTLANDS LÄN</t>
        </is>
      </c>
      <c r="G729" t="inlineStr">
        <is>
          <t>NORRKÖPING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21909-2025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45784</v>
      </c>
      <c r="E730" s="1" t="n">
        <v>46235</v>
      </c>
      <c r="F730" t="inlineStr">
        <is>
          <t>ÖSTERGÖTLANDS LÄN</t>
        </is>
      </c>
      <c r="G730" t="inlineStr">
        <is>
          <t>NORRKÖPING</t>
        </is>
      </c>
      <c r="I730" t="n">
        <v>7.9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21967-2025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45784</v>
      </c>
      <c r="E731" s="1" t="n">
        <v>46235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15459-2024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45401</v>
      </c>
      <c r="E732" s="1" t="n">
        <v>46235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63417-2023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45274</v>
      </c>
      <c r="E733" s="1" t="n">
        <v>46235</v>
      </c>
      <c r="F733" t="inlineStr">
        <is>
          <t>ÖSTERGÖTLANDS LÄN</t>
        </is>
      </c>
      <c r="G733" t="inlineStr">
        <is>
          <t>NORRKÖPING</t>
        </is>
      </c>
      <c r="I733" t="n">
        <v>5.8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18819-2026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46235</v>
      </c>
      <c r="F734" t="inlineStr">
        <is>
          <t>ÖSTERGÖTLANDS LÄN</t>
        </is>
      </c>
      <c r="G734" t="inlineStr">
        <is>
          <t>NORRKÖPING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18812-2026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46128</v>
      </c>
      <c r="E735" s="1" t="n">
        <v>46235</v>
      </c>
      <c r="F735" t="inlineStr">
        <is>
          <t>ÖSTERGÖTLANDS LÄN</t>
        </is>
      </c>
      <c r="G735" t="inlineStr">
        <is>
          <t>NORRKÖPING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58936-2023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45252</v>
      </c>
      <c r="E736" s="1" t="n">
        <v>46235</v>
      </c>
      <c r="F736" t="inlineStr">
        <is>
          <t>ÖSTERGÖTLANDS LÄN</t>
        </is>
      </c>
      <c r="G736" t="inlineStr">
        <is>
          <t>NORRKÖPING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45075-2023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45191</v>
      </c>
      <c r="E737" s="1" t="n">
        <v>46235</v>
      </c>
      <c r="F737" t="inlineStr">
        <is>
          <t>ÖSTERGÖTLANDS LÄN</t>
        </is>
      </c>
      <c r="G737" t="inlineStr">
        <is>
          <t>NORRKÖPING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17821-2025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45758</v>
      </c>
      <c r="E738" s="1" t="n">
        <v>46235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59964-2023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45254</v>
      </c>
      <c r="E739" s="1" t="n">
        <v>46235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57492-2023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45246</v>
      </c>
      <c r="E740" s="1" t="n">
        <v>46235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57496-2023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45246</v>
      </c>
      <c r="E741" s="1" t="n">
        <v>46235</v>
      </c>
      <c r="F741" t="inlineStr">
        <is>
          <t>ÖSTERGÖTLANDS LÄN</t>
        </is>
      </c>
      <c r="G741" t="inlineStr">
        <is>
          <t>NORRKÖPING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49882-2021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44455</v>
      </c>
      <c r="E742" s="1" t="n">
        <v>46235</v>
      </c>
      <c r="F742" t="inlineStr">
        <is>
          <t>ÖSTERGÖTLANDS LÄN</t>
        </is>
      </c>
      <c r="G742" t="inlineStr">
        <is>
          <t>NORRKÖPING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44956</v>
      </c>
      <c r="E743" s="1" t="n">
        <v>46235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10003-2025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45719</v>
      </c>
      <c r="E744" s="1" t="n">
        <v>46235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44956</v>
      </c>
      <c r="E745" s="1" t="n">
        <v>46235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59077-2023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45252</v>
      </c>
      <c r="E746" s="1" t="n">
        <v>46235</v>
      </c>
      <c r="F746" t="inlineStr">
        <is>
          <t>ÖSTERGÖTLANDS LÄN</t>
        </is>
      </c>
      <c r="G746" t="inlineStr">
        <is>
          <t>NORRKÖPING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62875-2023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45272</v>
      </c>
      <c r="E747" s="1" t="n">
        <v>46235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26398-2023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45092</v>
      </c>
      <c r="E748" s="1" t="n">
        <v>46235</v>
      </c>
      <c r="F748" t="inlineStr">
        <is>
          <t>ÖSTERGÖTLANDS LÄN</t>
        </is>
      </c>
      <c r="G748" t="inlineStr">
        <is>
          <t>NORRKÖPING</t>
        </is>
      </c>
      <c r="I748" t="n">
        <v>6.8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15082-2024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45399</v>
      </c>
      <c r="E749" s="1" t="n">
        <v>46235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22307-2025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45786</v>
      </c>
      <c r="E750" s="1" t="n">
        <v>46235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3263-2024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45317</v>
      </c>
      <c r="E751" s="1" t="n">
        <v>46235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1884-2025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45671</v>
      </c>
      <c r="E752" s="1" t="n">
        <v>46235</v>
      </c>
      <c r="F752" t="inlineStr">
        <is>
          <t>ÖSTERGÖTLANDS LÄN</t>
        </is>
      </c>
      <c r="G752" t="inlineStr">
        <is>
          <t>NORRKÖPING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32681-2025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45836</v>
      </c>
      <c r="E753" s="1" t="n">
        <v>46235</v>
      </c>
      <c r="F753" t="inlineStr">
        <is>
          <t>ÖSTERGÖTLANDS LÄN</t>
        </is>
      </c>
      <c r="G753" t="inlineStr">
        <is>
          <t>NORRKÖPING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38571-2025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45884</v>
      </c>
      <c r="E754" s="1" t="n">
        <v>46235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39224-2025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45889</v>
      </c>
      <c r="E755" s="1" t="n">
        <v>46235</v>
      </c>
      <c r="F755" t="inlineStr">
        <is>
          <t>ÖSTERGÖTLANDS LÄN</t>
        </is>
      </c>
      <c r="G755" t="inlineStr">
        <is>
          <t>NORRKÖPING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46205-2025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45924</v>
      </c>
      <c r="E756" s="1" t="n">
        <v>46235</v>
      </c>
      <c r="F756" t="inlineStr">
        <is>
          <t>ÖSTERGÖTLANDS LÄN</t>
        </is>
      </c>
      <c r="G756" t="inlineStr">
        <is>
          <t>NORRKÖPING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20001-2026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46135</v>
      </c>
      <c r="E757" s="1" t="n">
        <v>46235</v>
      </c>
      <c r="F757" t="inlineStr">
        <is>
          <t>ÖSTERGÖTLANDS LÄN</t>
        </is>
      </c>
      <c r="G757" t="inlineStr">
        <is>
          <t>NORRKÖPING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19801-2026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46135</v>
      </c>
      <c r="E758" s="1" t="n">
        <v>46235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62176-2024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45657</v>
      </c>
      <c r="E759" s="1" t="n">
        <v>46235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49778-2022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44862</v>
      </c>
      <c r="E760" s="1" t="n">
        <v>46235</v>
      </c>
      <c r="F760" t="inlineStr">
        <is>
          <t>ÖSTERGÖTLANDS LÄN</t>
        </is>
      </c>
      <c r="G760" t="inlineStr">
        <is>
          <t>NORRKÖPING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31364-2025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45833</v>
      </c>
      <c r="E761" s="1" t="n">
        <v>46235</v>
      </c>
      <c r="F761" t="inlineStr">
        <is>
          <t>ÖSTERGÖTLANDS LÄN</t>
        </is>
      </c>
      <c r="G761" t="inlineStr">
        <is>
          <t>NORRKÖPING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9696-2025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45716</v>
      </c>
      <c r="E762" s="1" t="n">
        <v>46235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62033-2023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45266</v>
      </c>
      <c r="E763" s="1" t="n">
        <v>46235</v>
      </c>
      <c r="F763" t="inlineStr">
        <is>
          <t>ÖSTERGÖTLANDS LÄN</t>
        </is>
      </c>
      <c r="G763" t="inlineStr">
        <is>
          <t>NORRKÖPING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48786-2022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44859</v>
      </c>
      <c r="E764" s="1" t="n">
        <v>46235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53899-2021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44469</v>
      </c>
      <c r="E765" s="1" t="n">
        <v>46235</v>
      </c>
      <c r="F765" t="inlineStr">
        <is>
          <t>ÖSTERGÖTLANDS LÄN</t>
        </is>
      </c>
      <c r="G765" t="inlineStr">
        <is>
          <t>NORRKÖPING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5118-2024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45330</v>
      </c>
      <c r="E766" s="1" t="n">
        <v>46235</v>
      </c>
      <c r="F766" t="inlineStr">
        <is>
          <t>ÖSTERGÖTLANDS LÄN</t>
        </is>
      </c>
      <c r="G766" t="inlineStr">
        <is>
          <t>NORRKÖPING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54851-2025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45966</v>
      </c>
      <c r="E767" s="1" t="n">
        <v>46235</v>
      </c>
      <c r="F767" t="inlineStr">
        <is>
          <t>ÖSTERGÖTLANDS LÄN</t>
        </is>
      </c>
      <c r="G767" t="inlineStr">
        <is>
          <t>NORRKÖPING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23366-2024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45453</v>
      </c>
      <c r="E768" s="1" t="n">
        <v>46235</v>
      </c>
      <c r="F768" t="inlineStr">
        <is>
          <t>ÖSTERGÖTLANDS LÄN</t>
        </is>
      </c>
      <c r="G768" t="inlineStr">
        <is>
          <t>NORRKÖPING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23368-2024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45453</v>
      </c>
      <c r="E769" s="1" t="n">
        <v>46235</v>
      </c>
      <c r="F769" t="inlineStr">
        <is>
          <t>ÖSTERGÖTLANDS LÄN</t>
        </is>
      </c>
      <c r="G769" t="inlineStr">
        <is>
          <t>NORRKÖPING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62061-2023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45266</v>
      </c>
      <c r="E770" s="1" t="n">
        <v>46235</v>
      </c>
      <c r="F770" t="inlineStr">
        <is>
          <t>ÖSTERGÖTLANDS LÄN</t>
        </is>
      </c>
      <c r="G770" t="inlineStr">
        <is>
          <t>NORRKÖPING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46738-2022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44851</v>
      </c>
      <c r="E771" s="1" t="n">
        <v>46235</v>
      </c>
      <c r="F771" t="inlineStr">
        <is>
          <t>ÖSTERGÖTLANDS LÄN</t>
        </is>
      </c>
      <c r="G771" t="inlineStr">
        <is>
          <t>NORRKÖPING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19931-2026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46136</v>
      </c>
      <c r="E772" s="1" t="n">
        <v>46235</v>
      </c>
      <c r="F772" t="inlineStr">
        <is>
          <t>ÖSTERGÖTLANDS LÄN</t>
        </is>
      </c>
      <c r="G772" t="inlineStr">
        <is>
          <t>NORRKÖPING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39861-2025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45891</v>
      </c>
      <c r="E773" s="1" t="n">
        <v>46235</v>
      </c>
      <c r="F773" t="inlineStr">
        <is>
          <t>ÖSTERGÖTLANDS LÄN</t>
        </is>
      </c>
      <c r="G773" t="inlineStr">
        <is>
          <t>NORRKÖPING</t>
        </is>
      </c>
      <c r="I773" t="n">
        <v>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39863-2025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45891</v>
      </c>
      <c r="E774" s="1" t="n">
        <v>46235</v>
      </c>
      <c r="F774" t="inlineStr">
        <is>
          <t>ÖSTERGÖTLANDS LÄN</t>
        </is>
      </c>
      <c r="G774" t="inlineStr">
        <is>
          <t>NORRKÖPING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33703-2024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45520</v>
      </c>
      <c r="E775" s="1" t="n">
        <v>46235</v>
      </c>
      <c r="F775" t="inlineStr">
        <is>
          <t>ÖSTERGÖTLANDS LÄN</t>
        </is>
      </c>
      <c r="G775" t="inlineStr">
        <is>
          <t>NORRKÖPING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45106</v>
      </c>
      <c r="E776" s="1" t="n">
        <v>46235</v>
      </c>
      <c r="F776" t="inlineStr">
        <is>
          <t>ÖSTERGÖTLANDS LÄN</t>
        </is>
      </c>
      <c r="G776" t="inlineStr">
        <is>
          <t>NORRKÖPING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18537-2025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45763</v>
      </c>
      <c r="E777" s="1" t="n">
        <v>46235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9.300000000000001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22439-2025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46235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Naturvårdsverket</t>
        </is>
      </c>
      <c r="I778" t="n">
        <v>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18686-2023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45043</v>
      </c>
      <c r="E779" s="1" t="n">
        <v>46235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30834-2022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44767</v>
      </c>
      <c r="E780" s="1" t="n">
        <v>46235</v>
      </c>
      <c r="F780" t="inlineStr">
        <is>
          <t>ÖSTERGÖTLANDS LÄN</t>
        </is>
      </c>
      <c r="G780" t="inlineStr">
        <is>
          <t>NORRKÖPING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421-2022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44565</v>
      </c>
      <c r="E781" s="1" t="n">
        <v>46235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9.300000000000001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45310</v>
      </c>
      <c r="E782" s="1" t="n">
        <v>46235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20340-2026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46235</v>
      </c>
      <c r="F783" t="inlineStr">
        <is>
          <t>ÖSTERGÖTLANDS LÄN</t>
        </is>
      </c>
      <c r="G783" t="inlineStr">
        <is>
          <t>NORRKÖPING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38719-2025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45886</v>
      </c>
      <c r="E784" s="1" t="n">
        <v>46235</v>
      </c>
      <c r="F784" t="inlineStr">
        <is>
          <t>ÖSTERGÖTLANDS LÄN</t>
        </is>
      </c>
      <c r="G784" t="inlineStr">
        <is>
          <t>NORRKÖPING</t>
        </is>
      </c>
      <c r="I784" t="n">
        <v>14.3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62529-2023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45268</v>
      </c>
      <c r="E785" s="1" t="n">
        <v>46235</v>
      </c>
      <c r="F785" t="inlineStr">
        <is>
          <t>ÖSTERGÖTLANDS LÄN</t>
        </is>
      </c>
      <c r="G785" t="inlineStr">
        <is>
          <t>NORRKÖPING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6067-2022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44599</v>
      </c>
      <c r="E786" s="1" t="n">
        <v>46235</v>
      </c>
      <c r="F786" t="inlineStr">
        <is>
          <t>ÖSTERGÖTLANDS LÄN</t>
        </is>
      </c>
      <c r="G786" t="inlineStr">
        <is>
          <t>NORRKÖPING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46235</v>
      </c>
      <c r="F787" t="inlineStr">
        <is>
          <t>ÖSTERGÖTLANDS LÄN</t>
        </is>
      </c>
      <c r="G787" t="inlineStr">
        <is>
          <t>NORRKÖPING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5976-2022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44597</v>
      </c>
      <c r="E788" s="1" t="n">
        <v>46235</v>
      </c>
      <c r="F788" t="inlineStr">
        <is>
          <t>ÖSTERGÖTLANDS LÄN</t>
        </is>
      </c>
      <c r="G788" t="inlineStr">
        <is>
          <t>NORRKÖPING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3035-2025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45678</v>
      </c>
      <c r="E789" s="1" t="n">
        <v>46235</v>
      </c>
      <c r="F789" t="inlineStr">
        <is>
          <t>ÖSTERGÖTLANDS LÄN</t>
        </is>
      </c>
      <c r="G789" t="inlineStr">
        <is>
          <t>NORRKÖPING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29622-2022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44754</v>
      </c>
      <c r="E790" s="1" t="n">
        <v>46235</v>
      </c>
      <c r="F790" t="inlineStr">
        <is>
          <t>ÖSTERGÖTLANDS LÄN</t>
        </is>
      </c>
      <c r="G790" t="inlineStr">
        <is>
          <t>NORRKÖPING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26583-2022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44739</v>
      </c>
      <c r="E791" s="1" t="n">
        <v>46235</v>
      </c>
      <c r="F791" t="inlineStr">
        <is>
          <t>ÖSTERGÖTLANDS LÄN</t>
        </is>
      </c>
      <c r="G791" t="inlineStr">
        <is>
          <t>NORRKÖPING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7141-2023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44970</v>
      </c>
      <c r="E792" s="1" t="n">
        <v>46235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3018-2025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45678</v>
      </c>
      <c r="E793" s="1" t="n">
        <v>46235</v>
      </c>
      <c r="F793" t="inlineStr">
        <is>
          <t>ÖSTERGÖTLANDS LÄN</t>
        </is>
      </c>
      <c r="G793" t="inlineStr">
        <is>
          <t>NORRKÖPING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50119-2023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45215</v>
      </c>
      <c r="E794" s="1" t="n">
        <v>46235</v>
      </c>
      <c r="F794" t="inlineStr">
        <is>
          <t>ÖSTERGÖTLANDS LÄN</t>
        </is>
      </c>
      <c r="G794" t="inlineStr">
        <is>
          <t>NORRKÖPING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31834-2023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45106</v>
      </c>
      <c r="E795" s="1" t="n">
        <v>46235</v>
      </c>
      <c r="F795" t="inlineStr">
        <is>
          <t>ÖSTERGÖTLANDS LÄN</t>
        </is>
      </c>
      <c r="G795" t="inlineStr">
        <is>
          <t>NORRKÖPING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45796</v>
      </c>
      <c r="E796" s="1" t="n">
        <v>46235</v>
      </c>
      <c r="F796" t="inlineStr">
        <is>
          <t>ÖSTERGÖTLANDS LÄN</t>
        </is>
      </c>
      <c r="G796" t="inlineStr">
        <is>
          <t>NORRKÖPING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19853-2023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45053</v>
      </c>
      <c r="E797" s="1" t="n">
        <v>46235</v>
      </c>
      <c r="F797" t="inlineStr">
        <is>
          <t>ÖSTERGÖTLANDS LÄN</t>
        </is>
      </c>
      <c r="G797" t="inlineStr">
        <is>
          <t>NORRKÖPING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23954-2025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46235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18636-2023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45043</v>
      </c>
      <c r="E799" s="1" t="n">
        <v>46235</v>
      </c>
      <c r="F799" t="inlineStr">
        <is>
          <t>ÖSTERGÖTLANDS LÄN</t>
        </is>
      </c>
      <c r="G799" t="inlineStr">
        <is>
          <t>NORRKÖPING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60800-2023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45259</v>
      </c>
      <c r="E800" s="1" t="n">
        <v>46235</v>
      </c>
      <c r="F800" t="inlineStr">
        <is>
          <t>ÖSTERGÖTLANDS LÄN</t>
        </is>
      </c>
      <c r="G800" t="inlineStr">
        <is>
          <t>NORRKÖPING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24684-2025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45798</v>
      </c>
      <c r="E801" s="1" t="n">
        <v>46235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12814-2025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45733</v>
      </c>
      <c r="E802" s="1" t="n">
        <v>46235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24246-2025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45797</v>
      </c>
      <c r="E803" s="1" t="n">
        <v>46235</v>
      </c>
      <c r="F803" t="inlineStr">
        <is>
          <t>ÖSTERGÖTLANDS LÄN</t>
        </is>
      </c>
      <c r="G803" t="inlineStr">
        <is>
          <t>NORRKÖPING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24555-2025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45798</v>
      </c>
      <c r="E804" s="1" t="n">
        <v>46235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42514-2024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45565</v>
      </c>
      <c r="E805" s="1" t="n">
        <v>46235</v>
      </c>
      <c r="F805" t="inlineStr">
        <is>
          <t>ÖSTERGÖTLANDS LÄN</t>
        </is>
      </c>
      <c r="G805" t="inlineStr">
        <is>
          <t>NORRKÖPING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16582-2024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45408</v>
      </c>
      <c r="E806" s="1" t="n">
        <v>46235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40068-2024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45554</v>
      </c>
      <c r="E807" s="1" t="n">
        <v>46235</v>
      </c>
      <c r="F807" t="inlineStr">
        <is>
          <t>ÖSTERGÖTLANDS LÄN</t>
        </is>
      </c>
      <c r="G807" t="inlineStr">
        <is>
          <t>NORRKÖPING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10770-2025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45722</v>
      </c>
      <c r="E808" s="1" t="n">
        <v>46235</v>
      </c>
      <c r="F808" t="inlineStr">
        <is>
          <t>ÖSTERGÖTLANDS LÄN</t>
        </is>
      </c>
      <c r="G808" t="inlineStr">
        <is>
          <t>NORRKÖPING</t>
        </is>
      </c>
      <c r="I808" t="n">
        <v>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46235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25949-2025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45804</v>
      </c>
      <c r="E810" s="1" t="n">
        <v>46235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Kommuner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18474-2025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45762</v>
      </c>
      <c r="E811" s="1" t="n">
        <v>46235</v>
      </c>
      <c r="F811" t="inlineStr">
        <is>
          <t>ÖSTERGÖTLANDS LÄN</t>
        </is>
      </c>
      <c r="G811" t="inlineStr">
        <is>
          <t>NORRKÖPING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10834-2024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45369</v>
      </c>
      <c r="E812" s="1" t="n">
        <v>46235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28039-2025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45817</v>
      </c>
      <c r="E813" s="1" t="n">
        <v>46235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28734-2025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46235</v>
      </c>
      <c r="F814" t="inlineStr">
        <is>
          <t>ÖSTERGÖTLANDS LÄN</t>
        </is>
      </c>
      <c r="G814" t="inlineStr">
        <is>
          <t>NORRKÖPING</t>
        </is>
      </c>
      <c r="I814" t="n">
        <v>5.4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28750-2025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45820</v>
      </c>
      <c r="E815" s="1" t="n">
        <v>46235</v>
      </c>
      <c r="F815" t="inlineStr">
        <is>
          <t>ÖSTERGÖTLANDS LÄN</t>
        </is>
      </c>
      <c r="G815" t="inlineStr">
        <is>
          <t>NORRKÖPING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29220-2025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45824</v>
      </c>
      <c r="E816" s="1" t="n">
        <v>46235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Holmen skog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33138-2025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45832</v>
      </c>
      <c r="E817" s="1" t="n">
        <v>46235</v>
      </c>
      <c r="F817" t="inlineStr">
        <is>
          <t>ÖSTERGÖTLANDS LÄN</t>
        </is>
      </c>
      <c r="G817" t="inlineStr">
        <is>
          <t>NORRKÖPING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31564-2025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45833</v>
      </c>
      <c r="E818" s="1" t="n">
        <v>46235</v>
      </c>
      <c r="F818" t="inlineStr">
        <is>
          <t>ÖSTERGÖTLANDS LÄN</t>
        </is>
      </c>
      <c r="G818" t="inlineStr">
        <is>
          <t>NORRKÖPING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33246-2025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46235</v>
      </c>
      <c r="F819" t="inlineStr">
        <is>
          <t>ÖSTERGÖTLANDS LÄN</t>
        </is>
      </c>
      <c r="G819" t="inlineStr">
        <is>
          <t>NORRKÖPING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45678</v>
      </c>
      <c r="E820" s="1" t="n">
        <v>46235</v>
      </c>
      <c r="F820" t="inlineStr">
        <is>
          <t>ÖSTERGÖTLANDS LÄN</t>
        </is>
      </c>
      <c r="G820" t="inlineStr">
        <is>
          <t>NORRKÖPING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34231-2025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45845</v>
      </c>
      <c r="E821" s="1" t="n">
        <v>46235</v>
      </c>
      <c r="F821" t="inlineStr">
        <is>
          <t>ÖSTERGÖTLANDS LÄN</t>
        </is>
      </c>
      <c r="G821" t="inlineStr">
        <is>
          <t>NORRKÖPING</t>
        </is>
      </c>
      <c r="H821" t="inlineStr">
        <is>
          <t>Holmen skog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13419-2025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45736</v>
      </c>
      <c r="E822" s="1" t="n">
        <v>46235</v>
      </c>
      <c r="F822" t="inlineStr">
        <is>
          <t>ÖSTERGÖTLANDS LÄN</t>
        </is>
      </c>
      <c r="G822" t="inlineStr">
        <is>
          <t>NORRKÖPING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7762-2025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45706</v>
      </c>
      <c r="E823" s="1" t="n">
        <v>46235</v>
      </c>
      <c r="F823" t="inlineStr">
        <is>
          <t>ÖSTERGÖTLANDS LÄN</t>
        </is>
      </c>
      <c r="G823" t="inlineStr">
        <is>
          <t>NORRKÖPING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23946-2025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45796</v>
      </c>
      <c r="E824" s="1" t="n">
        <v>46235</v>
      </c>
      <c r="F824" t="inlineStr">
        <is>
          <t>ÖSTERGÖTLANDS LÄN</t>
        </is>
      </c>
      <c r="G824" t="inlineStr">
        <is>
          <t>NORRKÖPING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37876-2025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45881</v>
      </c>
      <c r="E825" s="1" t="n">
        <v>46235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1519-2021</t>
        </is>
      </c>
      <c r="B826" t="inlineStr">
        <is>
          <t>samrådsanmälan</t>
        </is>
      </c>
      <c r="C826" t="inlineStr">
        <is>
          <t>Åtgärd i nyckelbiotop</t>
        </is>
      </c>
      <c r="D826" s="1" t="n">
        <v>44313</v>
      </c>
      <c r="E826" s="1" t="n">
        <v>46235</v>
      </c>
      <c r="F826" t="inlineStr">
        <is>
          <t>ÖSTERGÖTLANDS LÄN</t>
        </is>
      </c>
      <c r="G826" t="inlineStr">
        <is>
          <t>NORRKÖPING</t>
        </is>
      </c>
      <c r="I826" t="n">
        <v>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2289-2020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44130</v>
      </c>
      <c r="E827" s="1" t="n">
        <v>46235</v>
      </c>
      <c r="F827" t="inlineStr">
        <is>
          <t>ÖSTERGÖTLANDS LÄN</t>
        </is>
      </c>
      <c r="G827" t="inlineStr">
        <is>
          <t>NORRKÖPING</t>
        </is>
      </c>
      <c r="I827" t="n">
        <v>5.1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161-2021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44230</v>
      </c>
      <c r="E828" s="1" t="n">
        <v>46235</v>
      </c>
      <c r="F828" t="inlineStr">
        <is>
          <t>ÖSTERGÖTLANDS LÄN</t>
        </is>
      </c>
      <c r="G828" t="inlineStr">
        <is>
          <t>NORRKÖPING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1484-2022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44638</v>
      </c>
      <c r="E829" s="1" t="n">
        <v>46235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1678-2022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44649</v>
      </c>
      <c r="E830" s="1" t="n">
        <v>46235</v>
      </c>
      <c r="F830" t="inlineStr">
        <is>
          <t>ÖSTERGÖTLANDS LÄN</t>
        </is>
      </c>
      <c r="G830" t="inlineStr">
        <is>
          <t>NORRKÖPING</t>
        </is>
      </c>
      <c r="H830" t="inlineStr">
        <is>
          <t>Holmen skog AB</t>
        </is>
      </c>
      <c r="I830" t="n">
        <v>11.1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10364-2021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44551</v>
      </c>
      <c r="E831" s="1" t="n">
        <v>46235</v>
      </c>
      <c r="F831" t="inlineStr">
        <is>
          <t>ÖSTERGÖTLANDS LÄN</t>
        </is>
      </c>
      <c r="G831" t="inlineStr">
        <is>
          <t>NORRKÖPING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2481-2022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44692</v>
      </c>
      <c r="E832" s="1" t="n">
        <v>46235</v>
      </c>
      <c r="F832" t="inlineStr">
        <is>
          <t>ÖSTERGÖTLANDS LÄN</t>
        </is>
      </c>
      <c r="G832" t="inlineStr">
        <is>
          <t>NORRKÖPING</t>
        </is>
      </c>
      <c r="I832" t="n">
        <v>0.1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211-2024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45316</v>
      </c>
      <c r="E833" s="1" t="n">
        <v>46235</v>
      </c>
      <c r="F833" t="inlineStr">
        <is>
          <t>ÖSTERGÖTLANDS LÄN</t>
        </is>
      </c>
      <c r="G833" t="inlineStr">
        <is>
          <t>NORRKÖPING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4973-2024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45629</v>
      </c>
      <c r="E834" s="1" t="n">
        <v>46235</v>
      </c>
      <c r="F834" t="inlineStr">
        <is>
          <t>ÖSTERGÖTLANDS LÄN</t>
        </is>
      </c>
      <c r="G834" t="inlineStr">
        <is>
          <t>NORRKÖPING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4011-2024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45571</v>
      </c>
      <c r="E835" s="1" t="n">
        <v>46235</v>
      </c>
      <c r="F835" t="inlineStr">
        <is>
          <t>ÖSTERGÖTLANDS LÄN</t>
        </is>
      </c>
      <c r="G835" t="inlineStr">
        <is>
          <t>NORRKÖPING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1663-2024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45432</v>
      </c>
      <c r="E836" s="1" t="n">
        <v>46235</v>
      </c>
      <c r="F836" t="inlineStr">
        <is>
          <t>ÖSTERGÖTLANDS LÄN</t>
        </is>
      </c>
      <c r="G836" t="inlineStr">
        <is>
          <t>NORRKÖPING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4012-2024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46235</v>
      </c>
      <c r="F837" t="inlineStr">
        <is>
          <t>ÖSTERGÖTLANDS LÄN</t>
        </is>
      </c>
      <c r="G837" t="inlineStr">
        <is>
          <t>NORRKÖPING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1486-2025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45789</v>
      </c>
      <c r="E838" s="1" t="n">
        <v>46235</v>
      </c>
      <c r="F838" t="inlineStr">
        <is>
          <t>ÖSTERGÖTLANDS LÄN</t>
        </is>
      </c>
      <c r="G838" t="inlineStr">
        <is>
          <t>NORRKÖPING</t>
        </is>
      </c>
      <c r="I838" t="n">
        <v>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1433-2025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45784</v>
      </c>
      <c r="E839" s="1" t="n">
        <v>46235</v>
      </c>
      <c r="F839" t="inlineStr">
        <is>
          <t>ÖSTERGÖTLANDS LÄN</t>
        </is>
      </c>
      <c r="G839" t="inlineStr">
        <is>
          <t>NORRKÖPING</t>
        </is>
      </c>
      <c r="I839" t="n">
        <v>7.9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2026-08-01T01:51:43Z</dcterms:created>
  <dcterms:modified xmlns:dcterms="http://purl.org/dc/terms/" xmlns:xsi="http://www.w3.org/2001/XMLSchema-instance" xsi:type="dcterms:W3CDTF">2026-08-01T01:51:44Z</dcterms:modified>
</cp:coreProperties>
</file>