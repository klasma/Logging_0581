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45714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45714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45714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45714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45714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45714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45714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45714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45714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45714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45714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45714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45714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45714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45714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45714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45714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45714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45714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45714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45714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45714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45714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45714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45714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45714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45714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45714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45714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45714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45714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45714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45714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45714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14646-2023</t>
        </is>
      </c>
      <c r="B36" s="1" t="n">
        <v>45013</v>
      </c>
      <c r="C36" s="1" t="n">
        <v>45714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45714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43816-2023</t>
        </is>
      </c>
      <c r="B38" s="1" t="n">
        <v>45187</v>
      </c>
      <c r="C38" s="1" t="n">
        <v>45714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9.800000000000001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Motaggsvamp
Vedskivlav
Blåmossa</t>
        </is>
      </c>
      <c r="S38">
        <f>HYPERLINK("https://klasma.github.io/Logging_0581/artfynd/A 43816-2023 artfynd.xlsx", "A 43816-2023")</f>
        <v/>
      </c>
      <c r="T38">
        <f>HYPERLINK("https://klasma.github.io/Logging_0581/kartor/A 43816-2023 karta.png", "A 43816-2023")</f>
        <v/>
      </c>
      <c r="V38">
        <f>HYPERLINK("https://klasma.github.io/Logging_0581/klagomål/A 43816-2023 FSC-klagomål.docx", "A 43816-2023")</f>
        <v/>
      </c>
      <c r="W38">
        <f>HYPERLINK("https://klasma.github.io/Logging_0581/klagomålsmail/A 43816-2023 FSC-klagomål mail.docx", "A 43816-2023")</f>
        <v/>
      </c>
      <c r="X38">
        <f>HYPERLINK("https://klasma.github.io/Logging_0581/tillsyn/A 43816-2023 tillsynsbegäran.docx", "A 43816-2023")</f>
        <v/>
      </c>
      <c r="Y38">
        <f>HYPERLINK("https://klasma.github.io/Logging_0581/tillsynsmail/A 43816-2023 tillsynsbegäran mail.docx", "A 43816-2023")</f>
        <v/>
      </c>
    </row>
    <row r="39" ht="15" customHeight="1">
      <c r="A39" t="inlineStr">
        <is>
          <t>A 47767-2023</t>
        </is>
      </c>
      <c r="B39" s="1" t="n">
        <v>45203</v>
      </c>
      <c r="C39" s="1" t="n">
        <v>45714</v>
      </c>
      <c r="D39" t="inlineStr">
        <is>
          <t>ÖSTERGÖTLANDS LÄN</t>
        </is>
      </c>
      <c r="E39" t="inlineStr">
        <is>
          <t>NORRKÖPING</t>
        </is>
      </c>
      <c r="G39" t="n">
        <v>3.8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Sotriska</t>
        </is>
      </c>
      <c r="S39">
        <f>HYPERLINK("https://klasma.github.io/Logging_0581/artfynd/A 47767-2023 artfynd.xlsx", "A 47767-2023")</f>
        <v/>
      </c>
      <c r="T39">
        <f>HYPERLINK("https://klasma.github.io/Logging_0581/kartor/A 47767-2023 karta.png", "A 47767-2023")</f>
        <v/>
      </c>
      <c r="V39">
        <f>HYPERLINK("https://klasma.github.io/Logging_0581/klagomål/A 47767-2023 FSC-klagomål.docx", "A 47767-2023")</f>
        <v/>
      </c>
      <c r="W39">
        <f>HYPERLINK("https://klasma.github.io/Logging_0581/klagomålsmail/A 47767-2023 FSC-klagomål mail.docx", "A 47767-2023")</f>
        <v/>
      </c>
      <c r="X39">
        <f>HYPERLINK("https://klasma.github.io/Logging_0581/tillsyn/A 47767-2023 tillsynsbegäran.docx", "A 47767-2023")</f>
        <v/>
      </c>
      <c r="Y39">
        <f>HYPERLINK("https://klasma.github.io/Logging_0581/tillsynsmail/A 47767-2023 tillsynsbegäran mail.docx", "A 47767-2023")</f>
        <v/>
      </c>
    </row>
    <row r="40" ht="15" customHeight="1">
      <c r="A40" t="inlineStr">
        <is>
          <t>A 9317-2024</t>
        </is>
      </c>
      <c r="B40" s="1" t="n">
        <v>45358</v>
      </c>
      <c r="C40" s="1" t="n">
        <v>45714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12.9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Lakritsmusseron
Vedskivlav
Dropptaggsvamp</t>
        </is>
      </c>
      <c r="S40">
        <f>HYPERLINK("https://klasma.github.io/Logging_0581/artfynd/A 9317-2024 artfynd.xlsx", "A 9317-2024")</f>
        <v/>
      </c>
      <c r="T40">
        <f>HYPERLINK("https://klasma.github.io/Logging_0581/kartor/A 9317-2024 karta.png", "A 9317-2024")</f>
        <v/>
      </c>
      <c r="V40">
        <f>HYPERLINK("https://klasma.github.io/Logging_0581/klagomål/A 9317-2024 FSC-klagomål.docx", "A 9317-2024")</f>
        <v/>
      </c>
      <c r="W40">
        <f>HYPERLINK("https://klasma.github.io/Logging_0581/klagomålsmail/A 9317-2024 FSC-klagomål mail.docx", "A 9317-2024")</f>
        <v/>
      </c>
      <c r="X40">
        <f>HYPERLINK("https://klasma.github.io/Logging_0581/tillsyn/A 9317-2024 tillsynsbegäran.docx", "A 9317-2024")</f>
        <v/>
      </c>
      <c r="Y40">
        <f>HYPERLINK("https://klasma.github.io/Logging_0581/tillsynsmail/A 9317-2024 tillsynsbegäran mail.docx", "A 9317-2024")</f>
        <v/>
      </c>
    </row>
    <row r="41" ht="15" customHeight="1">
      <c r="A41" t="inlineStr">
        <is>
          <t>A 17634-2024</t>
        </is>
      </c>
      <c r="B41" s="1" t="n">
        <v>45418</v>
      </c>
      <c r="C41" s="1" t="n">
        <v>45714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Kandelabersvamp
Bårdlav
Lönnlav</t>
        </is>
      </c>
      <c r="S41">
        <f>HYPERLINK("https://klasma.github.io/Logging_0581/artfynd/A 17634-2024 artfynd.xlsx", "A 17634-2024")</f>
        <v/>
      </c>
      <c r="T41">
        <f>HYPERLINK("https://klasma.github.io/Logging_0581/kartor/A 17634-2024 karta.png", "A 17634-2024")</f>
        <v/>
      </c>
      <c r="V41">
        <f>HYPERLINK("https://klasma.github.io/Logging_0581/klagomål/A 17634-2024 FSC-klagomål.docx", "A 17634-2024")</f>
        <v/>
      </c>
      <c r="W41">
        <f>HYPERLINK("https://klasma.github.io/Logging_0581/klagomålsmail/A 17634-2024 FSC-klagomål mail.docx", "A 17634-2024")</f>
        <v/>
      </c>
      <c r="X41">
        <f>HYPERLINK("https://klasma.github.io/Logging_0581/tillsyn/A 17634-2024 tillsynsbegäran.docx", "A 17634-2024")</f>
        <v/>
      </c>
      <c r="Y41">
        <f>HYPERLINK("https://klasma.github.io/Logging_0581/tillsynsmail/A 17634-2024 tillsynsbegäran mail.docx", "A 17634-2024")</f>
        <v/>
      </c>
    </row>
    <row r="42" ht="15" customHeight="1">
      <c r="A42" t="inlineStr">
        <is>
          <t>A 21404-2024</t>
        </is>
      </c>
      <c r="B42" s="1" t="n">
        <v>45441</v>
      </c>
      <c r="C42" s="1" t="n">
        <v>45714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Vintertagging
Grön sköldmossa</t>
        </is>
      </c>
      <c r="S42">
        <f>HYPERLINK("https://klasma.github.io/Logging_0581/artfynd/A 21404-2024 artfynd.xlsx", "A 21404-2024")</f>
        <v/>
      </c>
      <c r="T42">
        <f>HYPERLINK("https://klasma.github.io/Logging_0581/kartor/A 21404-2024 karta.png", "A 21404-2024")</f>
        <v/>
      </c>
      <c r="V42">
        <f>HYPERLINK("https://klasma.github.io/Logging_0581/klagomål/A 21404-2024 FSC-klagomål.docx", "A 21404-2024")</f>
        <v/>
      </c>
      <c r="W42">
        <f>HYPERLINK("https://klasma.github.io/Logging_0581/klagomålsmail/A 21404-2024 FSC-klagomål mail.docx", "A 21404-2024")</f>
        <v/>
      </c>
      <c r="X42">
        <f>HYPERLINK("https://klasma.github.io/Logging_0581/tillsyn/A 21404-2024 tillsynsbegäran.docx", "A 21404-2024")</f>
        <v/>
      </c>
      <c r="Y42">
        <f>HYPERLINK("https://klasma.github.io/Logging_0581/tillsynsmail/A 21404-2024 tillsynsbegäran mail.docx", "A 21404-2024")</f>
        <v/>
      </c>
    </row>
    <row r="43" ht="15" customHeight="1">
      <c r="A43" t="inlineStr">
        <is>
          <t>A 28412-2024</t>
        </is>
      </c>
      <c r="B43" s="1" t="n">
        <v>45477</v>
      </c>
      <c r="C43" s="1" t="n">
        <v>45714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Naturvårdsverket</t>
        </is>
      </c>
      <c r="G43" t="n">
        <v>2.6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Ullticka
Blåmossa</t>
        </is>
      </c>
      <c r="S43">
        <f>HYPERLINK("https://klasma.github.io/Logging_0581/artfynd/A 28412-2024 artfynd.xlsx", "A 28412-2024")</f>
        <v/>
      </c>
      <c r="T43">
        <f>HYPERLINK("https://klasma.github.io/Logging_0581/kartor/A 28412-2024 karta.png", "A 28412-2024")</f>
        <v/>
      </c>
      <c r="U43">
        <f>HYPERLINK("https://klasma.github.io/Logging_0581/knärot/A 28412-2024 karta knärot.png", "A 28412-2024")</f>
        <v/>
      </c>
      <c r="V43">
        <f>HYPERLINK("https://klasma.github.io/Logging_0581/klagomål/A 28412-2024 FSC-klagomål.docx", "A 28412-2024")</f>
        <v/>
      </c>
      <c r="W43">
        <f>HYPERLINK("https://klasma.github.io/Logging_0581/klagomålsmail/A 28412-2024 FSC-klagomål mail.docx", "A 28412-2024")</f>
        <v/>
      </c>
      <c r="X43">
        <f>HYPERLINK("https://klasma.github.io/Logging_0581/tillsyn/A 28412-2024 tillsynsbegäran.docx", "A 28412-2024")</f>
        <v/>
      </c>
      <c r="Y43">
        <f>HYPERLINK("https://klasma.github.io/Logging_0581/tillsynsmail/A 28412-2024 tillsynsbegäran mail.docx", "A 28412-2024")</f>
        <v/>
      </c>
    </row>
    <row r="44" ht="15" customHeight="1">
      <c r="A44" t="inlineStr">
        <is>
          <t>A 46648-2024</t>
        </is>
      </c>
      <c r="B44" s="1" t="n">
        <v>45583</v>
      </c>
      <c r="C44" s="1" t="n">
        <v>45714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6.8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Spillkråka
Talltita
Vedskivlav</t>
        </is>
      </c>
      <c r="S44">
        <f>HYPERLINK("https://klasma.github.io/Logging_0581/artfynd/A 46648-2024 artfynd.xlsx", "A 46648-2024")</f>
        <v/>
      </c>
      <c r="T44">
        <f>HYPERLINK("https://klasma.github.io/Logging_0581/kartor/A 46648-2024 karta.png", "A 46648-2024")</f>
        <v/>
      </c>
      <c r="V44">
        <f>HYPERLINK("https://klasma.github.io/Logging_0581/klagomål/A 46648-2024 FSC-klagomål.docx", "A 46648-2024")</f>
        <v/>
      </c>
      <c r="W44">
        <f>HYPERLINK("https://klasma.github.io/Logging_0581/klagomålsmail/A 46648-2024 FSC-klagomål mail.docx", "A 46648-2024")</f>
        <v/>
      </c>
      <c r="X44">
        <f>HYPERLINK("https://klasma.github.io/Logging_0581/tillsyn/A 46648-2024 tillsynsbegäran.docx", "A 46648-2024")</f>
        <v/>
      </c>
      <c r="Y44">
        <f>HYPERLINK("https://klasma.github.io/Logging_0581/tillsynsmail/A 46648-2024 tillsynsbegäran mail.docx", "A 46648-2024")</f>
        <v/>
      </c>
      <c r="Z44">
        <f>HYPERLINK("https://klasma.github.io/Logging_0581/fåglar/A 46648-2024 prioriterade fågelarter.docx", "A 46648-2024")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45714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45714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1260-2025</t>
        </is>
      </c>
      <c r="B47" s="1" t="n">
        <v>45667</v>
      </c>
      <c r="C47" s="1" t="n">
        <v>45714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Mjukdån
Nattviol
Revlummer</t>
        </is>
      </c>
      <c r="S47">
        <f>HYPERLINK("https://klasma.github.io/Logging_0581/artfynd/A 1260-2025 artfynd.xlsx", "A 1260-2025")</f>
        <v/>
      </c>
      <c r="T47">
        <f>HYPERLINK("https://klasma.github.io/Logging_0581/kartor/A 1260-2025 karta.png", "A 1260-2025")</f>
        <v/>
      </c>
      <c r="V47">
        <f>HYPERLINK("https://klasma.github.io/Logging_0581/klagomål/A 1260-2025 FSC-klagomål.docx", "A 1260-2025")</f>
        <v/>
      </c>
      <c r="W47">
        <f>HYPERLINK("https://klasma.github.io/Logging_0581/klagomålsmail/A 1260-2025 FSC-klagomål mail.docx", "A 1260-2025")</f>
        <v/>
      </c>
      <c r="X47">
        <f>HYPERLINK("https://klasma.github.io/Logging_0581/tillsyn/A 1260-2025 tillsynsbegäran.docx", "A 1260-2025")</f>
        <v/>
      </c>
      <c r="Y47">
        <f>HYPERLINK("https://klasma.github.io/Logging_0581/tillsynsmail/A 1260-2025 tillsynsbegäran mail.docx", "A 1260-2025")</f>
        <v/>
      </c>
    </row>
    <row r="48" ht="15" customHeight="1">
      <c r="A48" t="inlineStr">
        <is>
          <t>A 40291-2020</t>
        </is>
      </c>
      <c r="B48" s="1" t="n">
        <v>44067</v>
      </c>
      <c r="C48" s="1" t="n">
        <v>45714</v>
      </c>
      <c r="D48" t="inlineStr">
        <is>
          <t>ÖSTERGÖTLANDS LÄN</t>
        </is>
      </c>
      <c r="E48" t="inlineStr">
        <is>
          <t>NORRKÖPING</t>
        </is>
      </c>
      <c r="G48" t="n">
        <v>11.6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Gullgröppa</t>
        </is>
      </c>
      <c r="S48">
        <f>HYPERLINK("https://klasma.github.io/Logging_0581/artfynd/A 40291-2020 artfynd.xlsx", "A 40291-2020")</f>
        <v/>
      </c>
      <c r="T48">
        <f>HYPERLINK("https://klasma.github.io/Logging_0581/kartor/A 40291-2020 karta.png", "A 40291-2020")</f>
        <v/>
      </c>
      <c r="V48">
        <f>HYPERLINK("https://klasma.github.io/Logging_0581/klagomål/A 40291-2020 FSC-klagomål.docx", "A 40291-2020")</f>
        <v/>
      </c>
      <c r="W48">
        <f>HYPERLINK("https://klasma.github.io/Logging_0581/klagomålsmail/A 40291-2020 FSC-klagomål mail.docx", "A 40291-2020")</f>
        <v/>
      </c>
      <c r="X48">
        <f>HYPERLINK("https://klasma.github.io/Logging_0581/tillsyn/A 40291-2020 tillsynsbegäran.docx", "A 40291-2020")</f>
        <v/>
      </c>
      <c r="Y48">
        <f>HYPERLINK("https://klasma.github.io/Logging_0581/tillsynsmail/A 40291-2020 tillsynsbegäran mail.docx", "A 40291-2020")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45714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45714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1083-2023</t>
        </is>
      </c>
      <c r="B51" s="1" t="n">
        <v>44935</v>
      </c>
      <c r="C51" s="1" t="n">
        <v>45714</v>
      </c>
      <c r="D51" t="inlineStr">
        <is>
          <t>ÖSTERGÖTLANDS LÄN</t>
        </is>
      </c>
      <c r="E51" t="inlineStr">
        <is>
          <t>NORRKÖPING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HYPERLINK("https://klasma.github.io/Logging_0581/artfynd/A 1083-2023 artfynd.xlsx", "A 1083-2023")</f>
        <v/>
      </c>
      <c r="T51">
        <f>HYPERLINK("https://klasma.github.io/Logging_0581/kartor/A 1083-2023 karta.png", "A 1083-2023")</f>
        <v/>
      </c>
      <c r="U51">
        <f>HYPERLINK("https://klasma.github.io/Logging_0581/knärot/A 1083-2023 karta knärot.png", "A 1083-2023")</f>
        <v/>
      </c>
      <c r="V51">
        <f>HYPERLINK("https://klasma.github.io/Logging_0581/klagomål/A 1083-2023 FSC-klagomål.docx", "A 1083-2023")</f>
        <v/>
      </c>
      <c r="W51">
        <f>HYPERLINK("https://klasma.github.io/Logging_0581/klagomålsmail/A 1083-2023 FSC-klagomål mail.docx", "A 1083-2023")</f>
        <v/>
      </c>
      <c r="X51">
        <f>HYPERLINK("https://klasma.github.io/Logging_0581/tillsyn/A 1083-2023 tillsynsbegäran.docx", "A 1083-2023")</f>
        <v/>
      </c>
      <c r="Y51">
        <f>HYPERLINK("https://klasma.github.io/Logging_0581/tillsynsmail/A 1083-2023 tillsynsbegäran mail.docx", "A 1083-2023")</f>
        <v/>
      </c>
    </row>
    <row r="52" ht="15" customHeight="1">
      <c r="A52" t="inlineStr">
        <is>
          <t>A 7211-2023</t>
        </is>
      </c>
      <c r="B52" s="1" t="n">
        <v>44970</v>
      </c>
      <c r="C52" s="1" t="n">
        <v>45714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Skogsklocka</t>
        </is>
      </c>
      <c r="S52">
        <f>HYPERLINK("https://klasma.github.io/Logging_0581/artfynd/A 7211-2023 artfynd.xlsx", "A 7211-2023")</f>
        <v/>
      </c>
      <c r="T52">
        <f>HYPERLINK("https://klasma.github.io/Logging_0581/kartor/A 7211-2023 karta.png", "A 7211-2023")</f>
        <v/>
      </c>
      <c r="V52">
        <f>HYPERLINK("https://klasma.github.io/Logging_0581/klagomål/A 7211-2023 FSC-klagomål.docx", "A 7211-2023")</f>
        <v/>
      </c>
      <c r="W52">
        <f>HYPERLINK("https://klasma.github.io/Logging_0581/klagomålsmail/A 7211-2023 FSC-klagomål mail.docx", "A 7211-2023")</f>
        <v/>
      </c>
      <c r="X52">
        <f>HYPERLINK("https://klasma.github.io/Logging_0581/tillsyn/A 7211-2023 tillsynsbegäran.docx", "A 7211-2023")</f>
        <v/>
      </c>
      <c r="Y52">
        <f>HYPERLINK("https://klasma.github.io/Logging_0581/tillsynsmail/A 7211-2023 tillsynsbegäran mail.docx", "A 7211-2023")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45714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Orange taggsvamp
Blåmossa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45714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45714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45714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45714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45714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45714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45714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45714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45714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45714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45714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45714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45714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45714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45714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45714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45714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45714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45714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45714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45714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45714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45714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45714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45714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45714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45714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45714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45714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45714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45714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45714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45714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45714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45714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45714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45714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45714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45714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45714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45714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45714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45714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45714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45714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45714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45714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45714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45714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45714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45714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45714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45714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45714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45714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45714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45714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45714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45714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45714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45714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45714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45714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45714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45714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45714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45714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45714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45714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45714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45714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45714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45714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45714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45714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45714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45714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45714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45714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45714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45714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45714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45714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45714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45714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45714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45714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45714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45714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45714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45714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45714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45714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45714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45714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45714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45714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45714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45714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45714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45714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45714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45714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45714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45714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45714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45714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45714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45714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45714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45714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45714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45714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45714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45714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45714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45714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45714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45714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45714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45714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45714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45714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45714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45714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45714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45714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45714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45714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45714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45714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45714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45714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45714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45714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45714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45714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45714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45714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45714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45714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45714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45714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45714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45714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45714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45714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45714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45714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45714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45714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45714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45714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45714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45714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45714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45714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45714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45714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45714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45714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45714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45714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45714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45714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45714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45714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45714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45714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45714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45714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45714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45714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45714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45714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45714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45714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45714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45714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45714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45714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45714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45714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45714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45714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45714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45714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45714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45714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45714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45714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45714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45714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45714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45714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45714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45714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45714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45714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45714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45714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45714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45714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45714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45714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45714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45714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45714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45714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45714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45714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45714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45714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45714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45714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45714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45714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45714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45714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45714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45714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45714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45714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45714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45714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45714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45714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45714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45714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45714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45714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45714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45714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45714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45714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45714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45714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45714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45714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45714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45714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45714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45714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45714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45714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45714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45714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45714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45714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45714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45714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45714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45714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45714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45714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45714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45714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45714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45714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45714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45714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45714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45714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45714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45714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45714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45714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45714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45714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45714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45714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45714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45714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45714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45714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45714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45714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45714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45714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45714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45714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45714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45714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45714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45714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45714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45714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45714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45714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45714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45714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45714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45714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45714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45714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45714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45714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45714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45714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45714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45714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45714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45714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45714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45714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45714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45714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45714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45714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45714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45714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45714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45714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45714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45714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45714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45714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45714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45714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45714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45714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45714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45714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45714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45714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45714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45714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45714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45714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45714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45714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45714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45714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45714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45714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45714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45714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45714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45714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45714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45714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45714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45714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45714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45714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45714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45714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45714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45714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45714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45714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45714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45714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45714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45714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45714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45714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45714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45714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45714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45714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45714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45714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45714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45714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45714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45714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45714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45714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45714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45714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45714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45714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45714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45714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45714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45714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45714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45714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45714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45714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45714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45714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45714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45714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45714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45714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45714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45714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45714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45714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45714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45714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45714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45714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45714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45714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45714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45714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45714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45714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45714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45714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45714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45714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45714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45714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45714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45714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45714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45714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45714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45714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45714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45714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45714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45714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45714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45714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45714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45714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45714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45714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45714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45714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45714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45714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45714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45714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45714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45714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45714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45714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45714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45714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45714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45714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45714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45714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45714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45714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45714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45714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45714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45714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45714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45714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45714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45714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45714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45714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45714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45714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45714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45714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45714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45714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45714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45714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45714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45714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45714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45714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45714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45714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45714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45714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45714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45714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45714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45714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45714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45714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45714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45714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45714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45714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45714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45714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45714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45714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45714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45714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45714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45714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45714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45714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45714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45714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45714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45714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45714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45714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45714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45714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45714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45714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45714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45714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45714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45714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45714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45714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45714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45714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45714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45714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45714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45714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45714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45714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45714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45714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45714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45714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45714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45714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45714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45714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45714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45714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45714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45714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45714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45714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45714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45714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45714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45714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45714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45714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45714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45714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45714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45714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45714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45714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45714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45714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45714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45714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45714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45714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45714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45714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45714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45714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45714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45714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45714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45714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45714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45714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45714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45714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45714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45714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45714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45714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45714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45714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45714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45714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45714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45714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45714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45714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45714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45714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45714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45714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45714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45714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45714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45714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45714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45714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45714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45714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45714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45714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45714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45714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45714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45714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45714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45714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45714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45714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45714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45714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45714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45714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45714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45714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45714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45714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45714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45714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45714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45714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45714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45714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45714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45714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45714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45714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45714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45714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45714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45714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45714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45714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45714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45714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45714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45714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45714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45714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45714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45714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45714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45714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45714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45714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45714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45714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45714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45714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45714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45714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45714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45714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45714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45714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45714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45714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45714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45714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45714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45714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45714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45714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45714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45714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45714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45714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45714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45714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45714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45714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45714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45714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45714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45714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45714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45714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45714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45714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45714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45714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45714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45714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45714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45714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45714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45714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45714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45714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45714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45714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45714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45714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45714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45714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45714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45714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45714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45714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45714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45714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45714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45714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45714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45714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45714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45714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45714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45714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45714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45714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45714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45714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45714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45714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45714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45714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45714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45714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45714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45714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45714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45714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45714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45714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45714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45714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45714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45714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45714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45714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45714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45714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45714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45714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45714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45714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45714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45714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45714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45714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45714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45714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45714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45714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45714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45714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45714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45714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45714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45714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45714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45714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45714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45714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45714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45714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45714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45714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45714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45714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45714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45714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45714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45714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45714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45714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45714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45714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45714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45714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45714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45714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45714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45714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45714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45714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45714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45714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45714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45714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45714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45714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45714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45714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45714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45714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45714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45714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45714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45714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45714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45714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45714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45714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45714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45714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45714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45714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45714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45714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45714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45714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45714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45714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45714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45714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45714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45714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45714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45714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45714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45714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45714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45714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45714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45714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45714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45714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45714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45714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45714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45714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45714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45714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45714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45714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45714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45714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45714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45714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45714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45714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45714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45714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45714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45714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45714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45714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45714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45714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45714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45714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45714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45714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45714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45714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45714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45714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45714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45714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45714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45714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45714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45714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45714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45714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45714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45714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45714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45714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45714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45714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45714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45714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45714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45714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45714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45714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45714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45714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45714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45714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45714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45714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45714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45714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HYPERLINK("https://klasma.github.io/Logging_0581/knärot/A 27517-2023 karta knärot.png", "A 27517-2023")</f>
        <v/>
      </c>
      <c r="V910">
        <f>HYPERLINK("https://klasma.github.io/Logging_0581/klagomål/A 27517-2023 FSC-klagomål.docx", "A 27517-2023")</f>
        <v/>
      </c>
      <c r="W910">
        <f>HYPERLINK("https://klasma.github.io/Logging_0581/klagomålsmail/A 27517-2023 FSC-klagomål mail.docx", "A 27517-2023")</f>
        <v/>
      </c>
      <c r="X910">
        <f>HYPERLINK("https://klasma.github.io/Logging_0581/tillsyn/A 27517-2023 tillsynsbegäran.docx", "A 27517-2023")</f>
        <v/>
      </c>
      <c r="Y910">
        <f>HYPERLINK("https://klasma.github.io/Logging_0581/tillsynsmail/A 27517-2023 tillsynsbegäran mail.docx", "A 27517-2023")</f>
        <v/>
      </c>
    </row>
    <row r="911" ht="15" customHeight="1">
      <c r="A911" t="inlineStr">
        <is>
          <t>A 27728-2023</t>
        </is>
      </c>
      <c r="B911" s="1" t="n">
        <v>45098</v>
      </c>
      <c r="C911" s="1" t="n">
        <v>45714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45714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45714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45714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45714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45714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45714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45714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45714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45714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45714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45714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45714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45714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45714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45714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45714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45714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45714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45714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45714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45714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45714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45714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45714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45714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45714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45714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45714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45714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45714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45714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45714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45714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45714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45714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45714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45714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45714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45714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45714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45714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45714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45714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45714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45714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45714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45714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45714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45714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45714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45714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45714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45714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45714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45714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45714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45714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45714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45714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45714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45714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45714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45714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45714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45714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45714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45714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45714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45714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45714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45714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45714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45714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45714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45714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45714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45714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45714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45714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45714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45714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45714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45714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45714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45714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45714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45714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45714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45714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45714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45714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45714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45714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45714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45714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45714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45714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45714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45714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45714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45714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45714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45714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45714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45714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45714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45714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45714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45714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45714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45714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45714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45714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45714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45714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45714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45714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45714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45714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45714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45714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45714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45714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45714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45714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45714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45714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45714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45714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45714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45714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45714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45714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45714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45714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45714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45714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45714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45714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45714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45714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45714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45714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45714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45714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45714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45714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45714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45714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45714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45714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45714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45714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45714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45714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45714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45714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45714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45714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45714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45714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45714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45714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45714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45714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45714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45714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45714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45714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45714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45714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45714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45714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45714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45714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45714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45714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45714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45714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45714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45714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45714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45714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45714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45714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45714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45714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45714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45714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45714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45714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45714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45714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45714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45714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45714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45714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45714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45714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45714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45714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45714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45714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45714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45714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45714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45714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45714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45714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45714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45714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45714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45714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45714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45714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45714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45714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45714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45714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45714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45714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45714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45714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45714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45714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45714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45714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45714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45714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45714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45714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45714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45714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45714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45714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45714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45714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45714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45714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45714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45714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45714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45714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45714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45714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45714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45714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45714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45714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45714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45714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45714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45714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45714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45714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45714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45714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45714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45714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45714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45714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45714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45714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45714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45714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45714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45714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45714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45714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45714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45714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45714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45714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45714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45714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45714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45714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45714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45714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45714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45714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45714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45714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45714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45714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45714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45714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45714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45714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45714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45714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45714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45714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45714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45714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45714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45714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45714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45714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45714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45714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45714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45714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45714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45714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45714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45714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45714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45714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45714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45714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45714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45714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45714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45714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45714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45714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45714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45714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45714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45714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45714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45714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45714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45714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45714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45714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45714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45714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45714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45714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45714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45714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45714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45714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45714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45714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45714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45714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45714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45714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45714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45714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45714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45714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45714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45714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45714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45714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45714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45714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45714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45714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45714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45714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45714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45714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45714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45714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45714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45714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45714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45714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45714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45714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45714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45714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45714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45714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45714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45714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45714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45714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45714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45714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45714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45714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45714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45714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45714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45714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45714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45714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45714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45714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45714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45714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45714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45714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45714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45714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45714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45714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45714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45714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45714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45714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45714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45714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45714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45714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45714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45714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45714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45714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45714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45714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45714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45714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45714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45714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45714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45714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45714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45714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45714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45714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45714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45714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45714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45714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45714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45714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45714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45714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45714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45714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45714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45714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45714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45714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45714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45714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45714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45714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45714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45714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45714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45714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45714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45714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45714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45714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45714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45714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45714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45714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45714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45714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45714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45714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45714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45714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45714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45714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45714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45714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45714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45714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45714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45714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45714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45714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45714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45714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45714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45714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45714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45714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45714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45714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45714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45714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45714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45714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45714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45714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45714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45714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45714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45714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45714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45714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45714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45714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45714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45714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45714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45714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45714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45714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45714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45714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45714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45714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45714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45714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45714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45714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45714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45714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45714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45714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45714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45714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45714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45714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45714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45714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45714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45714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45714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45714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45714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45714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45714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45714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45714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45714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45714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45714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45714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45714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45714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45714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45714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45714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45714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45714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45714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45714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45714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45714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45714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45714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45714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45714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45714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45714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45714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45714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45714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45714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45714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45714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45714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45714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45714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45714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45714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45714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45714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45714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45714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45714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45714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45714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45714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45714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45714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45714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45714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45714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45714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45714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45714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45714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45714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45714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45714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6566-2025</t>
        </is>
      </c>
      <c r="B1482" s="1" t="n">
        <v>45699</v>
      </c>
      <c r="C1482" s="1" t="n">
        <v>45714</v>
      </c>
      <c r="D1482" t="inlineStr">
        <is>
          <t>ÖSTERGÖTLANDS LÄN</t>
        </is>
      </c>
      <c r="E1482" t="inlineStr">
        <is>
          <t>NORRKÖPING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6567-2025</t>
        </is>
      </c>
      <c r="B1483" s="1" t="n">
        <v>45699</v>
      </c>
      <c r="C1483" s="1" t="n">
        <v>45714</v>
      </c>
      <c r="D1483" t="inlineStr">
        <is>
          <t>ÖSTERGÖTLANDS LÄN</t>
        </is>
      </c>
      <c r="E1483" t="inlineStr">
        <is>
          <t>NORRKÖPING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6560-2025</t>
        </is>
      </c>
      <c r="B1484" s="1" t="n">
        <v>45699</v>
      </c>
      <c r="C1484" s="1" t="n">
        <v>45714</v>
      </c>
      <c r="D1484" t="inlineStr">
        <is>
          <t>ÖSTERGÖTLANDS LÄN</t>
        </is>
      </c>
      <c r="E1484" t="inlineStr">
        <is>
          <t>NORRKÖPING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6568-2025</t>
        </is>
      </c>
      <c r="B1485" s="1" t="n">
        <v>45699</v>
      </c>
      <c r="C1485" s="1" t="n">
        <v>45714</v>
      </c>
      <c r="D1485" t="inlineStr">
        <is>
          <t>ÖSTERGÖTLANDS LÄN</t>
        </is>
      </c>
      <c r="E1485" t="inlineStr">
        <is>
          <t>NORRKÖPING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6516-2025</t>
        </is>
      </c>
      <c r="B1486" s="1" t="n">
        <v>45699</v>
      </c>
      <c r="C1486" s="1" t="n">
        <v>45714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6561-2025</t>
        </is>
      </c>
      <c r="B1487" s="1" t="n">
        <v>45699</v>
      </c>
      <c r="C1487" s="1" t="n">
        <v>45714</v>
      </c>
      <c r="D1487" t="inlineStr">
        <is>
          <t>ÖSTERGÖTLANDS LÄN</t>
        </is>
      </c>
      <c r="E1487" t="inlineStr">
        <is>
          <t>NORRKÖPING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6565-2025</t>
        </is>
      </c>
      <c r="B1488" s="1" t="n">
        <v>45699</v>
      </c>
      <c r="C1488" s="1" t="n">
        <v>45714</v>
      </c>
      <c r="D1488" t="inlineStr">
        <is>
          <t>ÖSTERGÖTLANDS LÄN</t>
        </is>
      </c>
      <c r="E1488" t="inlineStr">
        <is>
          <t>NORRKÖPING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6569-2025</t>
        </is>
      </c>
      <c r="B1489" s="1" t="n">
        <v>45699</v>
      </c>
      <c r="C1489" s="1" t="n">
        <v>45714</v>
      </c>
      <c r="D1489" t="inlineStr">
        <is>
          <t>ÖSTERGÖTLANDS LÄN</t>
        </is>
      </c>
      <c r="E1489" t="inlineStr">
        <is>
          <t>NORRKÖPING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7317-2025</t>
        </is>
      </c>
      <c r="B1490" s="1" t="n">
        <v>45702</v>
      </c>
      <c r="C1490" s="1" t="n">
        <v>45714</v>
      </c>
      <c r="D1490" t="inlineStr">
        <is>
          <t>ÖSTERGÖTLANDS LÄN</t>
        </is>
      </c>
      <c r="E1490" t="inlineStr">
        <is>
          <t>NORRKÖPING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7318-2025</t>
        </is>
      </c>
      <c r="B1491" s="1" t="n">
        <v>45702</v>
      </c>
      <c r="C1491" s="1" t="n">
        <v>45714</v>
      </c>
      <c r="D1491" t="inlineStr">
        <is>
          <t>ÖSTERGÖTLANDS LÄN</t>
        </is>
      </c>
      <c r="E1491" t="inlineStr">
        <is>
          <t>NORRKÖPING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45714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7517-2025</t>
        </is>
      </c>
      <c r="B1493" s="1" t="n">
        <v>45705</v>
      </c>
      <c r="C1493" s="1" t="n">
        <v>45714</v>
      </c>
      <c r="D1493" t="inlineStr">
        <is>
          <t>ÖSTERGÖTLANDS LÄN</t>
        </is>
      </c>
      <c r="E1493" t="inlineStr">
        <is>
          <t>NORRKÖPING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7518-2025</t>
        </is>
      </c>
      <c r="B1494" s="1" t="n">
        <v>45705</v>
      </c>
      <c r="C1494" s="1" t="n">
        <v>45714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7761-2025</t>
        </is>
      </c>
      <c r="B1495" s="1" t="n">
        <v>45706</v>
      </c>
      <c r="C1495" s="1" t="n">
        <v>45714</v>
      </c>
      <c r="D1495" t="inlineStr">
        <is>
          <t>ÖSTERGÖTLANDS LÄN</t>
        </is>
      </c>
      <c r="E1495" t="inlineStr">
        <is>
          <t>NORRKÖPING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7742-2025</t>
        </is>
      </c>
      <c r="B1496" s="1" t="n">
        <v>45706</v>
      </c>
      <c r="C1496" s="1" t="n">
        <v>45714</v>
      </c>
      <c r="D1496" t="inlineStr">
        <is>
          <t>ÖSTERGÖTLANDS LÄN</t>
        </is>
      </c>
      <c r="E1496" t="inlineStr">
        <is>
          <t>NORRKÖPING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7750-2025</t>
        </is>
      </c>
      <c r="B1497" s="1" t="n">
        <v>45706</v>
      </c>
      <c r="C1497" s="1" t="n">
        <v>45714</v>
      </c>
      <c r="D1497" t="inlineStr">
        <is>
          <t>ÖSTERGÖTLANDS LÄN</t>
        </is>
      </c>
      <c r="E1497" t="inlineStr">
        <is>
          <t>NORRKÖPING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7762-2025</t>
        </is>
      </c>
      <c r="B1498" s="1" t="n">
        <v>45706</v>
      </c>
      <c r="C1498" s="1" t="n">
        <v>45714</v>
      </c>
      <c r="D1498" t="inlineStr">
        <is>
          <t>ÖSTERGÖTLANDS LÄN</t>
        </is>
      </c>
      <c r="E1498" t="inlineStr">
        <is>
          <t>NORRKÖPING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7714-2025</t>
        </is>
      </c>
      <c r="B1499" s="1" t="n">
        <v>45706</v>
      </c>
      <c r="C1499" s="1" t="n">
        <v>45714</v>
      </c>
      <c r="D1499" t="inlineStr">
        <is>
          <t>ÖSTERGÖTLANDS LÄN</t>
        </is>
      </c>
      <c r="E1499" t="inlineStr">
        <is>
          <t>NORRKÖPING</t>
        </is>
      </c>
      <c r="G1499" t="n">
        <v>13.8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7763-2025</t>
        </is>
      </c>
      <c r="B1500" s="1" t="n">
        <v>45706</v>
      </c>
      <c r="C1500" s="1" t="n">
        <v>45714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8354-2025</t>
        </is>
      </c>
      <c r="B1501" s="1" t="n">
        <v>45708</v>
      </c>
      <c r="C1501" s="1" t="n">
        <v>45714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8437-2025</t>
        </is>
      </c>
      <c r="B1502" s="1" t="n">
        <v>45709</v>
      </c>
      <c r="C1502" s="1" t="n">
        <v>45714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8432-2025</t>
        </is>
      </c>
      <c r="B1503" s="1" t="n">
        <v>45709</v>
      </c>
      <c r="C1503" s="1" t="n">
        <v>45714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8426-2025</t>
        </is>
      </c>
      <c r="B1504" s="1" t="n">
        <v>45709</v>
      </c>
      <c r="C1504" s="1" t="n">
        <v>45714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2025-02-26T16:20:52Z</dcterms:created>
  <dcterms:modified xmlns:dcterms="http://purl.org/dc/terms/" xmlns:xsi="http://www.w3.org/2001/XMLSchema-instance" xsi:type="dcterms:W3CDTF">2025-02-26T16:20:53Z</dcterms:modified>
</cp:coreProperties>
</file>