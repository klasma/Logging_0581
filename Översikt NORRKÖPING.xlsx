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46233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46233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46233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46233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46233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46233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46233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46233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46233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46233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t="n">
        <v>8</v>
      </c>
      <c r="V21" s="2" t="inlineStr">
        <is>
          <t>Ostticka
Dropptaggsvamp
Stubbtrådmossa
Vedskivlav
Vedtrappmossa
Bronshjon
Flagellkvastmossa
Kornknutmossa</t>
        </is>
      </c>
      <c r="W21">
        <f>HYPERLINK("https://klasma.github.io/Logging_0581/artfynd/A 27912-2025 artfynd.xlsx", "A 27912-2025")</f>
        <v/>
      </c>
      <c r="X21">
        <f>HYPERLINK("https://klasma.github.io/Logging_0581/kartor/A 27912-2025 karta.png", "A 27912-2025")</f>
        <v/>
      </c>
      <c r="Y21">
        <f>HYPERLINK("https://klasma.github.io/Logging_0581/kartor_geotiff/A 27912-2025 georefererad karta.tif", "A 27912-2025")</f>
        <v/>
      </c>
      <c r="AA21">
        <f>HYPERLINK("https://klasma.github.io/Logging_0581/klagomål/A 27912-2025 FSC-klagomål.docx", "A 27912-2025")</f>
        <v/>
      </c>
      <c r="AB21">
        <f>HYPERLINK("https://klasma.github.io/Logging_0581/klagomålsmail/A 27912-2025 FSC-klagomål mail.docx", "A 27912-2025")</f>
        <v/>
      </c>
      <c r="AC21">
        <f>HYPERLINK("https://klasma.github.io/Logging_0581/tillsyn/A 27912-2025 tillsynsbegäran.docx", "A 27912-2025")</f>
        <v/>
      </c>
      <c r="AD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46233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46233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46233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46233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46233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46233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46233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46233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46233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46233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Tallticka
Blåmossa
Granbarkgnagare
Mindre märgborre
Spillkråka</t>
        </is>
      </c>
      <c r="W32">
        <f>HYPERLINK("https://klasma.github.io/Logging_0581/artfynd/A 17466-2026 artfynd.xlsx", "A 17466-2026")</f>
        <v/>
      </c>
      <c r="X32">
        <f>HYPERLINK("https://klasma.github.io/Logging_0581/kartor/A 17466-2026 karta.png", "A 17466-2026")</f>
        <v/>
      </c>
      <c r="Y32">
        <f>HYPERLINK("https://klasma.github.io/Logging_0581/kartor_geotiff/A 17466-2026 georefererad karta.tif", "A 17466-2026")</f>
        <v/>
      </c>
      <c r="AA32">
        <f>HYPERLINK("https://klasma.github.io/Logging_0581/klagomål/A 17466-2026 FSC-klagomål.docx", "A 17466-2026")</f>
        <v/>
      </c>
      <c r="AB32">
        <f>HYPERLINK("https://klasma.github.io/Logging_0581/klagomålsmail/A 17466-2026 FSC-klagomål mail.docx", "A 17466-2026")</f>
        <v/>
      </c>
      <c r="AC32">
        <f>HYPERLINK("https://klasma.github.io/Logging_0581/tillsyn/A 17466-2026 tillsynsbegäran.docx", "A 17466-2026")</f>
        <v/>
      </c>
      <c r="AD32">
        <f>HYPERLINK("https://klasma.github.io/Logging_0581/tillsynsmail/A 17466-2026 tillsynsbegäran mail.docx", "A 17466-2026")</f>
        <v/>
      </c>
      <c r="AE32">
        <f>HYPERLINK("https://klasma.github.io/Logging_0581/fåglar/A 17466-2026 prioriterade fågelarter.docx", "A 17466-2026")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46233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46233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46233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46233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46233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46233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46233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46233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46233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46233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46233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46233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46233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46233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46233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21147-2026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46233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1.1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6</v>
      </c>
      <c r="U48" t="n">
        <v>6</v>
      </c>
      <c r="V48" s="2" t="inlineStr">
        <is>
          <t>Vedskivlav
Fällmossa
Spillkråka
Tofsmes</t>
        </is>
      </c>
      <c r="W48">
        <f>HYPERLINK("https://klasma.github.io/Logging_0581/artfynd/A 21147-2026 artfynd.xlsx", "A 21147-2026")</f>
        <v/>
      </c>
      <c r="X48">
        <f>HYPERLINK("https://klasma.github.io/Logging_0581/kartor/A 21147-2026 karta.png", "A 21147-2026")</f>
        <v/>
      </c>
      <c r="Y48">
        <f>HYPERLINK("https://klasma.github.io/Logging_0581/kartor_geotiff/A 21147-2026 georefererad karta.tif", "A 21147-2026")</f>
        <v/>
      </c>
      <c r="AA48">
        <f>HYPERLINK("https://klasma.github.io/Logging_0581/klagomål/A 21147-2026 FSC-klagomål.docx", "A 21147-2026")</f>
        <v/>
      </c>
      <c r="AB48">
        <f>HYPERLINK("https://klasma.github.io/Logging_0581/klagomålsmail/A 21147-2026 FSC-klagomål mail.docx", "A 21147-2026")</f>
        <v/>
      </c>
      <c r="AC48">
        <f>HYPERLINK("https://klasma.github.io/Logging_0581/tillsyn/A 21147-2026 tillsynsbegäran.docx", "A 21147-2026")</f>
        <v/>
      </c>
      <c r="AD48">
        <f>HYPERLINK("https://klasma.github.io/Logging_0581/tillsynsmail/A 21147-2026 tillsynsbegäran mail.docx", "A 21147-2026")</f>
        <v/>
      </c>
      <c r="AE48">
        <f>HYPERLINK("https://klasma.github.io/Logging_0581/fåglar/A 21147-2026 prioriterade fågelarter.docx", "A 21147-2026")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46233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46233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Flagellkvastmossa
Guldlockmossa
Rostfläck
Vedticka</t>
        </is>
      </c>
      <c r="W50">
        <f>HYPERLINK("https://klasma.github.io/Logging_0581/artfynd/A 52576-2025 artfynd.xlsx", "A 52576-2025")</f>
        <v/>
      </c>
      <c r="X50">
        <f>HYPERLINK("https://klasma.github.io/Logging_0581/kartor/A 52576-2025 karta.png", "A 52576-2025")</f>
        <v/>
      </c>
      <c r="Y50">
        <f>HYPERLINK("https://klasma.github.io/Logging_0581/kartor_geotiff/A 52576-2025 georefererad karta.tif", "A 52576-2025")</f>
        <v/>
      </c>
      <c r="AA50">
        <f>HYPERLINK("https://klasma.github.io/Logging_0581/klagomål/A 52576-2025 FSC-klagomål.docx", "A 52576-2025")</f>
        <v/>
      </c>
      <c r="AB50">
        <f>HYPERLINK("https://klasma.github.io/Logging_0581/klagomålsmail/A 52576-2025 FSC-klagomål mail.docx", "A 52576-2025")</f>
        <v/>
      </c>
      <c r="AC50">
        <f>HYPERLINK("https://klasma.github.io/Logging_0581/tillsyn/A 52576-2025 tillsynsbegäran.docx", "A 52576-2025")</f>
        <v/>
      </c>
      <c r="AD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46233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46233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45699-2024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45579</v>
      </c>
      <c r="E54" s="1" t="n">
        <v>46233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Vedskivlav
Flagellkvastmossa
Mindre märgborre</t>
        </is>
      </c>
      <c r="W54">
        <f>HYPERLINK("https://klasma.github.io/Logging_0581/artfynd/A 45699-2024 artfynd.xlsx", "A 45699-2024")</f>
        <v/>
      </c>
      <c r="X54">
        <f>HYPERLINK("https://klasma.github.io/Logging_0581/kartor/A 45699-2024 karta.png", "A 45699-2024")</f>
        <v/>
      </c>
      <c r="Y54">
        <f>HYPERLINK("https://klasma.github.io/Logging_0581/kartor_geotiff/A 45699-2024 georefererad karta.tif", "A 45699-2024")</f>
        <v/>
      </c>
      <c r="AA54">
        <f>HYPERLINK("https://klasma.github.io/Logging_0581/klagomål/A 45699-2024 FSC-klagomål.docx", "A 45699-2024")</f>
        <v/>
      </c>
      <c r="AB54">
        <f>HYPERLINK("https://klasma.github.io/Logging_0581/klagomålsmail/A 45699-2024 FSC-klagomål mail.docx", "A 45699-2024")</f>
        <v/>
      </c>
      <c r="AC54">
        <f>HYPERLINK("https://klasma.github.io/Logging_0581/tillsyn/A 45699-2024 tillsynsbegäran.docx", "A 45699-2024")</f>
        <v/>
      </c>
      <c r="AD54">
        <f>HYPERLINK("https://klasma.github.io/Logging_0581/tillsynsmail/A 45699-2024 tillsynsbegäran mail.docx", "A 45699-2024")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46233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46233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46233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46233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46233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46233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46233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46233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46233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Grönpyrola
Plattlummer
Äkta lopplummer</t>
        </is>
      </c>
      <c r="W63">
        <f>HYPERLINK("https://klasma.github.io/Logging_0581/artfynd/A 34439-2023 artfynd.xlsx", "A 34439-2023")</f>
        <v/>
      </c>
      <c r="X63">
        <f>HYPERLINK("https://klasma.github.io/Logging_0581/kartor/A 34439-2023 karta.png", "A 34439-2023")</f>
        <v/>
      </c>
      <c r="Y63">
        <f>HYPERLINK("https://klasma.github.io/Logging_0581/kartor_geotiff/A 34439-2023 georefererad karta.tif", "A 34439-2023")</f>
        <v/>
      </c>
      <c r="Z63">
        <f>HYPERLINK("https://klasma.github.io/Logging_0581/knärot/A 34439-2023 karta knärot.png", "A 34439-2023")</f>
        <v/>
      </c>
      <c r="AA63">
        <f>HYPERLINK("https://klasma.github.io/Logging_0581/klagomål/A 34439-2023 FSC-klagomål.docx", "A 34439-2023")</f>
        <v/>
      </c>
      <c r="AB63">
        <f>HYPERLINK("https://klasma.github.io/Logging_0581/klagomålsmail/A 34439-2023 FSC-klagomål mail.docx", "A 34439-2023")</f>
        <v/>
      </c>
      <c r="AC63">
        <f>HYPERLINK("https://klasma.github.io/Logging_0581/tillsyn/A 34439-2023 tillsynsbegäran.docx", "A 34439-2023")</f>
        <v/>
      </c>
      <c r="AD63">
        <f>HYPERLINK("https://klasma.github.io/Logging_0581/tillsynsmail/A 34439-2023 tillsynsbegäran mail.docx", "A 34439-2023")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46233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46233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46233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Hasselticka
Spillkråka</t>
        </is>
      </c>
      <c r="W66">
        <f>HYPERLINK("https://klasma.github.io/Logging_0581/artfynd/A 19989-2026 artfynd.xlsx", "A 19989-2026")</f>
        <v/>
      </c>
      <c r="X66">
        <f>HYPERLINK("https://klasma.github.io/Logging_0581/kartor/A 19989-2026 karta.png", "A 19989-2026")</f>
        <v/>
      </c>
      <c r="Y66">
        <f>HYPERLINK("https://klasma.github.io/Logging_0581/kartor_geotiff/A 19989-2026 georefererad karta.tif", "A 19989-2026")</f>
        <v/>
      </c>
      <c r="AA66">
        <f>HYPERLINK("https://klasma.github.io/Logging_0581/klagomål/A 19989-2026 FSC-klagomål.docx", "A 19989-2026")</f>
        <v/>
      </c>
      <c r="AB66">
        <f>HYPERLINK("https://klasma.github.io/Logging_0581/klagomålsmail/A 19989-2026 FSC-klagomål mail.docx", "A 19989-2026")</f>
        <v/>
      </c>
      <c r="AC66">
        <f>HYPERLINK("https://klasma.github.io/Logging_0581/tillsyn/A 19989-2026 tillsynsbegäran.docx", "A 19989-2026")</f>
        <v/>
      </c>
      <c r="AD66">
        <f>HYPERLINK("https://klasma.github.io/Logging_0581/tillsynsmail/A 19989-2026 tillsynsbegäran mail.docx", "A 19989-2026")</f>
        <v/>
      </c>
      <c r="AE66">
        <f>HYPERLINK("https://klasma.github.io/Logging_0581/fåglar/A 19989-2026 prioriterade fågelarter.docx", "A 19989-2026")</f>
        <v/>
      </c>
    </row>
    <row r="67" ht="15" customHeight="1">
      <c r="A67" t="inlineStr">
        <is>
          <t>A 19806-2026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46135</v>
      </c>
      <c r="E67" s="1" t="n">
        <v>46233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Blåmossa
Kungsfågel</t>
        </is>
      </c>
      <c r="W67">
        <f>HYPERLINK("https://klasma.github.io/Logging_0581/artfynd/A 19806-2026 artfynd.xlsx", "A 19806-2026")</f>
        <v/>
      </c>
      <c r="X67">
        <f>HYPERLINK("https://klasma.github.io/Logging_0581/kartor/A 19806-2026 karta.png", "A 19806-2026")</f>
        <v/>
      </c>
      <c r="Y67">
        <f>HYPERLINK("https://klasma.github.io/Logging_0581/kartor_geotiff/A 19806-2026 georefererad karta.tif", "A 19806-2026")</f>
        <v/>
      </c>
      <c r="AA67">
        <f>HYPERLINK("https://klasma.github.io/Logging_0581/klagomål/A 19806-2026 FSC-klagomål.docx", "A 19806-2026")</f>
        <v/>
      </c>
      <c r="AB67">
        <f>HYPERLINK("https://klasma.github.io/Logging_0581/klagomålsmail/A 19806-2026 FSC-klagomål mail.docx", "A 19806-2026")</f>
        <v/>
      </c>
      <c r="AC67">
        <f>HYPERLINK("https://klasma.github.io/Logging_0581/tillsyn/A 19806-2026 tillsynsbegäran.docx", "A 19806-2026")</f>
        <v/>
      </c>
      <c r="AD67">
        <f>HYPERLINK("https://klasma.github.io/Logging_0581/tillsynsmail/A 19806-2026 tillsynsbegäran mail.docx", "A 19806-2026")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46233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30829-2026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46212</v>
      </c>
      <c r="E70" s="1" t="n">
        <v>46233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Björksplintborre
Kornknutmossa
Stor aspticka</t>
        </is>
      </c>
      <c r="W70">
        <f>HYPERLINK("https://klasma.github.io/Logging_0581/artfynd/A 30829-2026 artfynd.xlsx", "A 30829-2026")</f>
        <v/>
      </c>
      <c r="X70">
        <f>HYPERLINK("https://klasma.github.io/Logging_0581/kartor/A 30829-2026 karta.png", "A 30829-2026")</f>
        <v/>
      </c>
      <c r="Y70">
        <f>HYPERLINK("https://klasma.github.io/Logging_0581/kartor_geotiff/A 30829-2026 georefererad karta.tif", "A 30829-2026")</f>
        <v/>
      </c>
      <c r="AA70">
        <f>HYPERLINK("https://klasma.github.io/Logging_0581/klagomål/A 30829-2026 FSC-klagomål.docx", "A 30829-2026")</f>
        <v/>
      </c>
      <c r="AB70">
        <f>HYPERLINK("https://klasma.github.io/Logging_0581/klagomålsmail/A 30829-2026 FSC-klagomål mail.docx", "A 30829-2026")</f>
        <v/>
      </c>
      <c r="AC70">
        <f>HYPERLINK("https://klasma.github.io/Logging_0581/tillsyn/A 30829-2026 tillsynsbegäran.docx", "A 30829-2026")</f>
        <v/>
      </c>
      <c r="AD70">
        <f>HYPERLINK("https://klasma.github.io/Logging_0581/tillsynsmail/A 30829-2026 tillsynsbegäran mail.docx", "A 30829-2026")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46233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23969-2025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46233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Crepis tectorum subsp. tectorum
Grönsångare
Tallticka</t>
        </is>
      </c>
      <c r="W72">
        <f>HYPERLINK("https://klasma.github.io/Logging_0581/artfynd/A 23969-2025 artfynd.xlsx", "A 23969-2025")</f>
        <v/>
      </c>
      <c r="X72">
        <f>HYPERLINK("https://klasma.github.io/Logging_0581/kartor/A 23969-2025 karta.png", "A 23969-2025")</f>
        <v/>
      </c>
      <c r="Y72">
        <f>HYPERLINK("https://klasma.github.io/Logging_0581/kartor_geotiff/A 23969-2025 georefererad karta.tif", "A 23969-2025")</f>
        <v/>
      </c>
      <c r="AA72">
        <f>HYPERLINK("https://klasma.github.io/Logging_0581/klagomål/A 23969-2025 FSC-klagomål.docx", "A 23969-2025")</f>
        <v/>
      </c>
      <c r="AB72">
        <f>HYPERLINK("https://klasma.github.io/Logging_0581/klagomålsmail/A 23969-2025 FSC-klagomål mail.docx", "A 23969-2025")</f>
        <v/>
      </c>
      <c r="AC72">
        <f>HYPERLINK("https://klasma.github.io/Logging_0581/tillsyn/A 23969-2025 tillsynsbegäran.docx", "A 23969-2025")</f>
        <v/>
      </c>
      <c r="AD72">
        <f>HYPERLINK("https://klasma.github.io/Logging_0581/tillsynsmail/A 23969-2025 tillsynsbegäran mail.docx", "A 23969-2025")</f>
        <v/>
      </c>
      <c r="AE72">
        <f>HYPERLINK("https://klasma.github.io/Logging_0581/fåglar/A 23969-2025 prioriterade fågelarter.docx", "A 23969-2025")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46233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46233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33659-2022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46233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3.4</v>
      </c>
      <c r="J75" t="n">
        <v>0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Sotlav</t>
        </is>
      </c>
      <c r="W75">
        <f>HYPERLINK("https://klasma.github.io/Logging_0581/artfynd/A 33659-2022 artfynd.xlsx", "A 33659-2022")</f>
        <v/>
      </c>
      <c r="X75">
        <f>HYPERLINK("https://klasma.github.io/Logging_0581/kartor/A 33659-2022 karta.png", "A 33659-2022")</f>
        <v/>
      </c>
      <c r="Y75">
        <f>HYPERLINK("https://klasma.github.io/Logging_0581/kartor_geotiff/A 33659-2022 georefererad karta.tif", "A 33659-2022")</f>
        <v/>
      </c>
      <c r="AA75">
        <f>HYPERLINK("https://klasma.github.io/Logging_0581/klagomål/A 33659-2022 FSC-klagomål.docx", "A 33659-2022")</f>
        <v/>
      </c>
      <c r="AB75">
        <f>HYPERLINK("https://klasma.github.io/Logging_0581/klagomålsmail/A 33659-2022 FSC-klagomål mail.docx", "A 33659-2022")</f>
        <v/>
      </c>
      <c r="AC75">
        <f>HYPERLINK("https://klasma.github.io/Logging_0581/tillsyn/A 33659-2022 tillsynsbegäran.docx", "A 33659-2022")</f>
        <v/>
      </c>
      <c r="AD75">
        <f>HYPERLINK("https://klasma.github.io/Logging_0581/tillsynsmail/A 33659-2022 tillsynsbegäran mail.docx", "A 33659-2022")</f>
        <v/>
      </c>
    </row>
    <row r="76" ht="15" customHeight="1">
      <c r="A76" t="inlineStr">
        <is>
          <t>A 17248-2024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45414</v>
      </c>
      <c r="E76" s="1" t="n">
        <v>46233</v>
      </c>
      <c r="F76" t="inlineStr">
        <is>
          <t>ÖSTERGÖTLANDS LÄN</t>
        </is>
      </c>
      <c r="G76" t="inlineStr">
        <is>
          <t>NORRKÖPING</t>
        </is>
      </c>
      <c r="I76" t="n">
        <v>2.6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Tallticka
Vedticka</t>
        </is>
      </c>
      <c r="W76">
        <f>HYPERLINK("https://klasma.github.io/Logging_0581/artfynd/A 17248-2024 artfynd.xlsx", "A 17248-2024")</f>
        <v/>
      </c>
      <c r="X76">
        <f>HYPERLINK("https://klasma.github.io/Logging_0581/kartor/A 17248-2024 karta.png", "A 17248-2024")</f>
        <v/>
      </c>
      <c r="Y76">
        <f>HYPERLINK("https://klasma.github.io/Logging_0581/kartor_geotiff/A 17248-2024 georefererad karta.tif", "A 17248-2024")</f>
        <v/>
      </c>
      <c r="AA76">
        <f>HYPERLINK("https://klasma.github.io/Logging_0581/klagomål/A 17248-2024 FSC-klagomål.docx", "A 17248-2024")</f>
        <v/>
      </c>
      <c r="AB76">
        <f>HYPERLINK("https://klasma.github.io/Logging_0581/klagomålsmail/A 17248-2024 FSC-klagomål mail.docx", "A 17248-2024")</f>
        <v/>
      </c>
      <c r="AC76">
        <f>HYPERLINK("https://klasma.github.io/Logging_0581/tillsyn/A 17248-2024 tillsynsbegäran.docx", "A 17248-2024")</f>
        <v/>
      </c>
      <c r="AD76">
        <f>HYPERLINK("https://klasma.github.io/Logging_0581/tillsynsmail/A 17248-2024 tillsynsbegäran mail.docx", "A 17248-2024")</f>
        <v/>
      </c>
    </row>
    <row r="77" ht="15" customHeight="1">
      <c r="A77" t="inlineStr">
        <is>
          <t>A 5572-2024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46233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0.6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Grov baronmossa
Platt fjädermossa</t>
        </is>
      </c>
      <c r="W77">
        <f>HYPERLINK("https://klasma.github.io/Logging_0581/artfynd/A 5572-2024 artfynd.xlsx", "A 5572-2024")</f>
        <v/>
      </c>
      <c r="X77">
        <f>HYPERLINK("https://klasma.github.io/Logging_0581/kartor/A 5572-2024 karta.png", "A 5572-2024")</f>
        <v/>
      </c>
      <c r="Y77">
        <f>HYPERLINK("https://klasma.github.io/Logging_0581/kartor_geotiff/A 5572-2024 georefererad karta.tif", "A 5572-2024")</f>
        <v/>
      </c>
      <c r="AA77">
        <f>HYPERLINK("https://klasma.github.io/Logging_0581/klagomål/A 5572-2024 FSC-klagomål.docx", "A 5572-2024")</f>
        <v/>
      </c>
      <c r="AB77">
        <f>HYPERLINK("https://klasma.github.io/Logging_0581/klagomålsmail/A 5572-2024 FSC-klagomål mail.docx", "A 5572-2024")</f>
        <v/>
      </c>
      <c r="AC77">
        <f>HYPERLINK("https://klasma.github.io/Logging_0581/tillsyn/A 5572-2024 tillsynsbegäran.docx", "A 5572-2024")</f>
        <v/>
      </c>
      <c r="AD77">
        <f>HYPERLINK("https://klasma.github.io/Logging_0581/tillsynsmail/A 5572-2024 tillsynsbegäran mail.docx", "A 5572-2024")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46233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46233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40315-2025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46233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8.699999999999999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Mattlummer
Revlummer</t>
        </is>
      </c>
      <c r="W80">
        <f>HYPERLINK("https://klasma.github.io/Logging_0581/artfynd/A 40315-2025 artfynd.xlsx", "A 40315-2025")</f>
        <v/>
      </c>
      <c r="X80">
        <f>HYPERLINK("https://klasma.github.io/Logging_0581/kartor/A 40315-2025 karta.png", "A 40315-2025")</f>
        <v/>
      </c>
      <c r="Y80">
        <f>HYPERLINK("https://klasma.github.io/Logging_0581/kartor_geotiff/A 40315-2025 georefererad karta.tif", "A 40315-2025")</f>
        <v/>
      </c>
      <c r="AA80">
        <f>HYPERLINK("https://klasma.github.io/Logging_0581/klagomål/A 40315-2025 FSC-klagomål.docx", "A 40315-2025")</f>
        <v/>
      </c>
      <c r="AB80">
        <f>HYPERLINK("https://klasma.github.io/Logging_0581/klagomålsmail/A 40315-2025 FSC-klagomål mail.docx", "A 40315-2025")</f>
        <v/>
      </c>
      <c r="AC80">
        <f>HYPERLINK("https://klasma.github.io/Logging_0581/tillsyn/A 40315-2025 tillsynsbegäran.docx", "A 40315-2025")</f>
        <v/>
      </c>
      <c r="AD80">
        <f>HYPERLINK("https://klasma.github.io/Logging_0581/tillsynsmail/A 40315-2025 tillsynsbegäran mail.docx", "A 40315-2025")</f>
        <v/>
      </c>
    </row>
    <row r="81" ht="15" customHeight="1">
      <c r="A81" t="inlineStr">
        <is>
          <t>A 46955-2023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46233</v>
      </c>
      <c r="F81" t="inlineStr">
        <is>
          <t>ÖSTERGÖTLANDS LÄN</t>
        </is>
      </c>
      <c r="G81" t="inlineStr">
        <is>
          <t>NORRKÖPING</t>
        </is>
      </c>
      <c r="I81" t="n">
        <v>4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Dropptaggsvamp
Sparvuggla</t>
        </is>
      </c>
      <c r="W81">
        <f>HYPERLINK("https://klasma.github.io/Logging_0581/artfynd/A 46955-2023 artfynd.xlsx", "A 46955-2023")</f>
        <v/>
      </c>
      <c r="X81">
        <f>HYPERLINK("https://klasma.github.io/Logging_0581/kartor/A 46955-2023 karta.png", "A 46955-2023")</f>
        <v/>
      </c>
      <c r="Y81">
        <f>HYPERLINK("https://klasma.github.io/Logging_0581/kartor_geotiff/A 46955-2023 georefererad karta.tif", "A 46955-2023")</f>
        <v/>
      </c>
      <c r="AA81">
        <f>HYPERLINK("https://klasma.github.io/Logging_0581/klagomål/A 46955-2023 FSC-klagomål.docx", "A 46955-2023")</f>
        <v/>
      </c>
      <c r="AB81">
        <f>HYPERLINK("https://klasma.github.io/Logging_0581/klagomålsmail/A 46955-2023 FSC-klagomål mail.docx", "A 46955-2023")</f>
        <v/>
      </c>
      <c r="AC81">
        <f>HYPERLINK("https://klasma.github.io/Logging_0581/tillsyn/A 46955-2023 tillsynsbegäran.docx", "A 46955-2023")</f>
        <v/>
      </c>
      <c r="AD81">
        <f>HYPERLINK("https://klasma.github.io/Logging_0581/tillsynsmail/A 46955-2023 tillsynsbegäran mail.docx", "A 46955-2023")</f>
        <v/>
      </c>
      <c r="AE81">
        <f>HYPERLINK("https://klasma.github.io/Logging_0581/fåglar/A 46955-2023 prioriterade fågelarter.docx", "A 46955-2023")</f>
        <v/>
      </c>
    </row>
    <row r="82" ht="15" customHeight="1">
      <c r="A82" t="inlineStr">
        <is>
          <t>A 14459-2024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46233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Talltita</t>
        </is>
      </c>
      <c r="W82">
        <f>HYPERLINK("https://klasma.github.io/Logging_0581/artfynd/A 14459-2024 artfynd.xlsx", "A 14459-2024")</f>
        <v/>
      </c>
      <c r="X82">
        <f>HYPERLINK("https://klasma.github.io/Logging_0581/kartor/A 14459-2024 karta.png", "A 14459-2024")</f>
        <v/>
      </c>
      <c r="Y82">
        <f>HYPERLINK("https://klasma.github.io/Logging_0581/kartor_geotiff/A 14459-2024 georefererad karta.tif", "A 14459-2024")</f>
        <v/>
      </c>
      <c r="AA82">
        <f>HYPERLINK("https://klasma.github.io/Logging_0581/klagomål/A 14459-2024 FSC-klagomål.docx", "A 14459-2024")</f>
        <v/>
      </c>
      <c r="AB82">
        <f>HYPERLINK("https://klasma.github.io/Logging_0581/klagomålsmail/A 14459-2024 FSC-klagomål mail.docx", "A 14459-2024")</f>
        <v/>
      </c>
      <c r="AC82">
        <f>HYPERLINK("https://klasma.github.io/Logging_0581/tillsyn/A 14459-2024 tillsynsbegäran.docx", "A 14459-2024")</f>
        <v/>
      </c>
      <c r="AD82">
        <f>HYPERLINK("https://klasma.github.io/Logging_0581/tillsynsmail/A 14459-2024 tillsynsbegäran mail.docx", "A 14459-2024")</f>
        <v/>
      </c>
      <c r="AE82">
        <f>HYPERLINK("https://klasma.github.io/Logging_0581/fåglar/A 14459-2024 prioriterade fågelarter.docx", "A 14459-2024")</f>
        <v/>
      </c>
    </row>
    <row r="83" ht="15" customHeight="1">
      <c r="A83" t="inlineStr">
        <is>
          <t>A 10769-2024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46233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2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10769-2024 artfynd.xlsx", "A 10769-2024")</f>
        <v/>
      </c>
      <c r="X83">
        <f>HYPERLINK("https://klasma.github.io/Logging_0581/kartor/A 10769-2024 karta.png", "A 10769-2024")</f>
        <v/>
      </c>
      <c r="Y83">
        <f>HYPERLINK("https://klasma.github.io/Logging_0581/kartor_geotiff/A 10769-2024 georefererad karta.tif", "A 10769-2024")</f>
        <v/>
      </c>
      <c r="AA83">
        <f>HYPERLINK("https://klasma.github.io/Logging_0581/klagomål/A 10769-2024 FSC-klagomål.docx", "A 10769-2024")</f>
        <v/>
      </c>
      <c r="AB83">
        <f>HYPERLINK("https://klasma.github.io/Logging_0581/klagomålsmail/A 10769-2024 FSC-klagomål mail.docx", "A 10769-2024")</f>
        <v/>
      </c>
      <c r="AC83">
        <f>HYPERLINK("https://klasma.github.io/Logging_0581/tillsyn/A 10769-2024 tillsynsbegäran.docx", "A 10769-2024")</f>
        <v/>
      </c>
      <c r="AD83">
        <f>HYPERLINK("https://klasma.github.io/Logging_0581/tillsynsmail/A 10769-2024 tillsynsbegäran mail.docx", "A 10769-2024")</f>
        <v/>
      </c>
      <c r="AE83">
        <f>HYPERLINK("https://klasma.github.io/Logging_0581/fåglar/A 10769-2024 prioriterade fågelarter.docx", "A 10769-2024")</f>
        <v/>
      </c>
    </row>
    <row r="84" ht="15" customHeight="1">
      <c r="A84" t="inlineStr">
        <is>
          <t>A 49869-2021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46233</v>
      </c>
      <c r="F84" t="inlineStr">
        <is>
          <t>ÖSTERGÖTLANDS LÄN</t>
        </is>
      </c>
      <c r="G84" t="inlineStr">
        <is>
          <t>NORRKÖPING</t>
        </is>
      </c>
      <c r="I84" t="n">
        <v>2.2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2</v>
      </c>
      <c r="V84" s="2" t="inlineStr">
        <is>
          <t>Jungfrulin
Knippnejlika</t>
        </is>
      </c>
      <c r="W84">
        <f>HYPERLINK("https://klasma.github.io/Logging_0581/artfynd/A 49869-2021 artfynd.xlsx", "A 49869-2021")</f>
        <v/>
      </c>
      <c r="X84">
        <f>HYPERLINK("https://klasma.github.io/Logging_0581/kartor/A 49869-2021 karta.png", "A 49869-2021")</f>
        <v/>
      </c>
      <c r="Y84">
        <f>HYPERLINK("https://klasma.github.io/Logging_0581/kartor_geotiff/A 49869-2021 georefererad karta.tif", "A 49869-2021")</f>
        <v/>
      </c>
      <c r="AA84">
        <f>HYPERLINK("https://klasma.github.io/Logging_0581/klagomål/A 49869-2021 FSC-klagomål.docx", "A 49869-2021")</f>
        <v/>
      </c>
      <c r="AB84">
        <f>HYPERLINK("https://klasma.github.io/Logging_0581/klagomålsmail/A 49869-2021 FSC-klagomål mail.docx", "A 49869-2021")</f>
        <v/>
      </c>
      <c r="AC84">
        <f>HYPERLINK("https://klasma.github.io/Logging_0581/tillsyn/A 49869-2021 tillsynsbegäran.docx", "A 49869-2021")</f>
        <v/>
      </c>
      <c r="AD84">
        <f>HYPERLINK("https://klasma.github.io/Logging_0581/tillsynsmail/A 49869-2021 tillsynsbegäran mail.docx", "A 49869-2021")</f>
        <v/>
      </c>
    </row>
    <row r="85" ht="15" customHeight="1">
      <c r="A85" t="inlineStr">
        <is>
          <t>A 48735-2025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46233</v>
      </c>
      <c r="F85" t="inlineStr">
        <is>
          <t>ÖSTERGÖTLANDS LÄN</t>
        </is>
      </c>
      <c r="G85" t="inlineStr">
        <is>
          <t>NORRKÖPING</t>
        </is>
      </c>
      <c r="I85" t="n">
        <v>3.6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Ekoxe
Stuplav</t>
        </is>
      </c>
      <c r="W85">
        <f>HYPERLINK("https://klasma.github.io/Logging_0581/artfynd/A 48735-2025 artfynd.xlsx", "A 48735-2025")</f>
        <v/>
      </c>
      <c r="X85">
        <f>HYPERLINK("https://klasma.github.io/Logging_0581/kartor/A 48735-2025 karta.png", "A 48735-2025")</f>
        <v/>
      </c>
      <c r="Y85">
        <f>HYPERLINK("https://klasma.github.io/Logging_0581/kartor_geotiff/A 48735-2025 georefererad karta.tif", "A 48735-2025")</f>
        <v/>
      </c>
      <c r="AA85">
        <f>HYPERLINK("https://klasma.github.io/Logging_0581/klagomål/A 48735-2025 FSC-klagomål.docx", "A 48735-2025")</f>
        <v/>
      </c>
      <c r="AB85">
        <f>HYPERLINK("https://klasma.github.io/Logging_0581/klagomålsmail/A 48735-2025 FSC-klagomål mail.docx", "A 48735-2025")</f>
        <v/>
      </c>
      <c r="AC85">
        <f>HYPERLINK("https://klasma.github.io/Logging_0581/tillsyn/A 48735-2025 tillsynsbegäran.docx", "A 48735-2025")</f>
        <v/>
      </c>
      <c r="AD85">
        <f>HYPERLINK("https://klasma.github.io/Logging_0581/tillsynsmail/A 48735-2025 tillsynsbegäran mail.docx", "A 48735-2025")</f>
        <v/>
      </c>
    </row>
    <row r="86" ht="15" customHeight="1">
      <c r="A86" t="inlineStr">
        <is>
          <t>A 42365-2025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46233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Tibast</t>
        </is>
      </c>
      <c r="W86">
        <f>HYPERLINK("https://klasma.github.io/Logging_0581/artfynd/A 42365-2025 artfynd.xlsx", "A 42365-2025")</f>
        <v/>
      </c>
      <c r="X86">
        <f>HYPERLINK("https://klasma.github.io/Logging_0581/kartor/A 42365-2025 karta.png", "A 42365-2025")</f>
        <v/>
      </c>
      <c r="Y86">
        <f>HYPERLINK("https://klasma.github.io/Logging_0581/kartor_geotiff/A 42365-2025 georefererad karta.tif", "A 42365-2025")</f>
        <v/>
      </c>
      <c r="AA86">
        <f>HYPERLINK("https://klasma.github.io/Logging_0581/klagomål/A 42365-2025 FSC-klagomål.docx", "A 42365-2025")</f>
        <v/>
      </c>
      <c r="AB86">
        <f>HYPERLINK("https://klasma.github.io/Logging_0581/klagomålsmail/A 42365-2025 FSC-klagomål mail.docx", "A 42365-2025")</f>
        <v/>
      </c>
      <c r="AC86">
        <f>HYPERLINK("https://klasma.github.io/Logging_0581/tillsyn/A 42365-2025 tillsynsbegäran.docx", "A 42365-2025")</f>
        <v/>
      </c>
      <c r="AD86">
        <f>HYPERLINK("https://klasma.github.io/Logging_0581/tillsynsmail/A 42365-2025 tillsynsbegäran mail.docx", "A 42365-2025")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46233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46233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46233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46233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58380-2025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46233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10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Tallticka</t>
        </is>
      </c>
      <c r="W91">
        <f>HYPERLINK("https://klasma.github.io/Logging_0581/artfynd/A 58380-2025 artfynd.xlsx", "A 58380-2025")</f>
        <v/>
      </c>
      <c r="X91">
        <f>HYPERLINK("https://klasma.github.io/Logging_0581/kartor/A 58380-2025 karta.png", "A 58380-2025")</f>
        <v/>
      </c>
      <c r="Y91">
        <f>HYPERLINK("https://klasma.github.io/Logging_0581/kartor_geotiff/A 58380-2025 georefererad karta.tif", "A 58380-2025")</f>
        <v/>
      </c>
      <c r="Z91">
        <f>HYPERLINK("https://klasma.github.io/Logging_0581/knärot/A 58380-2025 karta knärot.png", "A 58380-2025")</f>
        <v/>
      </c>
      <c r="AA91">
        <f>HYPERLINK("https://klasma.github.io/Logging_0581/klagomål/A 58380-2025 FSC-klagomål.docx", "A 58380-2025")</f>
        <v/>
      </c>
      <c r="AB91">
        <f>HYPERLINK("https://klasma.github.io/Logging_0581/klagomålsmail/A 58380-2025 FSC-klagomål mail.docx", "A 58380-2025")</f>
        <v/>
      </c>
      <c r="AC91">
        <f>HYPERLINK("https://klasma.github.io/Logging_0581/tillsyn/A 58380-2025 tillsynsbegäran.docx", "A 58380-2025")</f>
        <v/>
      </c>
      <c r="AD91">
        <f>HYPERLINK("https://klasma.github.io/Logging_0581/tillsynsmail/A 58380-2025 tillsynsbegäran mail.docx", "A 58380-2025")</f>
        <v/>
      </c>
    </row>
    <row r="92" ht="15" customHeight="1">
      <c r="A92" t="inlineStr">
        <is>
          <t>A 53852-2022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44880</v>
      </c>
      <c r="E92" s="1" t="n">
        <v>46233</v>
      </c>
      <c r="F92" t="inlineStr">
        <is>
          <t>ÖSTERGÖTLANDS LÄN</t>
        </is>
      </c>
      <c r="G92" t="inlineStr">
        <is>
          <t>NORRKÖPING</t>
        </is>
      </c>
      <c r="I92" t="n">
        <v>1.8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Tibast
Blåsippa</t>
        </is>
      </c>
      <c r="W92">
        <f>HYPERLINK("https://klasma.github.io/Logging_0581/artfynd/A 53852-2022 artfynd.xlsx", "A 53852-2022")</f>
        <v/>
      </c>
      <c r="X92">
        <f>HYPERLINK("https://klasma.github.io/Logging_0581/kartor/A 53852-2022 karta.png", "A 53852-2022")</f>
        <v/>
      </c>
      <c r="Y92">
        <f>HYPERLINK("https://klasma.github.io/Logging_0581/kartor_geotiff/A 53852-2022 georefererad karta.tif", "A 53852-2022")</f>
        <v/>
      </c>
      <c r="AA92">
        <f>HYPERLINK("https://klasma.github.io/Logging_0581/klagomål/A 53852-2022 FSC-klagomål.docx", "A 53852-2022")</f>
        <v/>
      </c>
      <c r="AB92">
        <f>HYPERLINK("https://klasma.github.io/Logging_0581/klagomålsmail/A 53852-2022 FSC-klagomål mail.docx", "A 53852-2022")</f>
        <v/>
      </c>
      <c r="AC92">
        <f>HYPERLINK("https://klasma.github.io/Logging_0581/tillsyn/A 53852-2022 tillsynsbegäran.docx", "A 53852-2022")</f>
        <v/>
      </c>
      <c r="AD92">
        <f>HYPERLINK("https://klasma.github.io/Logging_0581/tillsynsmail/A 53852-2022 tillsynsbegäran mail.docx", "A 53852-2022")</f>
        <v/>
      </c>
    </row>
    <row r="93" ht="15" customHeight="1">
      <c r="A93" t="inlineStr">
        <is>
          <t>A 12188-2026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46233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Allmännings- och besparingsskogar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Blomkålssvamp
Korallrot</t>
        </is>
      </c>
      <c r="W93">
        <f>HYPERLINK("https://klasma.github.io/Logging_0581/artfynd/A 12188-2026 artfynd.xlsx", "A 12188-2026")</f>
        <v/>
      </c>
      <c r="X93">
        <f>HYPERLINK("https://klasma.github.io/Logging_0581/kartor/A 12188-2026 karta.png", "A 12188-2026")</f>
        <v/>
      </c>
      <c r="Y93">
        <f>HYPERLINK("https://klasma.github.io/Logging_0581/kartor_geotiff/A 12188-2026 georefererad karta.tif", "A 12188-2026")</f>
        <v/>
      </c>
      <c r="AA93">
        <f>HYPERLINK("https://klasma.github.io/Logging_0581/klagomål/A 12188-2026 FSC-klagomål.docx", "A 12188-2026")</f>
        <v/>
      </c>
      <c r="AB93">
        <f>HYPERLINK("https://klasma.github.io/Logging_0581/klagomålsmail/A 12188-2026 FSC-klagomål mail.docx", "A 12188-2026")</f>
        <v/>
      </c>
      <c r="AC93">
        <f>HYPERLINK("https://klasma.github.io/Logging_0581/tillsyn/A 12188-2026 tillsynsbegäran.docx", "A 12188-2026")</f>
        <v/>
      </c>
      <c r="AD93">
        <f>HYPERLINK("https://klasma.github.io/Logging_0581/tillsynsmail/A 12188-2026 tillsynsbegäran mail.docx", "A 12188-2026")</f>
        <v/>
      </c>
    </row>
    <row r="94" ht="15" customHeight="1">
      <c r="A94" t="inlineStr">
        <is>
          <t>A 14636-2025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46233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17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14636-2025 artfynd.xlsx", "A 14636-2025")</f>
        <v/>
      </c>
      <c r="X94">
        <f>HYPERLINK("https://klasma.github.io/Logging_0581/kartor/A 14636-2025 karta.png", "A 14636-2025")</f>
        <v/>
      </c>
      <c r="Y94">
        <f>HYPERLINK("https://klasma.github.io/Logging_0581/kartor_geotiff/A 14636-2025 georefererad karta.tif", "A 14636-2025")</f>
        <v/>
      </c>
      <c r="AA94">
        <f>HYPERLINK("https://klasma.github.io/Logging_0581/klagomål/A 14636-2025 FSC-klagomål.docx", "A 14636-2025")</f>
        <v/>
      </c>
      <c r="AB94">
        <f>HYPERLINK("https://klasma.github.io/Logging_0581/klagomålsmail/A 14636-2025 FSC-klagomål mail.docx", "A 14636-2025")</f>
        <v/>
      </c>
      <c r="AC94">
        <f>HYPERLINK("https://klasma.github.io/Logging_0581/tillsyn/A 14636-2025 tillsynsbegäran.docx", "A 14636-2025")</f>
        <v/>
      </c>
      <c r="AD94">
        <f>HYPERLINK("https://klasma.github.io/Logging_0581/tillsynsmail/A 14636-2025 tillsynsbegäran mail.docx", "A 14636-2025")</f>
        <v/>
      </c>
      <c r="AE94">
        <f>HYPERLINK("https://klasma.github.io/Logging_0581/fåglar/A 14636-2025 prioriterade fågelarter.docx", "A 14636-2025")</f>
        <v/>
      </c>
    </row>
    <row r="95" ht="15" customHeight="1">
      <c r="A95" t="inlineStr">
        <is>
          <t>A 17793-2025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46233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6.7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Blåmossa
Huggorm</t>
        </is>
      </c>
      <c r="W95">
        <f>HYPERLINK("https://klasma.github.io/Logging_0581/artfynd/A 17793-2025 artfynd.xlsx", "A 17793-2025")</f>
        <v/>
      </c>
      <c r="X95">
        <f>HYPERLINK("https://klasma.github.io/Logging_0581/kartor/A 17793-2025 karta.png", "A 17793-2025")</f>
        <v/>
      </c>
      <c r="Y95">
        <f>HYPERLINK("https://klasma.github.io/Logging_0581/kartor_geotiff/A 17793-2025 georefererad karta.tif", "A 17793-2025")</f>
        <v/>
      </c>
      <c r="AA95">
        <f>HYPERLINK("https://klasma.github.io/Logging_0581/klagomål/A 17793-2025 FSC-klagomål.docx", "A 17793-2025")</f>
        <v/>
      </c>
      <c r="AB95">
        <f>HYPERLINK("https://klasma.github.io/Logging_0581/klagomålsmail/A 17793-2025 FSC-klagomål mail.docx", "A 17793-2025")</f>
        <v/>
      </c>
      <c r="AC95">
        <f>HYPERLINK("https://klasma.github.io/Logging_0581/tillsyn/A 17793-2025 tillsynsbegäran.docx", "A 17793-2025")</f>
        <v/>
      </c>
      <c r="AD95">
        <f>HYPERLINK("https://klasma.github.io/Logging_0581/tillsynsmail/A 17793-2025 tillsynsbegäran mail.docx", "A 17793-2025")</f>
        <v/>
      </c>
    </row>
    <row r="96" ht="15" customHeight="1">
      <c r="A96" t="inlineStr">
        <is>
          <t>A 46692-2024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46233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Dvärgbägarlav
Flagellkvastmossa</t>
        </is>
      </c>
      <c r="W96">
        <f>HYPERLINK("https://klasma.github.io/Logging_0581/artfynd/A 46692-2024 artfynd.xlsx", "A 46692-2024")</f>
        <v/>
      </c>
      <c r="X96">
        <f>HYPERLINK("https://klasma.github.io/Logging_0581/kartor/A 46692-2024 karta.png", "A 46692-2024")</f>
        <v/>
      </c>
      <c r="Y96">
        <f>HYPERLINK("https://klasma.github.io/Logging_0581/kartor_geotiff/A 46692-2024 georefererad karta.tif", "A 46692-2024")</f>
        <v/>
      </c>
      <c r="AA96">
        <f>HYPERLINK("https://klasma.github.io/Logging_0581/klagomål/A 46692-2024 FSC-klagomål.docx", "A 46692-2024")</f>
        <v/>
      </c>
      <c r="AB96">
        <f>HYPERLINK("https://klasma.github.io/Logging_0581/klagomålsmail/A 46692-2024 FSC-klagomål mail.docx", "A 46692-2024")</f>
        <v/>
      </c>
      <c r="AC96">
        <f>HYPERLINK("https://klasma.github.io/Logging_0581/tillsyn/A 46692-2024 tillsynsbegäran.docx", "A 46692-2024")</f>
        <v/>
      </c>
      <c r="AD96">
        <f>HYPERLINK("https://klasma.github.io/Logging_0581/tillsynsmail/A 46692-2024 tillsynsbegäran mail.docx", "A 46692-2024")</f>
        <v/>
      </c>
    </row>
    <row r="97" ht="15" customHeight="1">
      <c r="A97" t="inlineStr">
        <is>
          <t>A 9722-2025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46233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Ask
Blåsippa</t>
        </is>
      </c>
      <c r="W97">
        <f>HYPERLINK("https://klasma.github.io/Logging_0581/artfynd/A 9722-2025 artfynd.xlsx", "A 9722-2025")</f>
        <v/>
      </c>
      <c r="X97">
        <f>HYPERLINK("https://klasma.github.io/Logging_0581/kartor/A 9722-2025 karta.png", "A 9722-2025")</f>
        <v/>
      </c>
      <c r="Y97">
        <f>HYPERLINK("https://klasma.github.io/Logging_0581/kartor_geotiff/A 9722-2025 georefererad karta.tif", "A 9722-2025")</f>
        <v/>
      </c>
      <c r="AA97">
        <f>HYPERLINK("https://klasma.github.io/Logging_0581/klagomål/A 9722-2025 FSC-klagomål.docx", "A 9722-2025")</f>
        <v/>
      </c>
      <c r="AB97">
        <f>HYPERLINK("https://klasma.github.io/Logging_0581/klagomålsmail/A 9722-2025 FSC-klagomål mail.docx", "A 9722-2025")</f>
        <v/>
      </c>
      <c r="AC97">
        <f>HYPERLINK("https://klasma.github.io/Logging_0581/tillsyn/A 9722-2025 tillsynsbegäran.docx", "A 9722-2025")</f>
        <v/>
      </c>
      <c r="AD97">
        <f>HYPERLINK("https://klasma.github.io/Logging_0581/tillsynsmail/A 9722-2025 tillsynsbegäran mail.docx", "A 9722-2025")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46233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28796-2026 artfynd.xlsx", "A 28796-2026")</f>
        <v/>
      </c>
      <c r="X98">
        <f>HYPERLINK("https://klasma.github.io/Logging_0581/kartor/A 28796-2026 karta.png", "A 28796-2026")</f>
        <v/>
      </c>
      <c r="Y98">
        <f>HYPERLINK("https://klasma.github.io/Logging_0581/kartor_geotiff/A 28796-2026 georefererad karta.tif", "A 28796-2026")</f>
        <v/>
      </c>
      <c r="AA98">
        <f>HYPERLINK("https://klasma.github.io/Logging_0581/klagomål/A 28796-2026 FSC-klagomål.docx", "A 28796-2026")</f>
        <v/>
      </c>
      <c r="AB98">
        <f>HYPERLINK("https://klasma.github.io/Logging_0581/klagomålsmail/A 28796-2026 FSC-klagomål mail.docx", "A 28796-2026")</f>
        <v/>
      </c>
      <c r="AC98">
        <f>HYPERLINK("https://klasma.github.io/Logging_0581/tillsyn/A 28796-2026 tillsynsbegäran.docx", "A 28796-2026")</f>
        <v/>
      </c>
      <c r="AD98">
        <f>HYPERLINK("https://klasma.github.io/Logging_0581/tillsynsmail/A 28796-2026 tillsynsbegäran mail.docx", "A 28796-2026")</f>
        <v/>
      </c>
    </row>
    <row r="99" ht="15" customHeight="1">
      <c r="A99" t="inlineStr">
        <is>
          <t>A 9746-2025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46233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Ask
Blåsippa</t>
        </is>
      </c>
      <c r="W99">
        <f>HYPERLINK("https://klasma.github.io/Logging_0581/artfynd/A 9746-2025 artfynd.xlsx", "A 9746-2025")</f>
        <v/>
      </c>
      <c r="X99">
        <f>HYPERLINK("https://klasma.github.io/Logging_0581/kartor/A 9746-2025 karta.png", "A 9746-2025")</f>
        <v/>
      </c>
      <c r="Y99">
        <f>HYPERLINK("https://klasma.github.io/Logging_0581/kartor_geotiff/A 9746-2025 georefererad karta.tif", "A 9746-2025")</f>
        <v/>
      </c>
      <c r="AA99">
        <f>HYPERLINK("https://klasma.github.io/Logging_0581/klagomål/A 9746-2025 FSC-klagomål.docx", "A 9746-2025")</f>
        <v/>
      </c>
      <c r="AB99">
        <f>HYPERLINK("https://klasma.github.io/Logging_0581/klagomålsmail/A 9746-2025 FSC-klagomål mail.docx", "A 9746-2025")</f>
        <v/>
      </c>
      <c r="AC99">
        <f>HYPERLINK("https://klasma.github.io/Logging_0581/tillsyn/A 9746-2025 tillsynsbegäran.docx", "A 9746-2025")</f>
        <v/>
      </c>
      <c r="AD99">
        <f>HYPERLINK("https://klasma.github.io/Logging_0581/tillsynsmail/A 9746-2025 tillsynsbegäran mail.docx", "A 9746-2025")</f>
        <v/>
      </c>
    </row>
    <row r="100" ht="15" customHeight="1">
      <c r="A100" t="inlineStr">
        <is>
          <t>A 19182-2025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46233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1.9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Knärot
Ullticka</t>
        </is>
      </c>
      <c r="W100">
        <f>HYPERLINK("https://klasma.github.io/Logging_0581/artfynd/A 19182-2025 artfynd.xlsx", "A 19182-2025")</f>
        <v/>
      </c>
      <c r="X100">
        <f>HYPERLINK("https://klasma.github.io/Logging_0581/kartor/A 19182-2025 karta.png", "A 19182-2025")</f>
        <v/>
      </c>
      <c r="Y100">
        <f>HYPERLINK("https://klasma.github.io/Logging_0581/kartor_geotiff/A 19182-2025 georefererad karta.tif", "A 19182-2025")</f>
        <v/>
      </c>
      <c r="Z100">
        <f>HYPERLINK("https://klasma.github.io/Logging_0581/knärot/A 19182-2025 karta knärot.png", "A 19182-2025")</f>
        <v/>
      </c>
      <c r="AA100">
        <f>HYPERLINK("https://klasma.github.io/Logging_0581/klagomål/A 19182-2025 FSC-klagomål.docx", "A 19182-2025")</f>
        <v/>
      </c>
      <c r="AB100">
        <f>HYPERLINK("https://klasma.github.io/Logging_0581/klagomålsmail/A 19182-2025 FSC-klagomål mail.docx", "A 19182-2025")</f>
        <v/>
      </c>
      <c r="AC100">
        <f>HYPERLINK("https://klasma.github.io/Logging_0581/tillsyn/A 19182-2025 tillsynsbegäran.docx", "A 19182-2025")</f>
        <v/>
      </c>
      <c r="AD100">
        <f>HYPERLINK("https://klasma.github.io/Logging_0581/tillsynsmail/A 19182-2025 tillsynsbegäran mail.docx", "A 19182-2025")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46233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46233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28893-2026 artfynd.xlsx", "A 28893-2026")</f>
        <v/>
      </c>
      <c r="X102">
        <f>HYPERLINK("https://klasma.github.io/Logging_0581/kartor/A 28893-2026 karta.png", "A 28893-2026")</f>
        <v/>
      </c>
      <c r="Y102">
        <f>HYPERLINK("https://klasma.github.io/Logging_0581/kartor_geotiff/A 28893-2026 georefererad karta.tif", "A 28893-2026")</f>
        <v/>
      </c>
      <c r="AA102">
        <f>HYPERLINK("https://klasma.github.io/Logging_0581/klagomål/A 28893-2026 FSC-klagomål.docx", "A 28893-2026")</f>
        <v/>
      </c>
      <c r="AB102">
        <f>HYPERLINK("https://klasma.github.io/Logging_0581/klagomålsmail/A 28893-2026 FSC-klagomål mail.docx", "A 28893-2026")</f>
        <v/>
      </c>
      <c r="AC102">
        <f>HYPERLINK("https://klasma.github.io/Logging_0581/tillsyn/A 28893-2026 tillsynsbegäran.docx", "A 28893-2026")</f>
        <v/>
      </c>
      <c r="AD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4826-2023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46233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Bårdlav
Havsörn</t>
        </is>
      </c>
      <c r="W103">
        <f>HYPERLINK("https://klasma.github.io/Logging_0581/artfynd/A 4826-2023 artfynd.xlsx", "A 4826-2023")</f>
        <v/>
      </c>
      <c r="X103">
        <f>HYPERLINK("https://klasma.github.io/Logging_0581/kartor/A 4826-2023 karta.png", "A 4826-2023")</f>
        <v/>
      </c>
      <c r="Y103">
        <f>HYPERLINK("https://klasma.github.io/Logging_0581/kartor_geotiff/A 4826-2023 georefererad karta.tif", "A 4826-2023")</f>
        <v/>
      </c>
      <c r="AA103">
        <f>HYPERLINK("https://klasma.github.io/Logging_0581/klagomål/A 4826-2023 FSC-klagomål.docx", "A 4826-2023")</f>
        <v/>
      </c>
      <c r="AB103">
        <f>HYPERLINK("https://klasma.github.io/Logging_0581/klagomålsmail/A 4826-2023 FSC-klagomål mail.docx", "A 4826-2023")</f>
        <v/>
      </c>
      <c r="AC103">
        <f>HYPERLINK("https://klasma.github.io/Logging_0581/tillsyn/A 4826-2023 tillsynsbegäran.docx", "A 4826-2023")</f>
        <v/>
      </c>
      <c r="AD103">
        <f>HYPERLINK("https://klasma.github.io/Logging_0581/tillsynsmail/A 4826-2023 tillsynsbegäran mail.docx", "A 4826-2023")</f>
        <v/>
      </c>
      <c r="AE103">
        <f>HYPERLINK("https://klasma.github.io/Logging_0581/fåglar/A 4826-2023 prioriterade fågelarter.docx", "A 4826-2023")</f>
        <v/>
      </c>
    </row>
    <row r="104" ht="15" customHeight="1">
      <c r="A104" t="inlineStr">
        <is>
          <t>A 20377-2023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46233</v>
      </c>
      <c r="F104" t="inlineStr">
        <is>
          <t>ÖSTERGÖTLANDS LÄN</t>
        </is>
      </c>
      <c r="G104" t="inlineStr">
        <is>
          <t>NORRKÖPING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t="n">
        <v>0</v>
      </c>
      <c r="V104" s="2" t="inlineStr">
        <is>
          <t>Tallticka
Kungsfågel</t>
        </is>
      </c>
      <c r="W104">
        <f>HYPERLINK("https://klasma.github.io/Logging_0581/artfynd/A 20377-2023 artfynd.xlsx", "A 20377-2023")</f>
        <v/>
      </c>
      <c r="X104">
        <f>HYPERLINK("https://klasma.github.io/Logging_0581/kartor/A 20377-2023 karta.png", "A 20377-2023")</f>
        <v/>
      </c>
      <c r="Y104">
        <f>HYPERLINK("https://klasma.github.io/Logging_0581/kartor_geotiff/A 20377-2023 georefererad karta.tif", "A 20377-2023")</f>
        <v/>
      </c>
      <c r="AA104">
        <f>HYPERLINK("https://klasma.github.io/Logging_0581/klagomål/A 20377-2023 FSC-klagomål.docx", "A 20377-2023")</f>
        <v/>
      </c>
      <c r="AB104">
        <f>HYPERLINK("https://klasma.github.io/Logging_0581/klagomålsmail/A 20377-2023 FSC-klagomål mail.docx", "A 20377-2023")</f>
        <v/>
      </c>
      <c r="AC104">
        <f>HYPERLINK("https://klasma.github.io/Logging_0581/tillsyn/A 20377-2023 tillsynsbegäran.docx", "A 20377-2023")</f>
        <v/>
      </c>
      <c r="AD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49366-2021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46233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Allmännings- och besparingsskogar</t>
        </is>
      </c>
      <c r="I105" t="n">
        <v>7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Knärot
Sårläka</t>
        </is>
      </c>
      <c r="W105">
        <f>HYPERLINK("https://klasma.github.io/Logging_0581/artfynd/A 49366-2021 artfynd.xlsx", "A 49366-2021")</f>
        <v/>
      </c>
      <c r="X105">
        <f>HYPERLINK("https://klasma.github.io/Logging_0581/kartor/A 49366-2021 karta.png", "A 49366-2021")</f>
        <v/>
      </c>
      <c r="Y105">
        <f>HYPERLINK("https://klasma.github.io/Logging_0581/kartor_geotiff/A 49366-2021 georefererad karta.tif", "A 49366-2021")</f>
        <v/>
      </c>
      <c r="Z105">
        <f>HYPERLINK("https://klasma.github.io/Logging_0581/knärot/A 49366-2021 karta knärot.png", "A 49366-2021")</f>
        <v/>
      </c>
      <c r="AA105">
        <f>HYPERLINK("https://klasma.github.io/Logging_0581/klagomål/A 49366-2021 FSC-klagomål.docx", "A 49366-2021")</f>
        <v/>
      </c>
      <c r="AB105">
        <f>HYPERLINK("https://klasma.github.io/Logging_0581/klagomålsmail/A 49366-2021 FSC-klagomål mail.docx", "A 49366-2021")</f>
        <v/>
      </c>
      <c r="AC105">
        <f>HYPERLINK("https://klasma.github.io/Logging_0581/tillsyn/A 49366-2021 tillsynsbegäran.docx", "A 49366-2021")</f>
        <v/>
      </c>
      <c r="AD105">
        <f>HYPERLINK("https://klasma.github.io/Logging_0581/tillsynsmail/A 49366-2021 tillsynsbegäran mail.docx", "A 49366-2021")</f>
        <v/>
      </c>
    </row>
    <row r="106" ht="15" customHeight="1">
      <c r="A106" t="inlineStr">
        <is>
          <t>A 25291-2023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46233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Slåtterfibbla
Svartvit flugsnappare</t>
        </is>
      </c>
      <c r="W106">
        <f>HYPERLINK("https://klasma.github.io/Logging_0581/artfynd/A 25291-2023 artfynd.xlsx", "A 25291-2023")</f>
        <v/>
      </c>
      <c r="X106">
        <f>HYPERLINK("https://klasma.github.io/Logging_0581/kartor/A 25291-2023 karta.png", "A 25291-2023")</f>
        <v/>
      </c>
      <c r="Y106">
        <f>HYPERLINK("https://klasma.github.io/Logging_0581/kartor_geotiff/A 25291-2023 georefererad karta.tif", "A 25291-2023")</f>
        <v/>
      </c>
      <c r="AA106">
        <f>HYPERLINK("https://klasma.github.io/Logging_0581/klagomål/A 25291-2023 FSC-klagomål.docx", "A 25291-2023")</f>
        <v/>
      </c>
      <c r="AB106">
        <f>HYPERLINK("https://klasma.github.io/Logging_0581/klagomålsmail/A 25291-2023 FSC-klagomål mail.docx", "A 25291-2023")</f>
        <v/>
      </c>
      <c r="AC106">
        <f>HYPERLINK("https://klasma.github.io/Logging_0581/tillsyn/A 25291-2023 tillsynsbegäran.docx", "A 25291-2023")</f>
        <v/>
      </c>
      <c r="AD106">
        <f>HYPERLINK("https://klasma.github.io/Logging_0581/tillsynsmail/A 25291-2023 tillsynsbegäran mail.docx", "A 25291-2023")</f>
        <v/>
      </c>
    </row>
    <row r="107" ht="15" customHeight="1">
      <c r="A107" t="inlineStr">
        <is>
          <t>A 31298-2026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46233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0.7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Blåmossa
Orre</t>
        </is>
      </c>
      <c r="W107">
        <f>HYPERLINK("https://klasma.github.io/Logging_0581/artfynd/A 31298-2026 artfynd.xlsx", "A 31298-2026")</f>
        <v/>
      </c>
      <c r="X107">
        <f>HYPERLINK("https://klasma.github.io/Logging_0581/kartor/A 31298-2026 karta.png", "A 31298-2026")</f>
        <v/>
      </c>
      <c r="Y107">
        <f>HYPERLINK("https://klasma.github.io/Logging_0581/kartor_geotiff/A 31298-2026 georefererad karta.tif", "A 31298-2026")</f>
        <v/>
      </c>
      <c r="AA107">
        <f>HYPERLINK("https://klasma.github.io/Logging_0581/klagomål/A 31298-2026 FSC-klagomål.docx", "A 31298-2026")</f>
        <v/>
      </c>
      <c r="AB107">
        <f>HYPERLINK("https://klasma.github.io/Logging_0581/klagomålsmail/A 31298-2026 FSC-klagomål mail.docx", "A 31298-2026")</f>
        <v/>
      </c>
      <c r="AC107">
        <f>HYPERLINK("https://klasma.github.io/Logging_0581/tillsyn/A 31298-2026 tillsynsbegäran.docx", "A 31298-2026")</f>
        <v/>
      </c>
      <c r="AD107">
        <f>HYPERLINK("https://klasma.github.io/Logging_0581/tillsynsmail/A 31298-2026 tillsynsbegäran mail.docx", "A 31298-2026")</f>
        <v/>
      </c>
      <c r="AE107">
        <f>HYPERLINK("https://klasma.github.io/Logging_0581/fåglar/A 31298-2026 prioriterade fågelarter.docx", "A 31298-2026")</f>
        <v/>
      </c>
    </row>
    <row r="108" ht="15" customHeight="1">
      <c r="A108" t="inlineStr">
        <is>
          <t>A 31264-2026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46233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Vedskivlav
Fläcknycklar</t>
        </is>
      </c>
      <c r="W108">
        <f>HYPERLINK("https://klasma.github.io/Logging_0581/artfynd/A 31264-2026 artfynd.xlsx", "A 31264-2026")</f>
        <v/>
      </c>
      <c r="X108">
        <f>HYPERLINK("https://klasma.github.io/Logging_0581/kartor/A 31264-2026 karta.png", "A 31264-2026")</f>
        <v/>
      </c>
      <c r="Y108">
        <f>HYPERLINK("https://klasma.github.io/Logging_0581/kartor_geotiff/A 31264-2026 georefererad karta.tif", "A 31264-2026")</f>
        <v/>
      </c>
      <c r="AA108">
        <f>HYPERLINK("https://klasma.github.io/Logging_0581/klagomål/A 31264-2026 FSC-klagomål.docx", "A 31264-2026")</f>
        <v/>
      </c>
      <c r="AB108">
        <f>HYPERLINK("https://klasma.github.io/Logging_0581/klagomålsmail/A 31264-2026 FSC-klagomål mail.docx", "A 31264-2026")</f>
        <v/>
      </c>
      <c r="AC108">
        <f>HYPERLINK("https://klasma.github.io/Logging_0581/tillsyn/A 31264-2026 tillsynsbegäran.docx", "A 31264-2026")</f>
        <v/>
      </c>
      <c r="AD108">
        <f>HYPERLINK("https://klasma.github.io/Logging_0581/tillsynsmail/A 31264-2026 tillsynsbegäran mail.docx", "A 31264-2026")</f>
        <v/>
      </c>
    </row>
    <row r="109" ht="15" customHeight="1">
      <c r="A109" t="inlineStr">
        <is>
          <t>A 31335-2026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46219</v>
      </c>
      <c r="E109" s="1" t="n">
        <v>46233</v>
      </c>
      <c r="F109" t="inlineStr">
        <is>
          <t>ÖSTERGÖTLANDS LÄN</t>
        </is>
      </c>
      <c r="G109" t="inlineStr">
        <is>
          <t>NORRKÖPING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Bredbrämad bastardsvärmare
Älg</t>
        </is>
      </c>
      <c r="W109">
        <f>HYPERLINK("https://klasma.github.io/Logging_0581/artfynd/A 31335-2026 artfynd.xlsx", "A 31335-2026")</f>
        <v/>
      </c>
      <c r="X109">
        <f>HYPERLINK("https://klasma.github.io/Logging_0581/kartor/A 31335-2026 karta.png", "A 31335-2026")</f>
        <v/>
      </c>
      <c r="Y109">
        <f>HYPERLINK("https://klasma.github.io/Logging_0581/kartor_geotiff/A 31335-2026 georefererad karta.tif", "A 31335-2026")</f>
        <v/>
      </c>
      <c r="AA109">
        <f>HYPERLINK("https://klasma.github.io/Logging_0581/klagomål/A 31335-2026 FSC-klagomål.docx", "A 31335-2026")</f>
        <v/>
      </c>
      <c r="AB109">
        <f>HYPERLINK("https://klasma.github.io/Logging_0581/klagomålsmail/A 31335-2026 FSC-klagomål mail.docx", "A 31335-2026")</f>
        <v/>
      </c>
      <c r="AC109">
        <f>HYPERLINK("https://klasma.github.io/Logging_0581/tillsyn/A 31335-2026 tillsynsbegäran.docx", "A 31335-2026")</f>
        <v/>
      </c>
      <c r="AD109">
        <f>HYPERLINK("https://klasma.github.io/Logging_0581/tillsynsmail/A 31335-2026 tillsynsbegäran mail.docx", "A 31335-2026")</f>
        <v/>
      </c>
    </row>
    <row r="110" ht="15" customHeight="1">
      <c r="A110" t="inlineStr">
        <is>
          <t>A 8987-2023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46233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0.5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Grovticka</t>
        </is>
      </c>
      <c r="W110">
        <f>HYPERLINK("https://klasma.github.io/Logging_0581/artfynd/A 8987-2023 artfynd.xlsx", "A 8987-2023")</f>
        <v/>
      </c>
      <c r="X110">
        <f>HYPERLINK("https://klasma.github.io/Logging_0581/kartor/A 8987-2023 karta.png", "A 8987-2023")</f>
        <v/>
      </c>
      <c r="Y110">
        <f>HYPERLINK("https://klasma.github.io/Logging_0581/kartor_geotiff/A 8987-2023 georefererad karta.tif", "A 8987-2023")</f>
        <v/>
      </c>
      <c r="AA110">
        <f>HYPERLINK("https://klasma.github.io/Logging_0581/klagomål/A 8987-2023 FSC-klagomål.docx", "A 8987-2023")</f>
        <v/>
      </c>
      <c r="AB110">
        <f>HYPERLINK("https://klasma.github.io/Logging_0581/klagomålsmail/A 8987-2023 FSC-klagomål mail.docx", "A 8987-2023")</f>
        <v/>
      </c>
      <c r="AC110">
        <f>HYPERLINK("https://klasma.github.io/Logging_0581/tillsyn/A 8987-2023 tillsynsbegäran.docx", "A 8987-2023")</f>
        <v/>
      </c>
      <c r="AD110">
        <f>HYPERLINK("https://klasma.github.io/Logging_0581/tillsynsmail/A 8987-2023 tillsynsbegäran mail.docx", "A 8987-2023")</f>
        <v/>
      </c>
    </row>
    <row r="111" ht="15" customHeight="1">
      <c r="A111" t="inlineStr">
        <is>
          <t>A 10553-2025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46233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2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Ejder
Rosenfink</t>
        </is>
      </c>
      <c r="W111">
        <f>HYPERLINK("https://klasma.github.io/Logging_0581/artfynd/A 10553-2025 artfynd.xlsx", "A 10553-2025")</f>
        <v/>
      </c>
      <c r="X111">
        <f>HYPERLINK("https://klasma.github.io/Logging_0581/kartor/A 10553-2025 karta.png", "A 10553-2025")</f>
        <v/>
      </c>
      <c r="Y111">
        <f>HYPERLINK("https://klasma.github.io/Logging_0581/kartor_geotiff/A 10553-2025 georefererad karta.tif", "A 10553-2025")</f>
        <v/>
      </c>
      <c r="AA111">
        <f>HYPERLINK("https://klasma.github.io/Logging_0581/klagomål/A 10553-2025 FSC-klagomål.docx", "A 10553-2025")</f>
        <v/>
      </c>
      <c r="AB111">
        <f>HYPERLINK("https://klasma.github.io/Logging_0581/klagomålsmail/A 10553-2025 FSC-klagomål mail.docx", "A 10553-2025")</f>
        <v/>
      </c>
      <c r="AC111">
        <f>HYPERLINK("https://klasma.github.io/Logging_0581/tillsyn/A 10553-2025 tillsynsbegäran.docx", "A 10553-2025")</f>
        <v/>
      </c>
      <c r="AD111">
        <f>HYPERLINK("https://klasma.github.io/Logging_0581/tillsynsmail/A 10553-2025 tillsynsbegäran mail.docx", "A 10553-2025")</f>
        <v/>
      </c>
      <c r="AE111">
        <f>HYPERLINK("https://klasma.github.io/Logging_0581/fåglar/A 10553-2025 prioriterade fågelarter.docx", "A 10553-2025")</f>
        <v/>
      </c>
    </row>
    <row r="112" ht="15" customHeight="1">
      <c r="A112" t="inlineStr">
        <is>
          <t>A 24233-2025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45797</v>
      </c>
      <c r="E112" s="1" t="n">
        <v>46233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5.4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Granbarkgnagare</t>
        </is>
      </c>
      <c r="W112">
        <f>HYPERLINK("https://klasma.github.io/Logging_0581/artfynd/A 24233-2025 artfynd.xlsx", "A 24233-2025")</f>
        <v/>
      </c>
      <c r="X112">
        <f>HYPERLINK("https://klasma.github.io/Logging_0581/kartor/A 24233-2025 karta.png", "A 24233-2025")</f>
        <v/>
      </c>
      <c r="Y112">
        <f>HYPERLINK("https://klasma.github.io/Logging_0581/kartor_geotiff/A 24233-2025 georefererad karta.tif", "A 24233-2025")</f>
        <v/>
      </c>
      <c r="AA112">
        <f>HYPERLINK("https://klasma.github.io/Logging_0581/klagomål/A 24233-2025 FSC-klagomål.docx", "A 24233-2025")</f>
        <v/>
      </c>
      <c r="AB112">
        <f>HYPERLINK("https://klasma.github.io/Logging_0581/klagomålsmail/A 24233-2025 FSC-klagomål mail.docx", "A 24233-2025")</f>
        <v/>
      </c>
      <c r="AC112">
        <f>HYPERLINK("https://klasma.github.io/Logging_0581/tillsyn/A 24233-2025 tillsynsbegäran.docx", "A 24233-2025")</f>
        <v/>
      </c>
      <c r="AD112">
        <f>HYPERLINK("https://klasma.github.io/Logging_0581/tillsynsmail/A 24233-2025 tillsynsbegäran mail.docx", "A 24233-2025")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46233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46233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46233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46233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46233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46233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46233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46233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46233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46233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46233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46233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46233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31582-2023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46233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31582-2023 artfynd.xlsx", "A 31582-2023")</f>
        <v/>
      </c>
      <c r="X126">
        <f>HYPERLINK("https://klasma.github.io/Logging_0581/kartor/A 31582-2023 karta.png", "A 31582-2023")</f>
        <v/>
      </c>
      <c r="Y126">
        <f>HYPERLINK("https://klasma.github.io/Logging_0581/kartor_geotiff/A 31582-2023 georefererad karta.tif", "A 31582-2023")</f>
        <v/>
      </c>
      <c r="AA126">
        <f>HYPERLINK("https://klasma.github.io/Logging_0581/klagomål/A 31582-2023 FSC-klagomål.docx", "A 31582-2023")</f>
        <v/>
      </c>
      <c r="AB126">
        <f>HYPERLINK("https://klasma.github.io/Logging_0581/klagomålsmail/A 31582-2023 FSC-klagomål mail.docx", "A 31582-2023")</f>
        <v/>
      </c>
      <c r="AC126">
        <f>HYPERLINK("https://klasma.github.io/Logging_0581/tillsyn/A 31582-2023 tillsynsbegäran.docx", "A 31582-2023")</f>
        <v/>
      </c>
      <c r="AD126">
        <f>HYPERLINK("https://klasma.github.io/Logging_0581/tillsynsmail/A 31582-2023 tillsynsbegäran mail.docx", "A 31582-2023")</f>
        <v/>
      </c>
      <c r="AE126">
        <f>HYPERLINK("https://klasma.github.io/Logging_0581/fåglar/A 31582-2023 prioriterade fågelarter.docx", "A 31582-2023")</f>
        <v/>
      </c>
    </row>
    <row r="127" ht="15" customHeight="1">
      <c r="A127" t="inlineStr">
        <is>
          <t>A 2832-2026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46233</v>
      </c>
      <c r="F127" t="inlineStr">
        <is>
          <t>ÖSTERGÖTLANDS LÄN</t>
        </is>
      </c>
      <c r="G127" t="inlineStr">
        <is>
          <t>NORRKÖPING</t>
        </is>
      </c>
      <c r="I127" t="n">
        <v>5.5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HYPERLINK("https://klasma.github.io/Logging_0581/artfynd/A 2832-2026 artfynd.xlsx", "A 2832-2026")</f>
        <v/>
      </c>
      <c r="X127">
        <f>HYPERLINK("https://klasma.github.io/Logging_0581/kartor/A 2832-2026 karta.png", "A 2832-2026")</f>
        <v/>
      </c>
      <c r="Y127">
        <f>HYPERLINK("https://klasma.github.io/Logging_0581/kartor_geotiff/A 2832-2026 georefererad karta.tif", "A 2832-2026")</f>
        <v/>
      </c>
      <c r="AA127">
        <f>HYPERLINK("https://klasma.github.io/Logging_0581/klagomål/A 2832-2026 FSC-klagomål.docx", "A 2832-2026")</f>
        <v/>
      </c>
      <c r="AB127">
        <f>HYPERLINK("https://klasma.github.io/Logging_0581/klagomålsmail/A 2832-2026 FSC-klagomål mail.docx", "A 2832-2026")</f>
        <v/>
      </c>
      <c r="AC127">
        <f>HYPERLINK("https://klasma.github.io/Logging_0581/tillsyn/A 2832-2026 tillsynsbegäran.docx", "A 2832-2026")</f>
        <v/>
      </c>
      <c r="AD127">
        <f>HYPERLINK("https://klasma.github.io/Logging_0581/tillsynsmail/A 2832-2026 tillsynsbegäran mail.docx", "A 2832-2026")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46233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40053-2025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45894</v>
      </c>
      <c r="E129" s="1" t="n">
        <v>46233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Allmännings- och besparingsskogar</t>
        </is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HYPERLINK("https://klasma.github.io/Logging_0581/artfynd/A 40053-2025 artfynd.xlsx", "A 40053-2025")</f>
        <v/>
      </c>
      <c r="X129">
        <f>HYPERLINK("https://klasma.github.io/Logging_0581/kartor/A 40053-2025 karta.png", "A 40053-2025")</f>
        <v/>
      </c>
      <c r="Y129">
        <f>HYPERLINK("https://klasma.github.io/Logging_0581/kartor_geotiff/A 40053-2025 georefererad karta.tif", "A 40053-2025")</f>
        <v/>
      </c>
      <c r="AA129">
        <f>HYPERLINK("https://klasma.github.io/Logging_0581/klagomål/A 40053-2025 FSC-klagomål.docx", "A 40053-2025")</f>
        <v/>
      </c>
      <c r="AB129">
        <f>HYPERLINK("https://klasma.github.io/Logging_0581/klagomålsmail/A 40053-2025 FSC-klagomål mail.docx", "A 40053-2025")</f>
        <v/>
      </c>
      <c r="AC129">
        <f>HYPERLINK("https://klasma.github.io/Logging_0581/tillsyn/A 40053-2025 tillsynsbegäran.docx", "A 40053-2025")</f>
        <v/>
      </c>
      <c r="AD129">
        <f>HYPERLINK("https://klasma.github.io/Logging_0581/tillsynsmail/A 40053-2025 tillsynsbegäran mail.docx", "A 40053-2025")</f>
        <v/>
      </c>
    </row>
    <row r="130" ht="15" customHeight="1">
      <c r="A130" t="inlineStr">
        <is>
          <t>A 40095-2025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46233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40095-2025 artfynd.xlsx", "A 40095-2025")</f>
        <v/>
      </c>
      <c r="X130">
        <f>HYPERLINK("https://klasma.github.io/Logging_0581/kartor/A 40095-2025 karta.png", "A 40095-2025")</f>
        <v/>
      </c>
      <c r="Y130">
        <f>HYPERLINK("https://klasma.github.io/Logging_0581/kartor_geotiff/A 40095-2025 georefererad karta.tif", "A 40095-2025")</f>
        <v/>
      </c>
      <c r="AA130">
        <f>HYPERLINK("https://klasma.github.io/Logging_0581/klagomål/A 40095-2025 FSC-klagomål.docx", "A 40095-2025")</f>
        <v/>
      </c>
      <c r="AB130">
        <f>HYPERLINK("https://klasma.github.io/Logging_0581/klagomålsmail/A 40095-2025 FSC-klagomål mail.docx", "A 40095-2025")</f>
        <v/>
      </c>
      <c r="AC130">
        <f>HYPERLINK("https://klasma.github.io/Logging_0581/tillsyn/A 40095-2025 tillsynsbegäran.docx", "A 40095-2025")</f>
        <v/>
      </c>
      <c r="AD130">
        <f>HYPERLINK("https://klasma.github.io/Logging_0581/tillsynsmail/A 40095-2025 tillsynsbegäran mail.docx", "A 40095-2025")</f>
        <v/>
      </c>
      <c r="AE130">
        <f>HYPERLINK("https://klasma.github.io/Logging_0581/fåglar/A 40095-2025 prioriterade fågelarter.docx", "A 40095-2025")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46233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31320-2025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46233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Blåmossa</t>
        </is>
      </c>
      <c r="W132">
        <f>HYPERLINK("https://klasma.github.io/Logging_0581/artfynd/A 31320-2025 artfynd.xlsx", "A 31320-2025")</f>
        <v/>
      </c>
      <c r="X132">
        <f>HYPERLINK("https://klasma.github.io/Logging_0581/kartor/A 31320-2025 karta.png", "A 31320-2025")</f>
        <v/>
      </c>
      <c r="Y132">
        <f>HYPERLINK("https://klasma.github.io/Logging_0581/kartor_geotiff/A 31320-2025 georefererad karta.tif", "A 31320-2025")</f>
        <v/>
      </c>
      <c r="AA132">
        <f>HYPERLINK("https://klasma.github.io/Logging_0581/klagomål/A 31320-2025 FSC-klagomål.docx", "A 31320-2025")</f>
        <v/>
      </c>
      <c r="AB132">
        <f>HYPERLINK("https://klasma.github.io/Logging_0581/klagomålsmail/A 31320-2025 FSC-klagomål mail.docx", "A 31320-2025")</f>
        <v/>
      </c>
      <c r="AC132">
        <f>HYPERLINK("https://klasma.github.io/Logging_0581/tillsyn/A 31320-2025 tillsynsbegäran.docx", "A 31320-2025")</f>
        <v/>
      </c>
      <c r="AD132">
        <f>HYPERLINK("https://klasma.github.io/Logging_0581/tillsynsmail/A 31320-2025 tillsynsbegäran mail.docx", "A 31320-2025")</f>
        <v/>
      </c>
    </row>
    <row r="133" ht="15" customHeight="1">
      <c r="A133" t="inlineStr">
        <is>
          <t>A 42548-2025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46233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Kattfotslav</t>
        </is>
      </c>
      <c r="W133">
        <f>HYPERLINK("https://klasma.github.io/Logging_0581/artfynd/A 42548-2025 artfynd.xlsx", "A 42548-2025")</f>
        <v/>
      </c>
      <c r="X133">
        <f>HYPERLINK("https://klasma.github.io/Logging_0581/kartor/A 42548-2025 karta.png", "A 42548-2025")</f>
        <v/>
      </c>
      <c r="Y133">
        <f>HYPERLINK("https://klasma.github.io/Logging_0581/kartor_geotiff/A 42548-2025 georefererad karta.tif", "A 42548-2025")</f>
        <v/>
      </c>
      <c r="AA133">
        <f>HYPERLINK("https://klasma.github.io/Logging_0581/klagomål/A 42548-2025 FSC-klagomål.docx", "A 42548-2025")</f>
        <v/>
      </c>
      <c r="AB133">
        <f>HYPERLINK("https://klasma.github.io/Logging_0581/klagomålsmail/A 42548-2025 FSC-klagomål mail.docx", "A 42548-2025")</f>
        <v/>
      </c>
      <c r="AC133">
        <f>HYPERLINK("https://klasma.github.io/Logging_0581/tillsyn/A 42548-2025 tillsynsbegäran.docx", "A 42548-2025")</f>
        <v/>
      </c>
      <c r="AD133">
        <f>HYPERLINK("https://klasma.github.io/Logging_0581/tillsynsmail/A 42548-2025 tillsynsbegäran mail.docx", "A 42548-2025")</f>
        <v/>
      </c>
    </row>
    <row r="134" ht="15" customHeight="1">
      <c r="A134" t="inlineStr">
        <is>
          <t>A 62973-2021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44504</v>
      </c>
      <c r="E134" s="1" t="n">
        <v>46233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Krusfrö</t>
        </is>
      </c>
      <c r="W134">
        <f>HYPERLINK("https://klasma.github.io/Logging_0581/artfynd/A 62973-2021 artfynd.xlsx", "A 62973-2021")</f>
        <v/>
      </c>
      <c r="X134">
        <f>HYPERLINK("https://klasma.github.io/Logging_0581/kartor/A 62973-2021 karta.png", "A 62973-2021")</f>
        <v/>
      </c>
      <c r="Y134">
        <f>HYPERLINK("https://klasma.github.io/Logging_0581/kartor_geotiff/A 62973-2021 georefererad karta.tif", "A 62973-2021")</f>
        <v/>
      </c>
      <c r="AA134">
        <f>HYPERLINK("https://klasma.github.io/Logging_0581/klagomål/A 62973-2021 FSC-klagomål.docx", "A 62973-2021")</f>
        <v/>
      </c>
      <c r="AB134">
        <f>HYPERLINK("https://klasma.github.io/Logging_0581/klagomålsmail/A 62973-2021 FSC-klagomål mail.docx", "A 62973-2021")</f>
        <v/>
      </c>
      <c r="AC134">
        <f>HYPERLINK("https://klasma.github.io/Logging_0581/tillsyn/A 62973-2021 tillsynsbegäran.docx", "A 62973-2021")</f>
        <v/>
      </c>
      <c r="AD134">
        <f>HYPERLINK("https://klasma.github.io/Logging_0581/tillsynsmail/A 62973-2021 tillsynsbegäran mail.docx", "A 62973-2021")</f>
        <v/>
      </c>
    </row>
    <row r="135" ht="15" customHeight="1">
      <c r="A135" t="inlineStr">
        <is>
          <t>A 34078-2025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46233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Järpe</t>
        </is>
      </c>
      <c r="W135">
        <f>HYPERLINK("https://klasma.github.io/Logging_0581/artfynd/A 34078-2025 artfynd.xlsx", "A 34078-2025")</f>
        <v/>
      </c>
      <c r="X135">
        <f>HYPERLINK("https://klasma.github.io/Logging_0581/kartor/A 34078-2025 karta.png", "A 34078-2025")</f>
        <v/>
      </c>
      <c r="Y135">
        <f>HYPERLINK("https://klasma.github.io/Logging_0581/kartor_geotiff/A 34078-2025 georefererad karta.tif", "A 34078-2025")</f>
        <v/>
      </c>
      <c r="AA135">
        <f>HYPERLINK("https://klasma.github.io/Logging_0581/klagomål/A 34078-2025 FSC-klagomål.docx", "A 34078-2025")</f>
        <v/>
      </c>
      <c r="AB135">
        <f>HYPERLINK("https://klasma.github.io/Logging_0581/klagomålsmail/A 34078-2025 FSC-klagomål mail.docx", "A 34078-2025")</f>
        <v/>
      </c>
      <c r="AC135">
        <f>HYPERLINK("https://klasma.github.io/Logging_0581/tillsyn/A 34078-2025 tillsynsbegäran.docx", "A 34078-2025")</f>
        <v/>
      </c>
      <c r="AD135">
        <f>HYPERLINK("https://klasma.github.io/Logging_0581/tillsynsmail/A 34078-2025 tillsynsbegäran mail.docx", "A 34078-2025")</f>
        <v/>
      </c>
      <c r="AE135">
        <f>HYPERLINK("https://klasma.github.io/Logging_0581/fåglar/A 34078-2025 prioriterade fågelarter.docx", "A 34078-2025")</f>
        <v/>
      </c>
    </row>
    <row r="136" ht="15" customHeight="1">
      <c r="A136" t="inlineStr">
        <is>
          <t>A 19995-2025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46233</v>
      </c>
      <c r="F136" t="inlineStr">
        <is>
          <t>ÖSTERGÖTLANDS LÄN</t>
        </is>
      </c>
      <c r="G136" t="inlineStr">
        <is>
          <t>NORRKÖPING</t>
        </is>
      </c>
      <c r="I136" t="n">
        <v>1.1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Blomkålssvamp</t>
        </is>
      </c>
      <c r="W136">
        <f>HYPERLINK("https://klasma.github.io/Logging_0581/artfynd/A 19995-2025 artfynd.xlsx", "A 19995-2025")</f>
        <v/>
      </c>
      <c r="X136">
        <f>HYPERLINK("https://klasma.github.io/Logging_0581/kartor/A 19995-2025 karta.png", "A 19995-2025")</f>
        <v/>
      </c>
      <c r="Y136">
        <f>HYPERLINK("https://klasma.github.io/Logging_0581/kartor_geotiff/A 19995-2025 georefererad karta.tif", "A 19995-2025")</f>
        <v/>
      </c>
      <c r="AA136">
        <f>HYPERLINK("https://klasma.github.io/Logging_0581/klagomål/A 19995-2025 FSC-klagomål.docx", "A 19995-2025")</f>
        <v/>
      </c>
      <c r="AB136">
        <f>HYPERLINK("https://klasma.github.io/Logging_0581/klagomålsmail/A 19995-2025 FSC-klagomål mail.docx", "A 19995-2025")</f>
        <v/>
      </c>
      <c r="AC136">
        <f>HYPERLINK("https://klasma.github.io/Logging_0581/tillsyn/A 19995-2025 tillsynsbegäran.docx", "A 19995-2025")</f>
        <v/>
      </c>
      <c r="AD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46201-2025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46233</v>
      </c>
      <c r="F137" t="inlineStr">
        <is>
          <t>ÖSTERGÖTLANDS LÄN</t>
        </is>
      </c>
      <c r="G137" t="inlineStr">
        <is>
          <t>NORRKÖPING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Hasselticka</t>
        </is>
      </c>
      <c r="W137">
        <f>HYPERLINK("https://klasma.github.io/Logging_0581/artfynd/A 46201-2025 artfynd.xlsx", "A 46201-2025")</f>
        <v/>
      </c>
      <c r="X137">
        <f>HYPERLINK("https://klasma.github.io/Logging_0581/kartor/A 46201-2025 karta.png", "A 46201-2025")</f>
        <v/>
      </c>
      <c r="Y137">
        <f>HYPERLINK("https://klasma.github.io/Logging_0581/kartor_geotiff/A 46201-2025 georefererad karta.tif", "A 46201-2025")</f>
        <v/>
      </c>
      <c r="AA137">
        <f>HYPERLINK("https://klasma.github.io/Logging_0581/klagomål/A 46201-2025 FSC-klagomål.docx", "A 46201-2025")</f>
        <v/>
      </c>
      <c r="AB137">
        <f>HYPERLINK("https://klasma.github.io/Logging_0581/klagomålsmail/A 46201-2025 FSC-klagomål mail.docx", "A 46201-2025")</f>
        <v/>
      </c>
      <c r="AC137">
        <f>HYPERLINK("https://klasma.github.io/Logging_0581/tillsyn/A 46201-2025 tillsynsbegäran.docx", "A 46201-2025")</f>
        <v/>
      </c>
      <c r="AD137">
        <f>HYPERLINK("https://klasma.github.io/Logging_0581/tillsynsmail/A 46201-2025 tillsynsbegäran mail.docx", "A 46201-2025")</f>
        <v/>
      </c>
    </row>
    <row r="138" ht="15" customHeight="1">
      <c r="A138" t="inlineStr">
        <is>
          <t>A 2545-2023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46233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Hasselticka</t>
        </is>
      </c>
      <c r="W138">
        <f>HYPERLINK("https://klasma.github.io/Logging_0581/artfynd/A 2545-2023 artfynd.xlsx", "A 2545-2023")</f>
        <v/>
      </c>
      <c r="X138">
        <f>HYPERLINK("https://klasma.github.io/Logging_0581/kartor/A 2545-2023 karta.png", "A 2545-2023")</f>
        <v/>
      </c>
      <c r="Y138">
        <f>HYPERLINK("https://klasma.github.io/Logging_0581/kartor_geotiff/A 2545-2023 georefererad karta.tif", "A 2545-2023")</f>
        <v/>
      </c>
      <c r="AA138">
        <f>HYPERLINK("https://klasma.github.io/Logging_0581/klagomål/A 2545-2023 FSC-klagomål.docx", "A 2545-2023")</f>
        <v/>
      </c>
      <c r="AB138">
        <f>HYPERLINK("https://klasma.github.io/Logging_0581/klagomålsmail/A 2545-2023 FSC-klagomål mail.docx", "A 2545-2023")</f>
        <v/>
      </c>
      <c r="AC138">
        <f>HYPERLINK("https://klasma.github.io/Logging_0581/tillsyn/A 2545-2023 tillsynsbegäran.docx", "A 2545-2023")</f>
        <v/>
      </c>
      <c r="AD138">
        <f>HYPERLINK("https://klasma.github.io/Logging_0581/tillsynsmail/A 2545-2023 tillsynsbegäran mail.docx", "A 2545-2023")</f>
        <v/>
      </c>
    </row>
    <row r="139" ht="15" customHeight="1">
      <c r="A139" t="inlineStr">
        <is>
          <t>A 24629-2025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46233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Kråka</t>
        </is>
      </c>
      <c r="W139">
        <f>HYPERLINK("https://klasma.github.io/Logging_0581/artfynd/A 24629-2025 artfynd.xlsx", "A 24629-2025")</f>
        <v/>
      </c>
      <c r="X139">
        <f>HYPERLINK("https://klasma.github.io/Logging_0581/kartor/A 24629-2025 karta.png", "A 24629-2025")</f>
        <v/>
      </c>
      <c r="Y139">
        <f>HYPERLINK("https://klasma.github.io/Logging_0581/kartor_geotiff/A 24629-2025 georefererad karta.tif", "A 24629-2025")</f>
        <v/>
      </c>
      <c r="AA139">
        <f>HYPERLINK("https://klasma.github.io/Logging_0581/klagomål/A 24629-2025 FSC-klagomål.docx", "A 24629-2025")</f>
        <v/>
      </c>
      <c r="AB139">
        <f>HYPERLINK("https://klasma.github.io/Logging_0581/klagomålsmail/A 24629-2025 FSC-klagomål mail.docx", "A 24629-2025")</f>
        <v/>
      </c>
      <c r="AC139">
        <f>HYPERLINK("https://klasma.github.io/Logging_0581/tillsyn/A 24629-2025 tillsynsbegäran.docx", "A 24629-2025")</f>
        <v/>
      </c>
      <c r="AD139">
        <f>HYPERLINK("https://klasma.github.io/Logging_0581/tillsynsmail/A 24629-2025 tillsynsbegäran mail.docx", "A 24629-2025")</f>
        <v/>
      </c>
    </row>
    <row r="140" ht="15" customHeight="1">
      <c r="A140" t="inlineStr">
        <is>
          <t>A 58711-2023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46233</v>
      </c>
      <c r="F140" t="inlineStr">
        <is>
          <t>ÖSTERGÖTLANDS LÄN</t>
        </is>
      </c>
      <c r="G140" t="inlineStr">
        <is>
          <t>NORRKÖPING</t>
        </is>
      </c>
      <c r="I140" t="n">
        <v>4.3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Ängsskära</t>
        </is>
      </c>
      <c r="W140">
        <f>HYPERLINK("https://klasma.github.io/Logging_0581/artfynd/A 58711-2023 artfynd.xlsx", "A 58711-2023")</f>
        <v/>
      </c>
      <c r="X140">
        <f>HYPERLINK("https://klasma.github.io/Logging_0581/kartor/A 58711-2023 karta.png", "A 58711-2023")</f>
        <v/>
      </c>
      <c r="Y140">
        <f>HYPERLINK("https://klasma.github.io/Logging_0581/kartor_geotiff/A 58711-2023 georefererad karta.tif", "A 58711-2023")</f>
        <v/>
      </c>
      <c r="AA140">
        <f>HYPERLINK("https://klasma.github.io/Logging_0581/klagomål/A 58711-2023 FSC-klagomål.docx", "A 58711-2023")</f>
        <v/>
      </c>
      <c r="AB140">
        <f>HYPERLINK("https://klasma.github.io/Logging_0581/klagomålsmail/A 58711-2023 FSC-klagomål mail.docx", "A 58711-2023")</f>
        <v/>
      </c>
      <c r="AC140">
        <f>HYPERLINK("https://klasma.github.io/Logging_0581/tillsyn/A 58711-2023 tillsynsbegäran.docx", "A 58711-2023")</f>
        <v/>
      </c>
      <c r="AD140">
        <f>HYPERLINK("https://klasma.github.io/Logging_0581/tillsynsmail/A 58711-2023 tillsynsbegäran mail.docx", "A 58711-2023")</f>
        <v/>
      </c>
    </row>
    <row r="141" ht="15" customHeight="1">
      <c r="A141" t="inlineStr">
        <is>
          <t>A 3247-2024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46233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Sparvuggla</t>
        </is>
      </c>
      <c r="W141">
        <f>HYPERLINK("https://klasma.github.io/Logging_0581/artfynd/A 3247-2024 artfynd.xlsx", "A 3247-2024")</f>
        <v/>
      </c>
      <c r="X141">
        <f>HYPERLINK("https://klasma.github.io/Logging_0581/kartor/A 3247-2024 karta.png", "A 3247-2024")</f>
        <v/>
      </c>
      <c r="Y141">
        <f>HYPERLINK("https://klasma.github.io/Logging_0581/kartor_geotiff/A 3247-2024 georefererad karta.tif", "A 3247-2024")</f>
        <v/>
      </c>
      <c r="AA141">
        <f>HYPERLINK("https://klasma.github.io/Logging_0581/klagomål/A 3247-2024 FSC-klagomål.docx", "A 3247-2024")</f>
        <v/>
      </c>
      <c r="AB141">
        <f>HYPERLINK("https://klasma.github.io/Logging_0581/klagomålsmail/A 3247-2024 FSC-klagomål mail.docx", "A 3247-2024")</f>
        <v/>
      </c>
      <c r="AC141">
        <f>HYPERLINK("https://klasma.github.io/Logging_0581/tillsyn/A 3247-2024 tillsynsbegäran.docx", "A 3247-2024")</f>
        <v/>
      </c>
      <c r="AD141">
        <f>HYPERLINK("https://klasma.github.io/Logging_0581/tillsynsmail/A 3247-2024 tillsynsbegäran mail.docx", "A 3247-2024")</f>
        <v/>
      </c>
      <c r="AE141">
        <f>HYPERLINK("https://klasma.github.io/Logging_0581/fåglar/A 3247-2024 prioriterade fågelarter.docx", "A 3247-2024")</f>
        <v/>
      </c>
    </row>
    <row r="142" ht="15" customHeight="1">
      <c r="A142" t="inlineStr">
        <is>
          <t>A 14044-2023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45008</v>
      </c>
      <c r="E142" s="1" t="n">
        <v>46233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Tjäder</t>
        </is>
      </c>
      <c r="W142">
        <f>HYPERLINK("https://klasma.github.io/Logging_0581/artfynd/A 14044-2023 artfynd.xlsx", "A 14044-2023")</f>
        <v/>
      </c>
      <c r="X142">
        <f>HYPERLINK("https://klasma.github.io/Logging_0581/kartor/A 14044-2023 karta.png", "A 14044-2023")</f>
        <v/>
      </c>
      <c r="Y142">
        <f>HYPERLINK("https://klasma.github.io/Logging_0581/kartor_geotiff/A 14044-2023 georefererad karta.tif", "A 14044-2023")</f>
        <v/>
      </c>
      <c r="AA142">
        <f>HYPERLINK("https://klasma.github.io/Logging_0581/klagomål/A 14044-2023 FSC-klagomål.docx", "A 14044-2023")</f>
        <v/>
      </c>
      <c r="AB142">
        <f>HYPERLINK("https://klasma.github.io/Logging_0581/klagomålsmail/A 14044-2023 FSC-klagomål mail.docx", "A 14044-2023")</f>
        <v/>
      </c>
      <c r="AC142">
        <f>HYPERLINK("https://klasma.github.io/Logging_0581/tillsyn/A 14044-2023 tillsynsbegäran.docx", "A 14044-2023")</f>
        <v/>
      </c>
      <c r="AD142">
        <f>HYPERLINK("https://klasma.github.io/Logging_0581/tillsynsmail/A 14044-2023 tillsynsbegäran mail.docx", "A 14044-2023")</f>
        <v/>
      </c>
      <c r="AE142">
        <f>HYPERLINK("https://klasma.github.io/Logging_0581/fåglar/A 14044-2023 prioriterade fågelarter.docx", "A 14044-2023")</f>
        <v/>
      </c>
    </row>
    <row r="143" ht="15" customHeight="1">
      <c r="A143" t="inlineStr">
        <is>
          <t>A 46806-2024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46233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Vedskivlav</t>
        </is>
      </c>
      <c r="W143">
        <f>HYPERLINK("https://klasma.github.io/Logging_0581/artfynd/A 46806-2024 artfynd.xlsx", "A 46806-2024")</f>
        <v/>
      </c>
      <c r="X143">
        <f>HYPERLINK("https://klasma.github.io/Logging_0581/kartor/A 46806-2024 karta.png", "A 46806-2024")</f>
        <v/>
      </c>
      <c r="Y143">
        <f>HYPERLINK("https://klasma.github.io/Logging_0581/kartor_geotiff/A 46806-2024 georefererad karta.tif", "A 46806-2024")</f>
        <v/>
      </c>
      <c r="AA143">
        <f>HYPERLINK("https://klasma.github.io/Logging_0581/klagomål/A 46806-2024 FSC-klagomål.docx", "A 46806-2024")</f>
        <v/>
      </c>
      <c r="AB143">
        <f>HYPERLINK("https://klasma.github.io/Logging_0581/klagomålsmail/A 46806-2024 FSC-klagomål mail.docx", "A 46806-2024")</f>
        <v/>
      </c>
      <c r="AC143">
        <f>HYPERLINK("https://klasma.github.io/Logging_0581/tillsyn/A 46806-2024 tillsynsbegäran.docx", "A 46806-2024")</f>
        <v/>
      </c>
      <c r="AD143">
        <f>HYPERLINK("https://klasma.github.io/Logging_0581/tillsynsmail/A 46806-2024 tillsynsbegäran mail.docx", "A 46806-2024")</f>
        <v/>
      </c>
    </row>
    <row r="144" ht="15" customHeight="1">
      <c r="A144" t="inlineStr">
        <is>
          <t>A 45953-2024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45580</v>
      </c>
      <c r="E144" s="1" t="n">
        <v>46233</v>
      </c>
      <c r="F144" t="inlineStr">
        <is>
          <t>ÖSTERGÖTLANDS LÄN</t>
        </is>
      </c>
      <c r="G144" t="inlineStr">
        <is>
          <t>NORRKÖPING</t>
        </is>
      </c>
      <c r="I144" t="n">
        <v>1.9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Ekoxe</t>
        </is>
      </c>
      <c r="W144">
        <f>HYPERLINK("https://klasma.github.io/Logging_0581/artfynd/A 45953-2024 artfynd.xlsx", "A 45953-2024")</f>
        <v/>
      </c>
      <c r="X144">
        <f>HYPERLINK("https://klasma.github.io/Logging_0581/kartor/A 45953-2024 karta.png", "A 45953-2024")</f>
        <v/>
      </c>
      <c r="Y144">
        <f>HYPERLINK("https://klasma.github.io/Logging_0581/kartor_geotiff/A 45953-2024 georefererad karta.tif", "A 45953-2024")</f>
        <v/>
      </c>
      <c r="AA144">
        <f>HYPERLINK("https://klasma.github.io/Logging_0581/klagomål/A 45953-2024 FSC-klagomål.docx", "A 45953-2024")</f>
        <v/>
      </c>
      <c r="AB144">
        <f>HYPERLINK("https://klasma.github.io/Logging_0581/klagomålsmail/A 45953-2024 FSC-klagomål mail.docx", "A 45953-2024")</f>
        <v/>
      </c>
      <c r="AC144">
        <f>HYPERLINK("https://klasma.github.io/Logging_0581/tillsyn/A 45953-2024 tillsynsbegäran.docx", "A 45953-2024")</f>
        <v/>
      </c>
      <c r="AD144">
        <f>HYPERLINK("https://klasma.github.io/Logging_0581/tillsynsmail/A 45953-2024 tillsynsbegäran mail.docx", "A 45953-2024")</f>
        <v/>
      </c>
    </row>
    <row r="145" ht="15" customHeight="1">
      <c r="A145" t="inlineStr">
        <is>
          <t>A 60899-2024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46233</v>
      </c>
      <c r="F145" t="inlineStr">
        <is>
          <t>ÖSTERGÖTLANDS LÄN</t>
        </is>
      </c>
      <c r="G145" t="inlineStr">
        <is>
          <t>NORRKÖPING</t>
        </is>
      </c>
      <c r="I145" t="n">
        <v>2.4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60899-2024 artfynd.xlsx", "A 60899-2024")</f>
        <v/>
      </c>
      <c r="X145">
        <f>HYPERLINK("https://klasma.github.io/Logging_0581/kartor/A 60899-2024 karta.png", "A 60899-2024")</f>
        <v/>
      </c>
      <c r="Y145">
        <f>HYPERLINK("https://klasma.github.io/Logging_0581/kartor_geotiff/A 60899-2024 georefererad karta.tif", "A 60899-2024")</f>
        <v/>
      </c>
      <c r="AA145">
        <f>HYPERLINK("https://klasma.github.io/Logging_0581/klagomål/A 60899-2024 FSC-klagomål.docx", "A 60899-2024")</f>
        <v/>
      </c>
      <c r="AB145">
        <f>HYPERLINK("https://klasma.github.io/Logging_0581/klagomålsmail/A 60899-2024 FSC-klagomål mail.docx", "A 60899-2024")</f>
        <v/>
      </c>
      <c r="AC145">
        <f>HYPERLINK("https://klasma.github.io/Logging_0581/tillsyn/A 60899-2024 tillsynsbegäran.docx", "A 60899-2024")</f>
        <v/>
      </c>
      <c r="AD145">
        <f>HYPERLINK("https://klasma.github.io/Logging_0581/tillsynsmail/A 60899-2024 tillsynsbegäran mail.docx", "A 60899-2024")</f>
        <v/>
      </c>
    </row>
    <row r="146" ht="15" customHeight="1">
      <c r="A146" t="inlineStr">
        <is>
          <t>A 27236-2023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46233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HYPERLINK("https://klasma.github.io/Logging_0581/artfynd/A 27236-2023 artfynd.xlsx", "A 27236-2023")</f>
        <v/>
      </c>
      <c r="X146">
        <f>HYPERLINK("https://klasma.github.io/Logging_0581/kartor/A 27236-2023 karta.png", "A 27236-2023")</f>
        <v/>
      </c>
      <c r="Y146">
        <f>HYPERLINK("https://klasma.github.io/Logging_0581/kartor_geotiff/A 27236-2023 georefererad karta.tif", "A 27236-2023")</f>
        <v/>
      </c>
      <c r="AA146">
        <f>HYPERLINK("https://klasma.github.io/Logging_0581/klagomål/A 27236-2023 FSC-klagomål.docx", "A 27236-2023")</f>
        <v/>
      </c>
      <c r="AB146">
        <f>HYPERLINK("https://klasma.github.io/Logging_0581/klagomålsmail/A 27236-2023 FSC-klagomål mail.docx", "A 27236-2023")</f>
        <v/>
      </c>
      <c r="AC146">
        <f>HYPERLINK("https://klasma.github.io/Logging_0581/tillsyn/A 27236-2023 tillsynsbegäran.docx", "A 27236-2023")</f>
        <v/>
      </c>
      <c r="AD146">
        <f>HYPERLINK("https://klasma.github.io/Logging_0581/tillsynsmail/A 27236-2023 tillsynsbegäran mail.docx", "A 27236-2023")</f>
        <v/>
      </c>
    </row>
    <row r="147" ht="15" customHeight="1">
      <c r="A147" t="inlineStr">
        <is>
          <t>A 31659-2023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46233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HYPERLINK("https://klasma.github.io/Logging_0581/artfynd/A 31659-2023 artfynd.xlsx", "A 31659-2023")</f>
        <v/>
      </c>
      <c r="X147">
        <f>HYPERLINK("https://klasma.github.io/Logging_0581/kartor/A 31659-2023 karta.png", "A 31659-2023")</f>
        <v/>
      </c>
      <c r="Y147">
        <f>HYPERLINK("https://klasma.github.io/Logging_0581/kartor_geotiff/A 31659-2023 georefererad karta.tif", "A 31659-2023")</f>
        <v/>
      </c>
      <c r="AA147">
        <f>HYPERLINK("https://klasma.github.io/Logging_0581/klagomål/A 31659-2023 FSC-klagomål.docx", "A 31659-2023")</f>
        <v/>
      </c>
      <c r="AB147">
        <f>HYPERLINK("https://klasma.github.io/Logging_0581/klagomålsmail/A 31659-2023 FSC-klagomål mail.docx", "A 31659-2023")</f>
        <v/>
      </c>
      <c r="AC147">
        <f>HYPERLINK("https://klasma.github.io/Logging_0581/tillsyn/A 31659-2023 tillsynsbegäran.docx", "A 31659-2023")</f>
        <v/>
      </c>
      <c r="AD147">
        <f>HYPERLINK("https://klasma.github.io/Logging_0581/tillsynsmail/A 31659-2023 tillsynsbegäran mail.docx", "A 31659-2023")</f>
        <v/>
      </c>
      <c r="AE147">
        <f>HYPERLINK("https://klasma.github.io/Logging_0581/fåglar/A 31659-2023 prioriterade fågelarter.docx", "A 31659-2023")</f>
        <v/>
      </c>
    </row>
    <row r="148" ht="15" customHeight="1">
      <c r="A148" t="inlineStr">
        <is>
          <t>A 7317-2025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46233</v>
      </c>
      <c r="F148" t="inlineStr">
        <is>
          <t>ÖSTERGÖTLANDS LÄN</t>
        </is>
      </c>
      <c r="G148" t="inlineStr">
        <is>
          <t>NORRKÖPING</t>
        </is>
      </c>
      <c r="I148" t="n">
        <v>1.4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Backklöver</t>
        </is>
      </c>
      <c r="W148">
        <f>HYPERLINK("https://klasma.github.io/Logging_0581/artfynd/A 7317-2025 artfynd.xlsx", "A 7317-2025")</f>
        <v/>
      </c>
      <c r="X148">
        <f>HYPERLINK("https://klasma.github.io/Logging_0581/kartor/A 7317-2025 karta.png", "A 7317-2025")</f>
        <v/>
      </c>
      <c r="Y148">
        <f>HYPERLINK("https://klasma.github.io/Logging_0581/kartor_geotiff/A 7317-2025 georefererad karta.tif", "A 7317-2025")</f>
        <v/>
      </c>
      <c r="AA148">
        <f>HYPERLINK("https://klasma.github.io/Logging_0581/klagomål/A 7317-2025 FSC-klagomål.docx", "A 7317-2025")</f>
        <v/>
      </c>
      <c r="AB148">
        <f>HYPERLINK("https://klasma.github.io/Logging_0581/klagomålsmail/A 7317-2025 FSC-klagomål mail.docx", "A 7317-2025")</f>
        <v/>
      </c>
      <c r="AC148">
        <f>HYPERLINK("https://klasma.github.io/Logging_0581/tillsyn/A 7317-2025 tillsynsbegäran.docx", "A 7317-2025")</f>
        <v/>
      </c>
      <c r="AD148">
        <f>HYPERLINK("https://klasma.github.io/Logging_0581/tillsynsmail/A 7317-2025 tillsynsbegäran mail.docx", "A 7317-2025")</f>
        <v/>
      </c>
    </row>
    <row r="149" ht="15" customHeight="1">
      <c r="A149" t="inlineStr">
        <is>
          <t>A 11714-2026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46233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Gulsparv</t>
        </is>
      </c>
      <c r="W149">
        <f>HYPERLINK("https://klasma.github.io/Logging_0581/artfynd/A 11714-2026 artfynd.xlsx", "A 11714-2026")</f>
        <v/>
      </c>
      <c r="X149">
        <f>HYPERLINK("https://klasma.github.io/Logging_0581/kartor/A 11714-2026 karta.png", "A 11714-2026")</f>
        <v/>
      </c>
      <c r="Y149">
        <f>HYPERLINK("https://klasma.github.io/Logging_0581/kartor_geotiff/A 11714-2026 georefererad karta.tif", "A 11714-2026")</f>
        <v/>
      </c>
      <c r="AA149">
        <f>HYPERLINK("https://klasma.github.io/Logging_0581/klagomål/A 11714-2026 FSC-klagomål.docx", "A 11714-2026")</f>
        <v/>
      </c>
      <c r="AB149">
        <f>HYPERLINK("https://klasma.github.io/Logging_0581/klagomålsmail/A 11714-2026 FSC-klagomål mail.docx", "A 11714-2026")</f>
        <v/>
      </c>
      <c r="AC149">
        <f>HYPERLINK("https://klasma.github.io/Logging_0581/tillsyn/A 11714-2026 tillsynsbegäran.docx", "A 11714-2026")</f>
        <v/>
      </c>
      <c r="AD149">
        <f>HYPERLINK("https://klasma.github.io/Logging_0581/tillsynsmail/A 11714-2026 tillsynsbegäran mail.docx", "A 11714-2026")</f>
        <v/>
      </c>
      <c r="AE149">
        <f>HYPERLINK("https://klasma.github.io/Logging_0581/fåglar/A 11714-2026 prioriterade fågelarter.docx", "A 11714-2026")</f>
        <v/>
      </c>
    </row>
    <row r="150" ht="15" customHeight="1">
      <c r="A150" t="inlineStr">
        <is>
          <t>A 12682-2025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46233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2.3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Talltita</t>
        </is>
      </c>
      <c r="W150">
        <f>HYPERLINK("https://klasma.github.io/Logging_0581/artfynd/A 12682-2025 artfynd.xlsx", "A 12682-2025")</f>
        <v/>
      </c>
      <c r="X150">
        <f>HYPERLINK("https://klasma.github.io/Logging_0581/kartor/A 12682-2025 karta.png", "A 12682-2025")</f>
        <v/>
      </c>
      <c r="Y150">
        <f>HYPERLINK("https://klasma.github.io/Logging_0581/kartor_geotiff/A 12682-2025 georefererad karta.tif", "A 12682-2025")</f>
        <v/>
      </c>
      <c r="Z150">
        <f>HYPERLINK("https://klasma.github.io/Logging_0581/knärot/A 12682-2025 karta knärot.png", "A 12682-2025")</f>
        <v/>
      </c>
      <c r="AA150">
        <f>HYPERLINK("https://klasma.github.io/Logging_0581/klagomål/A 12682-2025 FSC-klagomål.docx", "A 12682-2025")</f>
        <v/>
      </c>
      <c r="AB150">
        <f>HYPERLINK("https://klasma.github.io/Logging_0581/klagomålsmail/A 12682-2025 FSC-klagomål mail.docx", "A 12682-2025")</f>
        <v/>
      </c>
      <c r="AC150">
        <f>HYPERLINK("https://klasma.github.io/Logging_0581/tillsyn/A 12682-2025 tillsynsbegäran.docx", "A 12682-2025")</f>
        <v/>
      </c>
      <c r="AD150">
        <f>HYPERLINK("https://klasma.github.io/Logging_0581/tillsynsmail/A 12682-2025 tillsynsbegäran mail.docx", "A 12682-2025")</f>
        <v/>
      </c>
      <c r="AE150">
        <f>HYPERLINK("https://klasma.github.io/Logging_0581/fåglar/A 12682-2025 prioriterade fågelarter.docx", "A 12682-2025")</f>
        <v/>
      </c>
    </row>
    <row r="151" ht="15" customHeight="1">
      <c r="A151" t="inlineStr">
        <is>
          <t>A 25982-2023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46233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Linmåra/småsnärjmåra</t>
        </is>
      </c>
      <c r="W151">
        <f>HYPERLINK("https://klasma.github.io/Logging_0581/artfynd/A 25982-2023 artfynd.xlsx", "A 25982-2023")</f>
        <v/>
      </c>
      <c r="X151">
        <f>HYPERLINK("https://klasma.github.io/Logging_0581/kartor/A 25982-2023 karta.png", "A 25982-2023")</f>
        <v/>
      </c>
      <c r="Y151">
        <f>HYPERLINK("https://klasma.github.io/Logging_0581/kartor_geotiff/A 25982-2023 georefererad karta.tif", "A 25982-2023")</f>
        <v/>
      </c>
      <c r="AA151">
        <f>HYPERLINK("https://klasma.github.io/Logging_0581/klagomål/A 25982-2023 FSC-klagomål.docx", "A 25982-2023")</f>
        <v/>
      </c>
      <c r="AB151">
        <f>HYPERLINK("https://klasma.github.io/Logging_0581/klagomålsmail/A 25982-2023 FSC-klagomål mail.docx", "A 25982-2023")</f>
        <v/>
      </c>
      <c r="AC151">
        <f>HYPERLINK("https://klasma.github.io/Logging_0581/tillsyn/A 25982-2023 tillsynsbegäran.docx", "A 25982-2023")</f>
        <v/>
      </c>
      <c r="AD151">
        <f>HYPERLINK("https://klasma.github.io/Logging_0581/tillsynsmail/A 25982-2023 tillsynsbegäran mail.docx", "A 25982-2023")</f>
        <v/>
      </c>
    </row>
    <row r="152" ht="15" customHeight="1">
      <c r="A152" t="inlineStr">
        <is>
          <t>A 16610-2024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46233</v>
      </c>
      <c r="F152" t="inlineStr">
        <is>
          <t>ÖSTERGÖTLANDS LÄN</t>
        </is>
      </c>
      <c r="G152" t="inlineStr">
        <is>
          <t>NORRKÖPING</t>
        </is>
      </c>
      <c r="I152" t="n">
        <v>5.8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3</v>
      </c>
      <c r="U152" t="n">
        <v>3</v>
      </c>
      <c r="V152" s="2" t="inlineStr">
        <is>
          <t>Knärot</t>
        </is>
      </c>
      <c r="W152">
        <f>HYPERLINK("https://klasma.github.io/Logging_0581/artfynd/A 16610-2024 artfynd.xlsx", "A 16610-2024")</f>
        <v/>
      </c>
      <c r="X152">
        <f>HYPERLINK("https://klasma.github.io/Logging_0581/kartor/A 16610-2024 karta.png", "A 16610-2024")</f>
        <v/>
      </c>
      <c r="Y152">
        <f>HYPERLINK("https://klasma.github.io/Logging_0581/kartor_geotiff/A 16610-2024 georefererad karta.tif", "A 16610-2024")</f>
        <v/>
      </c>
      <c r="Z152">
        <f>HYPERLINK("https://klasma.github.io/Logging_0581/knärot/A 16610-2024 karta knärot.png", "A 16610-2024")</f>
        <v/>
      </c>
      <c r="AA152">
        <f>HYPERLINK("https://klasma.github.io/Logging_0581/klagomål/A 16610-2024 FSC-klagomål.docx", "A 16610-2024")</f>
        <v/>
      </c>
      <c r="AB152">
        <f>HYPERLINK("https://klasma.github.io/Logging_0581/klagomålsmail/A 16610-2024 FSC-klagomål mail.docx", "A 16610-2024")</f>
        <v/>
      </c>
      <c r="AC152">
        <f>HYPERLINK("https://klasma.github.io/Logging_0581/tillsyn/A 16610-2024 tillsynsbegäran.docx", "A 16610-2024")</f>
        <v/>
      </c>
      <c r="AD152">
        <f>HYPERLINK("https://klasma.github.io/Logging_0581/tillsynsmail/A 16610-2024 tillsynsbegäran mail.docx", "A 16610-2024")</f>
        <v/>
      </c>
    </row>
    <row r="153" ht="15" customHeight="1">
      <c r="A153" t="inlineStr">
        <is>
          <t>A 12145-2024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46233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Gullgröppa</t>
        </is>
      </c>
      <c r="W153">
        <f>HYPERLINK("https://klasma.github.io/Logging_0581/artfynd/A 12145-2024 artfynd.xlsx", "A 12145-2024")</f>
        <v/>
      </c>
      <c r="X153">
        <f>HYPERLINK("https://klasma.github.io/Logging_0581/kartor/A 12145-2024 karta.png", "A 12145-2024")</f>
        <v/>
      </c>
      <c r="Y153">
        <f>HYPERLINK("https://klasma.github.io/Logging_0581/kartor_geotiff/A 12145-2024 georefererad karta.tif", "A 12145-2024")</f>
        <v/>
      </c>
      <c r="AA153">
        <f>HYPERLINK("https://klasma.github.io/Logging_0581/klagomål/A 12145-2024 FSC-klagomål.docx", "A 12145-2024")</f>
        <v/>
      </c>
      <c r="AB153">
        <f>HYPERLINK("https://klasma.github.io/Logging_0581/klagomålsmail/A 12145-2024 FSC-klagomål mail.docx", "A 12145-2024")</f>
        <v/>
      </c>
      <c r="AC153">
        <f>HYPERLINK("https://klasma.github.io/Logging_0581/tillsyn/A 12145-2024 tillsynsbegäran.docx", "A 12145-2024")</f>
        <v/>
      </c>
      <c r="AD153">
        <f>HYPERLINK("https://klasma.github.io/Logging_0581/tillsynsmail/A 12145-2024 tillsynsbegäran mail.docx", "A 12145-2024")</f>
        <v/>
      </c>
    </row>
    <row r="154" ht="15" customHeight="1">
      <c r="A154" t="inlineStr">
        <is>
          <t>A 9790-2024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46233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HYPERLINK("https://klasma.github.io/Logging_0581/artfynd/A 9790-2024 artfynd.xlsx", "A 9790-2024")</f>
        <v/>
      </c>
      <c r="X154">
        <f>HYPERLINK("https://klasma.github.io/Logging_0581/kartor/A 9790-2024 karta.png", "A 9790-2024")</f>
        <v/>
      </c>
      <c r="Y154">
        <f>HYPERLINK("https://klasma.github.io/Logging_0581/kartor_geotiff/A 9790-2024 georefererad karta.tif", "A 9790-2024")</f>
        <v/>
      </c>
      <c r="AA154">
        <f>HYPERLINK("https://klasma.github.io/Logging_0581/klagomål/A 9790-2024 FSC-klagomål.docx", "A 9790-2024")</f>
        <v/>
      </c>
      <c r="AB154">
        <f>HYPERLINK("https://klasma.github.io/Logging_0581/klagomålsmail/A 9790-2024 FSC-klagomål mail.docx", "A 9790-2024")</f>
        <v/>
      </c>
      <c r="AC154">
        <f>HYPERLINK("https://klasma.github.io/Logging_0581/tillsyn/A 9790-2024 tillsynsbegäran.docx", "A 9790-2024")</f>
        <v/>
      </c>
      <c r="AD154">
        <f>HYPERLINK("https://klasma.github.io/Logging_0581/tillsynsmail/A 9790-2024 tillsynsbegäran mail.docx", "A 9790-2024")</f>
        <v/>
      </c>
    </row>
    <row r="155" ht="15" customHeight="1">
      <c r="A155" t="inlineStr">
        <is>
          <t>A 20170-2026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46233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Igelkott</t>
        </is>
      </c>
      <c r="W155">
        <f>HYPERLINK("https://klasma.github.io/Logging_0581/artfynd/A 20170-2026 artfynd.xlsx", "A 20170-2026")</f>
        <v/>
      </c>
      <c r="X155">
        <f>HYPERLINK("https://klasma.github.io/Logging_0581/kartor/A 20170-2026 karta.png", "A 20170-2026")</f>
        <v/>
      </c>
      <c r="Y155">
        <f>HYPERLINK("https://klasma.github.io/Logging_0581/kartor_geotiff/A 20170-2026 georefererad karta.tif", "A 20170-2026")</f>
        <v/>
      </c>
      <c r="AA155">
        <f>HYPERLINK("https://klasma.github.io/Logging_0581/klagomål/A 20170-2026 FSC-klagomål.docx", "A 20170-2026")</f>
        <v/>
      </c>
      <c r="AB155">
        <f>HYPERLINK("https://klasma.github.io/Logging_0581/klagomålsmail/A 20170-2026 FSC-klagomål mail.docx", "A 20170-2026")</f>
        <v/>
      </c>
      <c r="AC155">
        <f>HYPERLINK("https://klasma.github.io/Logging_0581/tillsyn/A 20170-2026 tillsynsbegäran.docx", "A 20170-2026")</f>
        <v/>
      </c>
      <c r="AD155">
        <f>HYPERLINK("https://klasma.github.io/Logging_0581/tillsynsmail/A 20170-2026 tillsynsbegäran mail.docx", "A 20170-2026")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46233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46233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8245-2023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46233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Svedjenäva</t>
        </is>
      </c>
      <c r="W158">
        <f>HYPERLINK("https://klasma.github.io/Logging_0581/artfynd/A 8245-2023 artfynd.xlsx", "A 8245-2023")</f>
        <v/>
      </c>
      <c r="X158">
        <f>HYPERLINK("https://klasma.github.io/Logging_0581/kartor/A 8245-2023 karta.png", "A 8245-2023")</f>
        <v/>
      </c>
      <c r="Y158">
        <f>HYPERLINK("https://klasma.github.io/Logging_0581/kartor_geotiff/A 8245-2023 georefererad karta.tif", "A 8245-2023")</f>
        <v/>
      </c>
      <c r="AA158">
        <f>HYPERLINK("https://klasma.github.io/Logging_0581/klagomål/A 8245-2023 FSC-klagomål.docx", "A 8245-2023")</f>
        <v/>
      </c>
      <c r="AB158">
        <f>HYPERLINK("https://klasma.github.io/Logging_0581/klagomålsmail/A 8245-2023 FSC-klagomål mail.docx", "A 8245-2023")</f>
        <v/>
      </c>
      <c r="AC158">
        <f>HYPERLINK("https://klasma.github.io/Logging_0581/tillsyn/A 8245-2023 tillsynsbegäran.docx", "A 8245-2023")</f>
        <v/>
      </c>
      <c r="AD158">
        <f>HYPERLINK("https://klasma.github.io/Logging_0581/tillsynsmail/A 8245-2023 tillsynsbegäran mail.docx", "A 8245-2023")</f>
        <v/>
      </c>
    </row>
    <row r="159" ht="15" customHeight="1">
      <c r="A159" t="inlineStr">
        <is>
          <t>A 31897-2022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44777</v>
      </c>
      <c r="E159" s="1" t="n">
        <v>46233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Kommuner</t>
        </is>
      </c>
      <c r="I159" t="n">
        <v>1.8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Grönpyrola</t>
        </is>
      </c>
      <c r="W159">
        <f>HYPERLINK("https://klasma.github.io/Logging_0581/artfynd/A 31897-2022 artfynd.xlsx", "A 31897-2022")</f>
        <v/>
      </c>
      <c r="X159">
        <f>HYPERLINK("https://klasma.github.io/Logging_0581/kartor/A 31897-2022 karta.png", "A 31897-2022")</f>
        <v/>
      </c>
      <c r="Y159">
        <f>HYPERLINK("https://klasma.github.io/Logging_0581/kartor_geotiff/A 31897-2022 georefererad karta.tif", "A 31897-2022")</f>
        <v/>
      </c>
      <c r="AA159">
        <f>HYPERLINK("https://klasma.github.io/Logging_0581/klagomål/A 31897-2022 FSC-klagomål.docx", "A 31897-2022")</f>
        <v/>
      </c>
      <c r="AB159">
        <f>HYPERLINK("https://klasma.github.io/Logging_0581/klagomålsmail/A 31897-2022 FSC-klagomål mail.docx", "A 31897-2022")</f>
        <v/>
      </c>
      <c r="AC159">
        <f>HYPERLINK("https://klasma.github.io/Logging_0581/tillsyn/A 31897-2022 tillsynsbegäran.docx", "A 31897-2022")</f>
        <v/>
      </c>
      <c r="AD159">
        <f>HYPERLINK("https://klasma.github.io/Logging_0581/tillsynsmail/A 31897-2022 tillsynsbegäran mail.docx", "A 31897-2022")</f>
        <v/>
      </c>
    </row>
    <row r="160" ht="15" customHeight="1">
      <c r="A160" t="inlineStr">
        <is>
          <t>A 29202-2026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46233</v>
      </c>
      <c r="F160" t="inlineStr">
        <is>
          <t>ÖSTERGÖTLANDS LÄN</t>
        </is>
      </c>
      <c r="G160" t="inlineStr">
        <is>
          <t>NORRKÖPING</t>
        </is>
      </c>
      <c r="I160" t="n">
        <v>2.5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Tibast</t>
        </is>
      </c>
      <c r="W160">
        <f>HYPERLINK("https://klasma.github.io/Logging_0581/artfynd/A 29202-2026 artfynd.xlsx", "A 29202-2026")</f>
        <v/>
      </c>
      <c r="X160">
        <f>HYPERLINK("https://klasma.github.io/Logging_0581/kartor/A 29202-2026 karta.png", "A 29202-2026")</f>
        <v/>
      </c>
      <c r="Y160">
        <f>HYPERLINK("https://klasma.github.io/Logging_0581/kartor_geotiff/A 29202-2026 georefererad karta.tif", "A 29202-2026")</f>
        <v/>
      </c>
      <c r="AA160">
        <f>HYPERLINK("https://klasma.github.io/Logging_0581/klagomål/A 29202-2026 FSC-klagomål.docx", "A 29202-2026")</f>
        <v/>
      </c>
      <c r="AB160">
        <f>HYPERLINK("https://klasma.github.io/Logging_0581/klagomålsmail/A 29202-2026 FSC-klagomål mail.docx", "A 29202-2026")</f>
        <v/>
      </c>
      <c r="AC160">
        <f>HYPERLINK("https://klasma.github.io/Logging_0581/tillsyn/A 29202-2026 tillsynsbegäran.docx", "A 29202-2026")</f>
        <v/>
      </c>
      <c r="AD160">
        <f>HYPERLINK("https://klasma.github.io/Logging_0581/tillsynsmail/A 29202-2026 tillsynsbegäran mail.docx", "A 29202-2026")</f>
        <v/>
      </c>
    </row>
    <row r="161" ht="15" customHeight="1">
      <c r="A161" t="inlineStr">
        <is>
          <t>A 57772-2022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46233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Fällmossa</t>
        </is>
      </c>
      <c r="W161">
        <f>HYPERLINK("https://klasma.github.io/Logging_0581/artfynd/A 57772-2022 artfynd.xlsx", "A 57772-2022")</f>
        <v/>
      </c>
      <c r="X161">
        <f>HYPERLINK("https://klasma.github.io/Logging_0581/kartor/A 57772-2022 karta.png", "A 57772-2022")</f>
        <v/>
      </c>
      <c r="Y161">
        <f>HYPERLINK("https://klasma.github.io/Logging_0581/kartor_geotiff/A 57772-2022 georefererad karta.tif", "A 57772-2022")</f>
        <v/>
      </c>
      <c r="AA161">
        <f>HYPERLINK("https://klasma.github.io/Logging_0581/klagomål/A 57772-2022 FSC-klagomål.docx", "A 57772-2022")</f>
        <v/>
      </c>
      <c r="AB161">
        <f>HYPERLINK("https://klasma.github.io/Logging_0581/klagomålsmail/A 57772-2022 FSC-klagomål mail.docx", "A 57772-2022")</f>
        <v/>
      </c>
      <c r="AC161">
        <f>HYPERLINK("https://klasma.github.io/Logging_0581/tillsyn/A 57772-2022 tillsynsbegäran.docx", "A 57772-2022")</f>
        <v/>
      </c>
      <c r="AD161">
        <f>HYPERLINK("https://klasma.github.io/Logging_0581/tillsynsmail/A 57772-2022 tillsynsbegäran mail.docx", "A 57772-2022")</f>
        <v/>
      </c>
    </row>
    <row r="162" ht="15" customHeight="1">
      <c r="A162" t="inlineStr">
        <is>
          <t>A 41369-2023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46233</v>
      </c>
      <c r="F162" t="inlineStr">
        <is>
          <t>ÖSTERGÖTLANDS LÄN</t>
        </is>
      </c>
      <c r="G162" t="inlineStr">
        <is>
          <t>NORRKÖPING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Tallticka</t>
        </is>
      </c>
      <c r="W162">
        <f>HYPERLINK("https://klasma.github.io/Logging_0581/artfynd/A 41369-2023 artfynd.xlsx", "A 41369-2023")</f>
        <v/>
      </c>
      <c r="X162">
        <f>HYPERLINK("https://klasma.github.io/Logging_0581/kartor/A 41369-2023 karta.png", "A 41369-2023")</f>
        <v/>
      </c>
      <c r="Y162">
        <f>HYPERLINK("https://klasma.github.io/Logging_0581/kartor_geotiff/A 41369-2023 georefererad karta.tif", "A 41369-2023")</f>
        <v/>
      </c>
      <c r="AA162">
        <f>HYPERLINK("https://klasma.github.io/Logging_0581/klagomål/A 41369-2023 FSC-klagomål.docx", "A 41369-2023")</f>
        <v/>
      </c>
      <c r="AB162">
        <f>HYPERLINK("https://klasma.github.io/Logging_0581/klagomålsmail/A 41369-2023 FSC-klagomål mail.docx", "A 41369-2023")</f>
        <v/>
      </c>
      <c r="AC162">
        <f>HYPERLINK("https://klasma.github.io/Logging_0581/tillsyn/A 41369-2023 tillsynsbegäran.docx", "A 41369-2023")</f>
        <v/>
      </c>
      <c r="AD162">
        <f>HYPERLINK("https://klasma.github.io/Logging_0581/tillsynsmail/A 41369-2023 tillsynsbegäran mail.docx", "A 41369-2023")</f>
        <v/>
      </c>
    </row>
    <row r="163" ht="15" customHeight="1">
      <c r="A163" t="inlineStr">
        <is>
          <t>A 31254-2026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46233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Raggbock</t>
        </is>
      </c>
      <c r="W163">
        <f>HYPERLINK("https://klasma.github.io/Logging_0581/artfynd/A 31254-2026 artfynd.xlsx", "A 31254-2026")</f>
        <v/>
      </c>
      <c r="X163">
        <f>HYPERLINK("https://klasma.github.io/Logging_0581/kartor/A 31254-2026 karta.png", "A 31254-2026")</f>
        <v/>
      </c>
      <c r="Y163">
        <f>HYPERLINK("https://klasma.github.io/Logging_0581/kartor_geotiff/A 31254-2026 georefererad karta.tif", "A 31254-2026")</f>
        <v/>
      </c>
      <c r="AA163">
        <f>HYPERLINK("https://klasma.github.io/Logging_0581/klagomål/A 31254-2026 FSC-klagomål.docx", "A 31254-2026")</f>
        <v/>
      </c>
      <c r="AB163">
        <f>HYPERLINK("https://klasma.github.io/Logging_0581/klagomålsmail/A 31254-2026 FSC-klagomål mail.docx", "A 31254-2026")</f>
        <v/>
      </c>
      <c r="AC163">
        <f>HYPERLINK("https://klasma.github.io/Logging_0581/tillsyn/A 31254-2026 tillsynsbegäran.docx", "A 31254-2026")</f>
        <v/>
      </c>
      <c r="AD163">
        <f>HYPERLINK("https://klasma.github.io/Logging_0581/tillsynsmail/A 31254-2026 tillsynsbegäran mail.docx", "A 31254-2026")</f>
        <v/>
      </c>
    </row>
    <row r="164" ht="15" customHeight="1">
      <c r="A164" t="inlineStr">
        <is>
          <t>A 31231-2026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46233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4.2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HYPERLINK("https://klasma.github.io/Logging_0581/artfynd/A 31231-2026 artfynd.xlsx", "A 31231-2026")</f>
        <v/>
      </c>
      <c r="X164">
        <f>HYPERLINK("https://klasma.github.io/Logging_0581/kartor/A 31231-2026 karta.png", "A 31231-2026")</f>
        <v/>
      </c>
      <c r="Y164">
        <f>HYPERLINK("https://klasma.github.io/Logging_0581/kartor_geotiff/A 31231-2026 georefererad karta.tif", "A 31231-2026")</f>
        <v/>
      </c>
      <c r="AA164">
        <f>HYPERLINK("https://klasma.github.io/Logging_0581/klagomål/A 31231-2026 FSC-klagomål.docx", "A 31231-2026")</f>
        <v/>
      </c>
      <c r="AB164">
        <f>HYPERLINK("https://klasma.github.io/Logging_0581/klagomålsmail/A 31231-2026 FSC-klagomål mail.docx", "A 31231-2026")</f>
        <v/>
      </c>
      <c r="AC164">
        <f>HYPERLINK("https://klasma.github.io/Logging_0581/tillsyn/A 31231-2026 tillsynsbegäran.docx", "A 31231-2026")</f>
        <v/>
      </c>
      <c r="AD164">
        <f>HYPERLINK("https://klasma.github.io/Logging_0581/tillsynsmail/A 31231-2026 tillsynsbegäran mail.docx", "A 31231-2026")</f>
        <v/>
      </c>
    </row>
    <row r="165" ht="15" customHeight="1">
      <c r="A165" t="inlineStr">
        <is>
          <t>A 31325-2026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46233</v>
      </c>
      <c r="F165" t="inlineStr">
        <is>
          <t>ÖSTERGÖTLANDS LÄN</t>
        </is>
      </c>
      <c r="G165" t="inlineStr">
        <is>
          <t>NORRKÖPING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Bergsslok</t>
        </is>
      </c>
      <c r="W165">
        <f>HYPERLINK("https://klasma.github.io/Logging_0581/artfynd/A 31325-2026 artfynd.xlsx", "A 31325-2026")</f>
        <v/>
      </c>
      <c r="X165">
        <f>HYPERLINK("https://klasma.github.io/Logging_0581/kartor/A 31325-2026 karta.png", "A 31325-2026")</f>
        <v/>
      </c>
      <c r="Y165">
        <f>HYPERLINK("https://klasma.github.io/Logging_0581/kartor_geotiff/A 31325-2026 georefererad karta.tif", "A 31325-2026")</f>
        <v/>
      </c>
      <c r="AA165">
        <f>HYPERLINK("https://klasma.github.io/Logging_0581/klagomål/A 31325-2026 FSC-klagomål.docx", "A 31325-2026")</f>
        <v/>
      </c>
      <c r="AB165">
        <f>HYPERLINK("https://klasma.github.io/Logging_0581/klagomålsmail/A 31325-2026 FSC-klagomål mail.docx", "A 31325-2026")</f>
        <v/>
      </c>
      <c r="AC165">
        <f>HYPERLINK("https://klasma.github.io/Logging_0581/tillsyn/A 31325-2026 tillsynsbegäran.docx", "A 31325-2026")</f>
        <v/>
      </c>
      <c r="AD165">
        <f>HYPERLINK("https://klasma.github.io/Logging_0581/tillsynsmail/A 31325-2026 tillsynsbegäran mail.docx", "A 31325-2026")</f>
        <v/>
      </c>
    </row>
    <row r="166" ht="15" customHeight="1">
      <c r="A166" t="inlineStr">
        <is>
          <t>A 25707-2026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46233</v>
      </c>
      <c r="F166" t="inlineStr">
        <is>
          <t>ÖSTERGÖTLANDS LÄN</t>
        </is>
      </c>
      <c r="G166" t="inlineStr">
        <is>
          <t>NORRKÖPING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Tallticka</t>
        </is>
      </c>
      <c r="W166">
        <f>HYPERLINK("https://klasma.github.io/Logging_0581/artfynd/A 25707-2026 artfynd.xlsx", "A 25707-2026")</f>
        <v/>
      </c>
      <c r="X166">
        <f>HYPERLINK("https://klasma.github.io/Logging_0581/kartor/A 25707-2026 karta.png", "A 25707-2026")</f>
        <v/>
      </c>
      <c r="Y166">
        <f>HYPERLINK("https://klasma.github.io/Logging_0581/kartor_geotiff/A 25707-2026 georefererad karta.tif", "A 25707-2026")</f>
        <v/>
      </c>
      <c r="AA166">
        <f>HYPERLINK("https://klasma.github.io/Logging_0581/klagomål/A 25707-2026 FSC-klagomål.docx", "A 25707-2026")</f>
        <v/>
      </c>
      <c r="AB166">
        <f>HYPERLINK("https://klasma.github.io/Logging_0581/klagomålsmail/A 25707-2026 FSC-klagomål mail.docx", "A 25707-2026")</f>
        <v/>
      </c>
      <c r="AC166">
        <f>HYPERLINK("https://klasma.github.io/Logging_0581/tillsyn/A 25707-2026 tillsynsbegäran.docx", "A 25707-2026")</f>
        <v/>
      </c>
      <c r="AD166">
        <f>HYPERLINK("https://klasma.github.io/Logging_0581/tillsynsmail/A 25707-2026 tillsynsbegäran mail.docx", "A 25707-2026")</f>
        <v/>
      </c>
    </row>
    <row r="167" ht="15" customHeight="1">
      <c r="A167" t="inlineStr">
        <is>
          <t>A 14329-2022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44652</v>
      </c>
      <c r="E167" s="1" t="n">
        <v>46233</v>
      </c>
      <c r="F167" t="inlineStr">
        <is>
          <t>ÖSTERGÖTLANDS LÄN</t>
        </is>
      </c>
      <c r="G167" t="inlineStr">
        <is>
          <t>NORRKÖPING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Röd skogslilja</t>
        </is>
      </c>
      <c r="W167">
        <f>HYPERLINK("https://klasma.github.io/Logging_0581/artfynd/A 14329-2022 artfynd.xlsx", "A 14329-2022")</f>
        <v/>
      </c>
      <c r="X167">
        <f>HYPERLINK("https://klasma.github.io/Logging_0581/kartor/A 14329-2022 karta.png", "A 14329-2022")</f>
        <v/>
      </c>
      <c r="Y167">
        <f>HYPERLINK("https://klasma.github.io/Logging_0581/kartor_geotiff/A 14329-2022 georefererad karta.tif", "A 14329-2022")</f>
        <v/>
      </c>
      <c r="AA167">
        <f>HYPERLINK("https://klasma.github.io/Logging_0581/klagomål/A 14329-2022 FSC-klagomål.docx", "A 14329-2022")</f>
        <v/>
      </c>
      <c r="AB167">
        <f>HYPERLINK("https://klasma.github.io/Logging_0581/klagomålsmail/A 14329-2022 FSC-klagomål mail.docx", "A 14329-2022")</f>
        <v/>
      </c>
      <c r="AC167">
        <f>HYPERLINK("https://klasma.github.io/Logging_0581/tillsyn/A 14329-2022 tillsynsbegäran.docx", "A 14329-2022")</f>
        <v/>
      </c>
      <c r="AD167">
        <f>HYPERLINK("https://klasma.github.io/Logging_0581/tillsynsmail/A 14329-2022 tillsynsbegäran mail.docx", "A 14329-2022")</f>
        <v/>
      </c>
    </row>
    <row r="168" ht="15" customHeight="1">
      <c r="A168" t="inlineStr">
        <is>
          <t>A 15124-2025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46233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3.8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Vedskivlav</t>
        </is>
      </c>
      <c r="W168">
        <f>HYPERLINK("https://klasma.github.io/Logging_0581/artfynd/A 15124-2025 artfynd.xlsx", "A 15124-2025")</f>
        <v/>
      </c>
      <c r="X168">
        <f>HYPERLINK("https://klasma.github.io/Logging_0581/kartor/A 15124-2025 karta.png", "A 15124-2025")</f>
        <v/>
      </c>
      <c r="Y168">
        <f>HYPERLINK("https://klasma.github.io/Logging_0581/kartor_geotiff/A 15124-2025 georefererad karta.tif", "A 15124-2025")</f>
        <v/>
      </c>
      <c r="AA168">
        <f>HYPERLINK("https://klasma.github.io/Logging_0581/klagomål/A 15124-2025 FSC-klagomål.docx", "A 15124-2025")</f>
        <v/>
      </c>
      <c r="AB168">
        <f>HYPERLINK("https://klasma.github.io/Logging_0581/klagomålsmail/A 15124-2025 FSC-klagomål mail.docx", "A 15124-2025")</f>
        <v/>
      </c>
      <c r="AC168">
        <f>HYPERLINK("https://klasma.github.io/Logging_0581/tillsyn/A 15124-2025 tillsynsbegäran.docx", "A 15124-2025")</f>
        <v/>
      </c>
      <c r="AD168">
        <f>HYPERLINK("https://klasma.github.io/Logging_0581/tillsynsmail/A 15124-2025 tillsynsbegäran mail.docx", "A 15124-2025")</f>
        <v/>
      </c>
    </row>
    <row r="169" ht="15" customHeight="1">
      <c r="A169" t="inlineStr">
        <is>
          <t>A 15143-2025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46233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Vedskivlav</t>
        </is>
      </c>
      <c r="W169">
        <f>HYPERLINK("https://klasma.github.io/Logging_0581/artfynd/A 15143-2025 artfynd.xlsx", "A 15143-2025")</f>
        <v/>
      </c>
      <c r="X169">
        <f>HYPERLINK("https://klasma.github.io/Logging_0581/kartor/A 15143-2025 karta.png", "A 15143-2025")</f>
        <v/>
      </c>
      <c r="Y169">
        <f>HYPERLINK("https://klasma.github.io/Logging_0581/kartor_geotiff/A 15143-2025 georefererad karta.tif", "A 15143-2025")</f>
        <v/>
      </c>
      <c r="AA169">
        <f>HYPERLINK("https://klasma.github.io/Logging_0581/klagomål/A 15143-2025 FSC-klagomål.docx", "A 15143-2025")</f>
        <v/>
      </c>
      <c r="AB169">
        <f>HYPERLINK("https://klasma.github.io/Logging_0581/klagomålsmail/A 15143-2025 FSC-klagomål mail.docx", "A 15143-2025")</f>
        <v/>
      </c>
      <c r="AC169">
        <f>HYPERLINK("https://klasma.github.io/Logging_0581/tillsyn/A 15143-2025 tillsynsbegäran.docx", "A 15143-2025")</f>
        <v/>
      </c>
      <c r="AD169">
        <f>HYPERLINK("https://klasma.github.io/Logging_0581/tillsynsmail/A 15143-2025 tillsynsbegäran mail.docx", "A 15143-2025")</f>
        <v/>
      </c>
    </row>
    <row r="170" ht="15" customHeight="1">
      <c r="A170" t="inlineStr">
        <is>
          <t>A 31660-2026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46225</v>
      </c>
      <c r="E170" s="1" t="n">
        <v>46233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Allmännings- och besparingsskogar</t>
        </is>
      </c>
      <c r="I170" t="n">
        <v>8.199999999999999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Ängsskära</t>
        </is>
      </c>
      <c r="W170">
        <f>HYPERLINK("https://klasma.github.io/Logging_0581/artfynd/A 31660-2026 artfynd.xlsx", "A 31660-2026")</f>
        <v/>
      </c>
      <c r="X170">
        <f>HYPERLINK("https://klasma.github.io/Logging_0581/kartor/A 31660-2026 karta.png", "A 31660-2026")</f>
        <v/>
      </c>
      <c r="Y170">
        <f>HYPERLINK("https://klasma.github.io/Logging_0581/kartor_geotiff/A 31660-2026 georefererad karta.tif", "A 31660-2026")</f>
        <v/>
      </c>
      <c r="AA170">
        <f>HYPERLINK("https://klasma.github.io/Logging_0581/klagomål/A 31660-2026 FSC-klagomål.docx", "A 31660-2026")</f>
        <v/>
      </c>
      <c r="AB170">
        <f>HYPERLINK("https://klasma.github.io/Logging_0581/klagomålsmail/A 31660-2026 FSC-klagomål mail.docx", "A 31660-2026")</f>
        <v/>
      </c>
      <c r="AC170">
        <f>HYPERLINK("https://klasma.github.io/Logging_0581/tillsyn/A 31660-2026 tillsynsbegäran.docx", "A 31660-2026")</f>
        <v/>
      </c>
      <c r="AD170">
        <f>HYPERLINK("https://klasma.github.io/Logging_0581/tillsynsmail/A 31660-2026 tillsynsbegäran mail.docx", "A 31660-2026")</f>
        <v/>
      </c>
    </row>
    <row r="171" ht="15" customHeight="1">
      <c r="A171" t="inlineStr">
        <is>
          <t>A 31892-2026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46233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HYPERLINK("https://klasma.github.io/Logging_0581/artfynd/A 31892-2026 artfynd.xlsx", "A 31892-2026")</f>
        <v/>
      </c>
      <c r="X171">
        <f>HYPERLINK("https://klasma.github.io/Logging_0581/kartor/A 31892-2026 karta.png", "A 31892-2026")</f>
        <v/>
      </c>
      <c r="Y171">
        <f>HYPERLINK("https://klasma.github.io/Logging_0581/kartor_geotiff/A 31892-2026 georefererad karta.tif", "A 31892-2026")</f>
        <v/>
      </c>
      <c r="AA171">
        <f>HYPERLINK("https://klasma.github.io/Logging_0581/klagomål/A 31892-2026 FSC-klagomål.docx", "A 31892-2026")</f>
        <v/>
      </c>
      <c r="AB171">
        <f>HYPERLINK("https://klasma.github.io/Logging_0581/klagomålsmail/A 31892-2026 FSC-klagomål mail.docx", "A 31892-2026")</f>
        <v/>
      </c>
      <c r="AC171">
        <f>HYPERLINK("https://klasma.github.io/Logging_0581/tillsyn/A 31892-2026 tillsynsbegäran.docx", "A 31892-2026")</f>
        <v/>
      </c>
      <c r="AD171">
        <f>HYPERLINK("https://klasma.github.io/Logging_0581/tillsynsmail/A 31892-2026 tillsynsbegäran mail.docx", "A 31892-2026")</f>
        <v/>
      </c>
    </row>
    <row r="172" ht="15" customHeight="1">
      <c r="A172" t="inlineStr">
        <is>
          <t>A 1077-2023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46233</v>
      </c>
      <c r="F172" t="inlineStr">
        <is>
          <t>ÖSTERGÖTLANDS LÄN</t>
        </is>
      </c>
      <c r="G172" t="inlineStr">
        <is>
          <t>NORRKÖPING</t>
        </is>
      </c>
      <c r="I172" t="n">
        <v>3.4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Äkta lopplummer</t>
        </is>
      </c>
      <c r="W172">
        <f>HYPERLINK("https://klasma.github.io/Logging_0581/artfynd/A 1077-2023 artfynd.xlsx", "A 1077-2023")</f>
        <v/>
      </c>
      <c r="X172">
        <f>HYPERLINK("https://klasma.github.io/Logging_0581/kartor/A 1077-2023 karta.png", "A 1077-2023")</f>
        <v/>
      </c>
      <c r="Y172">
        <f>HYPERLINK("https://klasma.github.io/Logging_0581/kartor_geotiff/A 1077-2023 georefererad karta.tif", "A 1077-2023")</f>
        <v/>
      </c>
      <c r="AA172">
        <f>HYPERLINK("https://klasma.github.io/Logging_0581/klagomål/A 1077-2023 FSC-klagomål.docx", "A 1077-2023")</f>
        <v/>
      </c>
      <c r="AB172">
        <f>HYPERLINK("https://klasma.github.io/Logging_0581/klagomålsmail/A 1077-2023 FSC-klagomål mail.docx", "A 1077-2023")</f>
        <v/>
      </c>
      <c r="AC172">
        <f>HYPERLINK("https://klasma.github.io/Logging_0581/tillsyn/A 1077-2023 tillsynsbegäran.docx", "A 1077-2023")</f>
        <v/>
      </c>
      <c r="AD172">
        <f>HYPERLINK("https://klasma.github.io/Logging_0581/tillsynsmail/A 1077-2023 tillsynsbegäran mail.docx", "A 1077-2023")</f>
        <v/>
      </c>
    </row>
    <row r="173" ht="15" customHeight="1">
      <c r="A173" t="inlineStr">
        <is>
          <t>A 58318-2023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45250</v>
      </c>
      <c r="E173" s="1" t="n">
        <v>46233</v>
      </c>
      <c r="F173" t="inlineStr">
        <is>
          <t>ÖSTERGÖTLANDS LÄN</t>
        </is>
      </c>
      <c r="G173" t="inlineStr">
        <is>
          <t>NORRKÖPING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Havsörn</t>
        </is>
      </c>
      <c r="W173">
        <f>HYPERLINK("https://klasma.github.io/Logging_0581/artfynd/A 58318-2023 artfynd.xlsx", "A 58318-2023")</f>
        <v/>
      </c>
      <c r="X173">
        <f>HYPERLINK("https://klasma.github.io/Logging_0581/kartor/A 58318-2023 karta.png", "A 58318-2023")</f>
        <v/>
      </c>
      <c r="Y173">
        <f>HYPERLINK("https://klasma.github.io/Logging_0581/kartor_geotiff/A 58318-2023 georefererad karta.tif", "A 58318-2023")</f>
        <v/>
      </c>
      <c r="AA173">
        <f>HYPERLINK("https://klasma.github.io/Logging_0581/klagomål/A 58318-2023 FSC-klagomål.docx", "A 58318-2023")</f>
        <v/>
      </c>
      <c r="AB173">
        <f>HYPERLINK("https://klasma.github.io/Logging_0581/klagomålsmail/A 58318-2023 FSC-klagomål mail.docx", "A 58318-2023")</f>
        <v/>
      </c>
      <c r="AC173">
        <f>HYPERLINK("https://klasma.github.io/Logging_0581/tillsyn/A 58318-2023 tillsynsbegäran.docx", "A 58318-2023")</f>
        <v/>
      </c>
      <c r="AD173">
        <f>HYPERLINK("https://klasma.github.io/Logging_0581/tillsynsmail/A 58318-2023 tillsynsbegäran mail.docx", "A 58318-2023")</f>
        <v/>
      </c>
      <c r="AE173">
        <f>HYPERLINK("https://klasma.github.io/Logging_0581/fåglar/A 58318-2023 prioriterade fågelarter.docx", "A 58318-2023")</f>
        <v/>
      </c>
    </row>
    <row r="174" ht="15" customHeight="1">
      <c r="A174" t="inlineStr">
        <is>
          <t>A 15870-2024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46233</v>
      </c>
      <c r="F174" t="inlineStr">
        <is>
          <t>ÖSTERGÖTLANDS LÄN</t>
        </is>
      </c>
      <c r="G174" t="inlineStr">
        <is>
          <t>NORRKÖPING</t>
        </is>
      </c>
      <c r="I174" t="n">
        <v>1.3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Mörk dunört</t>
        </is>
      </c>
      <c r="W174">
        <f>HYPERLINK("https://klasma.github.io/Logging_0581/artfynd/A 15870-2024 artfynd.xlsx", "A 15870-2024")</f>
        <v/>
      </c>
      <c r="X174">
        <f>HYPERLINK("https://klasma.github.io/Logging_0581/kartor/A 15870-2024 karta.png", "A 15870-2024")</f>
        <v/>
      </c>
      <c r="Y174">
        <f>HYPERLINK("https://klasma.github.io/Logging_0581/kartor_geotiff/A 15870-2024 georefererad karta.tif", "A 15870-2024")</f>
        <v/>
      </c>
      <c r="AA174">
        <f>HYPERLINK("https://klasma.github.io/Logging_0581/klagomål/A 15870-2024 FSC-klagomål.docx", "A 15870-2024")</f>
        <v/>
      </c>
      <c r="AB174">
        <f>HYPERLINK("https://klasma.github.io/Logging_0581/klagomålsmail/A 15870-2024 FSC-klagomål mail.docx", "A 15870-2024")</f>
        <v/>
      </c>
      <c r="AC174">
        <f>HYPERLINK("https://klasma.github.io/Logging_0581/tillsyn/A 15870-2024 tillsynsbegäran.docx", "A 15870-2024")</f>
        <v/>
      </c>
      <c r="AD174">
        <f>HYPERLINK("https://klasma.github.io/Logging_0581/tillsynsmail/A 15870-2024 tillsynsbegäran mail.docx", "A 15870-2024")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46233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46233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46233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46233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46233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46233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46233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46233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46233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46233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46233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46233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46233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46233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46233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46233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46233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46233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46233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46233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46233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46233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46233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46233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44671</v>
      </c>
      <c r="E199" s="1" t="n">
        <v>46233</v>
      </c>
      <c r="F199" t="inlineStr">
        <is>
          <t>ÖSTERGÖTLANDS LÄN</t>
        </is>
      </c>
      <c r="G199" t="inlineStr">
        <is>
          <t>NORRKÖPING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46233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46233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46233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46233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46233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46233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46233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46233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46233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46233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46233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46233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46233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46233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46233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46233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46233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46233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46233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46233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46233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46233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46233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46233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46233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46233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46233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46233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46233</v>
      </c>
      <c r="F229" t="inlineStr">
        <is>
          <t>ÖSTERGÖTLANDS LÄN</t>
        </is>
      </c>
      <c r="G229" t="inlineStr">
        <is>
          <t>NORRKÖPING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46233</v>
      </c>
      <c r="F230" t="inlineStr">
        <is>
          <t>ÖSTERGÖTLANDS LÄN</t>
        </is>
      </c>
      <c r="G230" t="inlineStr">
        <is>
          <t>NORRKÖPING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44441</v>
      </c>
      <c r="E231" s="1" t="n">
        <v>46233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48591-2021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46233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44726</v>
      </c>
      <c r="E233" s="1" t="n">
        <v>46233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46233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46233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46233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46233</v>
      </c>
      <c r="F237" t="inlineStr">
        <is>
          <t>ÖSTERGÖTLANDS LÄN</t>
        </is>
      </c>
      <c r="G237" t="inlineStr">
        <is>
          <t>NORRKÖPING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46233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46580-2021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44445</v>
      </c>
      <c r="E239" s="1" t="n">
        <v>46233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46233</v>
      </c>
      <c r="F240" t="inlineStr">
        <is>
          <t>ÖSTERGÖTLANDS LÄN</t>
        </is>
      </c>
      <c r="G240" t="inlineStr">
        <is>
          <t>NORRKÖPING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46233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50157-2022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44865</v>
      </c>
      <c r="E242" s="1" t="n">
        <v>46233</v>
      </c>
      <c r="F242" t="inlineStr">
        <is>
          <t>ÖSTERGÖTLANDS LÄN</t>
        </is>
      </c>
      <c r="G242" t="inlineStr">
        <is>
          <t>NORRKÖPING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45072</v>
      </c>
      <c r="E243" s="1" t="n">
        <v>46233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46233</v>
      </c>
      <c r="F244" t="inlineStr">
        <is>
          <t>ÖSTERGÖTLANDS LÄN</t>
        </is>
      </c>
      <c r="G244" t="inlineStr">
        <is>
          <t>NORRKÖPING</t>
        </is>
      </c>
      <c r="I244" t="n">
        <v>12.5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46233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46233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35701-2024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45532</v>
      </c>
      <c r="E247" s="1" t="n">
        <v>46233</v>
      </c>
      <c r="F247" t="inlineStr">
        <is>
          <t>ÖSTERGÖTLANDS LÄN</t>
        </is>
      </c>
      <c r="G247" t="inlineStr">
        <is>
          <t>NORRKÖPING</t>
        </is>
      </c>
      <c r="I247" t="n">
        <v>11.7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46233</v>
      </c>
      <c r="F248" t="inlineStr">
        <is>
          <t>ÖSTERGÖTLANDS LÄN</t>
        </is>
      </c>
      <c r="G248" t="inlineStr">
        <is>
          <t>NORRKÖPING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46233</v>
      </c>
      <c r="F249" t="inlineStr">
        <is>
          <t>ÖSTERGÖTLANDS LÄN</t>
        </is>
      </c>
      <c r="G249" t="inlineStr">
        <is>
          <t>NORRKÖPING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44805</v>
      </c>
      <c r="E250" s="1" t="n">
        <v>46233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Allmännings- och besparingsskogar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46233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46233</v>
      </c>
      <c r="F252" t="inlineStr">
        <is>
          <t>ÖSTERGÖTLANDS LÄN</t>
        </is>
      </c>
      <c r="G252" t="inlineStr">
        <is>
          <t>NORRKÖPING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45336</v>
      </c>
      <c r="E253" s="1" t="n">
        <v>46233</v>
      </c>
      <c r="F253" t="inlineStr">
        <is>
          <t>ÖSTERGÖTLANDS LÄN</t>
        </is>
      </c>
      <c r="G253" t="inlineStr">
        <is>
          <t>NORRKÖPING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46233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46233</v>
      </c>
      <c r="F255" t="inlineStr">
        <is>
          <t>ÖSTERGÖTLANDS LÄN</t>
        </is>
      </c>
      <c r="G255" t="inlineStr">
        <is>
          <t>NORRKÖPING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46233</v>
      </c>
      <c r="F256" t="inlineStr">
        <is>
          <t>ÖSTERGÖTLANDS LÄN</t>
        </is>
      </c>
      <c r="G256" t="inlineStr">
        <is>
          <t>NORRKÖPING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49062-2022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46233</v>
      </c>
      <c r="F257" t="inlineStr">
        <is>
          <t>ÖSTERGÖTLANDS LÄN</t>
        </is>
      </c>
      <c r="G257" t="inlineStr">
        <is>
          <t>NORRKÖPING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46233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39401-2021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44414</v>
      </c>
      <c r="E259" s="1" t="n">
        <v>46233</v>
      </c>
      <c r="F259" t="inlineStr">
        <is>
          <t>ÖSTERGÖTLANDS LÄN</t>
        </is>
      </c>
      <c r="G259" t="inlineStr">
        <is>
          <t>NORRKÖPING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46233</v>
      </c>
      <c r="F260" t="inlineStr">
        <is>
          <t>ÖSTERGÖTLANDS LÄN</t>
        </is>
      </c>
      <c r="G260" t="inlineStr">
        <is>
          <t>NORRKÖPING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46233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51877-2021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44462</v>
      </c>
      <c r="E262" s="1" t="n">
        <v>46233</v>
      </c>
      <c r="F262" t="inlineStr">
        <is>
          <t>ÖSTERGÖTLANDS LÄN</t>
        </is>
      </c>
      <c r="G262" t="inlineStr">
        <is>
          <t>NORRKÖPING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46233</v>
      </c>
      <c r="F263" t="inlineStr">
        <is>
          <t>ÖSTERGÖTLANDS LÄN</t>
        </is>
      </c>
      <c r="G263" t="inlineStr">
        <is>
          <t>NORRKÖPING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46233</v>
      </c>
      <c r="F264" t="inlineStr">
        <is>
          <t>ÖSTERGÖTLANDS LÄN</t>
        </is>
      </c>
      <c r="G264" t="inlineStr">
        <is>
          <t>NORRKÖPING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44433</v>
      </c>
      <c r="E265" s="1" t="n">
        <v>46233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45128</v>
      </c>
      <c r="E266" s="1" t="n">
        <v>46233</v>
      </c>
      <c r="F266" t="inlineStr">
        <is>
          <t>ÖSTERGÖTLANDS LÄN</t>
        </is>
      </c>
      <c r="G266" t="inlineStr">
        <is>
          <t>NORRKÖPING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46233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46233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46233</v>
      </c>
      <c r="F269" t="inlineStr">
        <is>
          <t>ÖSTERGÖTLANDS LÄN</t>
        </is>
      </c>
      <c r="G269" t="inlineStr">
        <is>
          <t>NORRKÖPING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1914-2023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44939</v>
      </c>
      <c r="E270" s="1" t="n">
        <v>46233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Naturvårdsverket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63961-2023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45278</v>
      </c>
      <c r="E271" s="1" t="n">
        <v>46233</v>
      </c>
      <c r="F271" t="inlineStr">
        <is>
          <t>ÖSTERGÖTLANDS LÄN</t>
        </is>
      </c>
      <c r="G271" t="inlineStr">
        <is>
          <t>NORRKÖPING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46233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44825</v>
      </c>
      <c r="E273" s="1" t="n">
        <v>46233</v>
      </c>
      <c r="F273" t="inlineStr">
        <is>
          <t>ÖSTERGÖTLANDS LÄN</t>
        </is>
      </c>
      <c r="G273" t="inlineStr">
        <is>
          <t>NORRKÖPING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46233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Allmännings- och besparingsskogar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46233</v>
      </c>
      <c r="F275" t="inlineStr">
        <is>
          <t>ÖSTERGÖTLANDS LÄN</t>
        </is>
      </c>
      <c r="G275" t="inlineStr">
        <is>
          <t>NORRKÖPING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45490</v>
      </c>
      <c r="E276" s="1" t="n">
        <v>46233</v>
      </c>
      <c r="F276" t="inlineStr">
        <is>
          <t>ÖSTERGÖTLANDS LÄN</t>
        </is>
      </c>
      <c r="G276" t="inlineStr">
        <is>
          <t>NORRKÖPING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46233</v>
      </c>
      <c r="F277" t="inlineStr">
        <is>
          <t>ÖSTERGÖTLANDS LÄN</t>
        </is>
      </c>
      <c r="G277" t="inlineStr">
        <is>
          <t>NORRKÖPING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46233</v>
      </c>
      <c r="F278" t="inlineStr">
        <is>
          <t>ÖSTERGÖTLANDS LÄN</t>
        </is>
      </c>
      <c r="G278" t="inlineStr">
        <is>
          <t>NORRKÖPING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58525-2021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46233</v>
      </c>
      <c r="F279" t="inlineStr">
        <is>
          <t>ÖSTERGÖTLANDS LÄN</t>
        </is>
      </c>
      <c r="G279" t="inlineStr">
        <is>
          <t>NORRKÖPING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46233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46233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46233</v>
      </c>
      <c r="F282" t="inlineStr">
        <is>
          <t>ÖSTERGÖTLANDS LÄN</t>
        </is>
      </c>
      <c r="G282" t="inlineStr">
        <is>
          <t>NORRKÖPING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46233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46233</v>
      </c>
      <c r="F284" t="inlineStr">
        <is>
          <t>ÖSTERGÖTLANDS LÄN</t>
        </is>
      </c>
      <c r="G284" t="inlineStr">
        <is>
          <t>NORRKÖPING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46233</v>
      </c>
      <c r="F285" t="inlineStr">
        <is>
          <t>ÖSTERGÖTLANDS LÄN</t>
        </is>
      </c>
      <c r="G285" t="inlineStr">
        <is>
          <t>NORRKÖPING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46233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46233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46233</v>
      </c>
      <c r="F288" t="inlineStr">
        <is>
          <t>ÖSTERGÖTLANDS LÄN</t>
        </is>
      </c>
      <c r="G288" t="inlineStr">
        <is>
          <t>NORRKÖPING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46233</v>
      </c>
      <c r="F289" t="inlineStr">
        <is>
          <t>ÖSTERGÖTLANDS LÄN</t>
        </is>
      </c>
      <c r="G289" t="inlineStr">
        <is>
          <t>NORRKÖPING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46233</v>
      </c>
      <c r="F290" t="inlineStr">
        <is>
          <t>ÖSTERGÖTLANDS LÄN</t>
        </is>
      </c>
      <c r="G290" t="inlineStr">
        <is>
          <t>NORRKÖPING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44582</v>
      </c>
      <c r="E291" s="1" t="n">
        <v>46233</v>
      </c>
      <c r="F291" t="inlineStr">
        <is>
          <t>ÖSTERGÖTLANDS LÄN</t>
        </is>
      </c>
      <c r="G291" t="inlineStr">
        <is>
          <t>NORRKÖPING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46233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Kommuner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46233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46233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46233</v>
      </c>
      <c r="F295" t="inlineStr">
        <is>
          <t>ÖSTERGÖTLANDS LÄN</t>
        </is>
      </c>
      <c r="G295" t="inlineStr">
        <is>
          <t>NORRKÖPING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46233</v>
      </c>
      <c r="F296" t="inlineStr">
        <is>
          <t>ÖSTERGÖTLANDS LÄN</t>
        </is>
      </c>
      <c r="G296" t="inlineStr">
        <is>
          <t>NORRKÖPING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46233</v>
      </c>
      <c r="F297" t="inlineStr">
        <is>
          <t>ÖSTERGÖTLANDS LÄN</t>
        </is>
      </c>
      <c r="G297" t="inlineStr">
        <is>
          <t>NORRKÖPING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46233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46233</v>
      </c>
      <c r="F299" t="inlineStr">
        <is>
          <t>ÖSTERGÖTLANDS LÄN</t>
        </is>
      </c>
      <c r="G299" t="inlineStr">
        <is>
          <t>NORRKÖPING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10393-2024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45365</v>
      </c>
      <c r="E300" s="1" t="n">
        <v>46233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Kommuner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46233</v>
      </c>
      <c r="F301" t="inlineStr">
        <is>
          <t>ÖSTERGÖTLANDS LÄN</t>
        </is>
      </c>
      <c r="G301" t="inlineStr">
        <is>
          <t>NORRKÖPING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46233</v>
      </c>
      <c r="F302" t="inlineStr">
        <is>
          <t>ÖSTERGÖTLANDS LÄN</t>
        </is>
      </c>
      <c r="G302" t="inlineStr">
        <is>
          <t>NORRKÖPING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46233</v>
      </c>
      <c r="F303" t="inlineStr">
        <is>
          <t>ÖSTERGÖTLANDS LÄN</t>
        </is>
      </c>
      <c r="G303" t="inlineStr">
        <is>
          <t>NORRKÖPING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45442</v>
      </c>
      <c r="E304" s="1" t="n">
        <v>46233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46233</v>
      </c>
      <c r="F305" t="inlineStr">
        <is>
          <t>ÖSTERGÖTLANDS LÄN</t>
        </is>
      </c>
      <c r="G305" t="inlineStr">
        <is>
          <t>NORRKÖPING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28750-2025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46233</v>
      </c>
      <c r="F306" t="inlineStr">
        <is>
          <t>ÖSTERGÖTLANDS LÄN</t>
        </is>
      </c>
      <c r="G306" t="inlineStr">
        <is>
          <t>NORRKÖPING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46233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45894</v>
      </c>
      <c r="E308" s="1" t="n">
        <v>46233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45030</v>
      </c>
      <c r="E309" s="1" t="n">
        <v>46233</v>
      </c>
      <c r="F309" t="inlineStr">
        <is>
          <t>ÖSTERGÖTLANDS LÄN</t>
        </is>
      </c>
      <c r="G309" t="inlineStr">
        <is>
          <t>NORRKÖPING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46233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46233</v>
      </c>
      <c r="F311" t="inlineStr">
        <is>
          <t>ÖSTERGÖTLANDS LÄN</t>
        </is>
      </c>
      <c r="G311" t="inlineStr">
        <is>
          <t>NORRKÖPING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46233</v>
      </c>
      <c r="F312" t="inlineStr">
        <is>
          <t>ÖSTERGÖTLANDS LÄN</t>
        </is>
      </c>
      <c r="G312" t="inlineStr">
        <is>
          <t>NORRKÖPING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44889</v>
      </c>
      <c r="E313" s="1" t="n">
        <v>46233</v>
      </c>
      <c r="F313" t="inlineStr">
        <is>
          <t>ÖSTERGÖTLANDS LÄN</t>
        </is>
      </c>
      <c r="G313" t="inlineStr">
        <is>
          <t>NORRKÖPING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46233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46233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45028</v>
      </c>
      <c r="E316" s="1" t="n">
        <v>46233</v>
      </c>
      <c r="F316" t="inlineStr">
        <is>
          <t>ÖSTERGÖTLANDS LÄN</t>
        </is>
      </c>
      <c r="G316" t="inlineStr">
        <is>
          <t>NORRKÖPING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46233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46233</v>
      </c>
      <c r="F318" t="inlineStr">
        <is>
          <t>ÖSTERGÖTLANDS LÄN</t>
        </is>
      </c>
      <c r="G318" t="inlineStr">
        <is>
          <t>NORRKÖPING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31850-2023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45106</v>
      </c>
      <c r="E319" s="1" t="n">
        <v>46233</v>
      </c>
      <c r="F319" t="inlineStr">
        <is>
          <t>ÖSTERGÖTLANDS LÄN</t>
        </is>
      </c>
      <c r="G319" t="inlineStr">
        <is>
          <t>NORRKÖPING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46233</v>
      </c>
      <c r="F320" t="inlineStr">
        <is>
          <t>ÖSTERGÖTLANDS LÄN</t>
        </is>
      </c>
      <c r="G320" t="inlineStr">
        <is>
          <t>NORRKÖPING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46233</v>
      </c>
      <c r="F321" t="inlineStr">
        <is>
          <t>ÖSTERGÖTLANDS LÄN</t>
        </is>
      </c>
      <c r="G321" t="inlineStr">
        <is>
          <t>NORRKÖPING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46233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46233</v>
      </c>
      <c r="F323" t="inlineStr">
        <is>
          <t>ÖSTERGÖTLANDS LÄN</t>
        </is>
      </c>
      <c r="G323" t="inlineStr">
        <is>
          <t>NORRKÖPING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42390-2021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44427</v>
      </c>
      <c r="E324" s="1" t="n">
        <v>46233</v>
      </c>
      <c r="F324" t="inlineStr">
        <is>
          <t>ÖSTERGÖTLANDS LÄN</t>
        </is>
      </c>
      <c r="G324" t="inlineStr">
        <is>
          <t>NORRKÖPING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46233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46233</v>
      </c>
      <c r="F326" t="inlineStr">
        <is>
          <t>ÖSTERGÖTLANDS LÄN</t>
        </is>
      </c>
      <c r="G326" t="inlineStr">
        <is>
          <t>NORRKÖPING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46046</v>
      </c>
      <c r="E327" s="1" t="n">
        <v>46233</v>
      </c>
      <c r="F327" t="inlineStr">
        <is>
          <t>ÖSTERGÖTLANDS LÄN</t>
        </is>
      </c>
      <c r="G327" t="inlineStr">
        <is>
          <t>NORRKÖPING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46233</v>
      </c>
      <c r="F328" t="inlineStr">
        <is>
          <t>ÖSTERGÖTLANDS LÄN</t>
        </is>
      </c>
      <c r="G328" t="inlineStr">
        <is>
          <t>NORRKÖPING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46233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Allmännings- och besparingsskogar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45369</v>
      </c>
      <c r="E330" s="1" t="n">
        <v>46233</v>
      </c>
      <c r="F330" t="inlineStr">
        <is>
          <t>ÖSTERGÖTLANDS LÄN</t>
        </is>
      </c>
      <c r="G330" t="inlineStr">
        <is>
          <t>NORRKÖPING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46046</v>
      </c>
      <c r="E331" s="1" t="n">
        <v>46233</v>
      </c>
      <c r="F331" t="inlineStr">
        <is>
          <t>ÖSTERGÖTLANDS LÄN</t>
        </is>
      </c>
      <c r="G331" t="inlineStr">
        <is>
          <t>NORRKÖPING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46233</v>
      </c>
      <c r="F332" t="inlineStr">
        <is>
          <t>ÖSTERGÖTLANDS LÄN</t>
        </is>
      </c>
      <c r="G332" t="inlineStr">
        <is>
          <t>NORRKÖPING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46233</v>
      </c>
      <c r="F333" t="inlineStr">
        <is>
          <t>ÖSTERGÖTLANDS LÄN</t>
        </is>
      </c>
      <c r="G333" t="inlineStr">
        <is>
          <t>NORRKÖPING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46233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46233</v>
      </c>
      <c r="F335" t="inlineStr">
        <is>
          <t>ÖSTERGÖTLANDS LÄN</t>
        </is>
      </c>
      <c r="G335" t="inlineStr">
        <is>
          <t>NORRKÖPING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46233</v>
      </c>
      <c r="F336" t="inlineStr">
        <is>
          <t>ÖSTERGÖTLANDS LÄN</t>
        </is>
      </c>
      <c r="G336" t="inlineStr">
        <is>
          <t>NORRKÖPING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46233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44974</v>
      </c>
      <c r="E338" s="1" t="n">
        <v>46233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33246-2025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45840</v>
      </c>
      <c r="E339" s="1" t="n">
        <v>46233</v>
      </c>
      <c r="F339" t="inlineStr">
        <is>
          <t>ÖSTERGÖTLANDS LÄN</t>
        </is>
      </c>
      <c r="G339" t="inlineStr">
        <is>
          <t>NORRKÖPING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44943</v>
      </c>
      <c r="E340" s="1" t="n">
        <v>46233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46233</v>
      </c>
      <c r="F341" t="inlineStr">
        <is>
          <t>ÖSTERGÖTLANDS LÄN</t>
        </is>
      </c>
      <c r="G341" t="inlineStr">
        <is>
          <t>NORRKÖPING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46233</v>
      </c>
      <c r="F342" t="inlineStr">
        <is>
          <t>ÖSTERGÖTLANDS LÄN</t>
        </is>
      </c>
      <c r="G342" t="inlineStr">
        <is>
          <t>NORRKÖPING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45174</v>
      </c>
      <c r="E343" s="1" t="n">
        <v>46233</v>
      </c>
      <c r="F343" t="inlineStr">
        <is>
          <t>ÖSTERGÖTLANDS LÄN</t>
        </is>
      </c>
      <c r="G343" t="inlineStr">
        <is>
          <t>NORRKÖPING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45174</v>
      </c>
      <c r="E344" s="1" t="n">
        <v>46233</v>
      </c>
      <c r="F344" t="inlineStr">
        <is>
          <t>ÖSTERGÖTLANDS LÄN</t>
        </is>
      </c>
      <c r="G344" t="inlineStr">
        <is>
          <t>NORRKÖPING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47895-2021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44448</v>
      </c>
      <c r="E345" s="1" t="n">
        <v>46233</v>
      </c>
      <c r="F345" t="inlineStr">
        <is>
          <t>ÖSTERGÖTLANDS LÄN</t>
        </is>
      </c>
      <c r="G345" t="inlineStr">
        <is>
          <t>NORRKÖPING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46233</v>
      </c>
      <c r="F346" t="inlineStr">
        <is>
          <t>ÖSTERGÖTLANDS LÄN</t>
        </is>
      </c>
      <c r="G346" t="inlineStr">
        <is>
          <t>NORRKÖPING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46233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46233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46233</v>
      </c>
      <c r="F349" t="inlineStr">
        <is>
          <t>ÖSTERGÖTLANDS LÄN</t>
        </is>
      </c>
      <c r="G349" t="inlineStr">
        <is>
          <t>NORRKÖPING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45453</v>
      </c>
      <c r="E350" s="1" t="n">
        <v>46233</v>
      </c>
      <c r="F350" t="inlineStr">
        <is>
          <t>ÖSTERGÖTLANDS LÄN</t>
        </is>
      </c>
      <c r="G350" t="inlineStr">
        <is>
          <t>NORRKÖPING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46233</v>
      </c>
      <c r="F351" t="inlineStr">
        <is>
          <t>ÖSTERGÖTLANDS LÄN</t>
        </is>
      </c>
      <c r="G351" t="inlineStr">
        <is>
          <t>NORRKÖPING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46233</v>
      </c>
      <c r="F352" t="inlineStr">
        <is>
          <t>ÖSTERGÖTLANDS LÄN</t>
        </is>
      </c>
      <c r="G352" t="inlineStr">
        <is>
          <t>NORRKÖPING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46233</v>
      </c>
      <c r="F353" t="inlineStr">
        <is>
          <t>ÖSTERGÖTLANDS LÄN</t>
        </is>
      </c>
      <c r="G353" t="inlineStr">
        <is>
          <t>NORRKÖPING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46233</v>
      </c>
      <c r="F354" t="inlineStr">
        <is>
          <t>ÖSTERGÖTLANDS LÄN</t>
        </is>
      </c>
      <c r="G354" t="inlineStr">
        <is>
          <t>NORRKÖPING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46233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46233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46233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46233</v>
      </c>
      <c r="F358" t="inlineStr">
        <is>
          <t>ÖSTERGÖTLANDS LÄN</t>
        </is>
      </c>
      <c r="G358" t="inlineStr">
        <is>
          <t>NORRKÖPING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46233</v>
      </c>
      <c r="F359" t="inlineStr">
        <is>
          <t>ÖSTERGÖTLANDS LÄN</t>
        </is>
      </c>
      <c r="G359" t="inlineStr">
        <is>
          <t>NORRKÖPING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46233</v>
      </c>
      <c r="F360" t="inlineStr">
        <is>
          <t>ÖSTERGÖTLANDS LÄN</t>
        </is>
      </c>
      <c r="G360" t="inlineStr">
        <is>
          <t>NORRKÖPING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46233</v>
      </c>
      <c r="F361" t="inlineStr">
        <is>
          <t>ÖSTERGÖTLANDS LÄN</t>
        </is>
      </c>
      <c r="G361" t="inlineStr">
        <is>
          <t>NORRKÖPING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45091</v>
      </c>
      <c r="E362" s="1" t="n">
        <v>46233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Allmännings- och besparingsskogar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46233</v>
      </c>
      <c r="F363" t="inlineStr">
        <is>
          <t>ÖSTERGÖTLANDS LÄN</t>
        </is>
      </c>
      <c r="G363" t="inlineStr">
        <is>
          <t>NORRKÖPING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46233</v>
      </c>
      <c r="F364" t="inlineStr">
        <is>
          <t>ÖSTERGÖTLANDS LÄN</t>
        </is>
      </c>
      <c r="G364" t="inlineStr">
        <is>
          <t>NORRKÖPING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30784-2023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45112</v>
      </c>
      <c r="E365" s="1" t="n">
        <v>46233</v>
      </c>
      <c r="F365" t="inlineStr">
        <is>
          <t>ÖSTERGÖTLANDS LÄN</t>
        </is>
      </c>
      <c r="G365" t="inlineStr">
        <is>
          <t>NORRKÖPING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17138-2022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44677</v>
      </c>
      <c r="E366" s="1" t="n">
        <v>46233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46233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Kommuner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44834</v>
      </c>
      <c r="E368" s="1" t="n">
        <v>46233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46233</v>
      </c>
      <c r="F369" t="inlineStr">
        <is>
          <t>ÖSTERGÖTLANDS LÄN</t>
        </is>
      </c>
      <c r="G369" t="inlineStr">
        <is>
          <t>NORRKÖPING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48500-2025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46233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46233</v>
      </c>
      <c r="F371" t="inlineStr">
        <is>
          <t>ÖSTERGÖTLANDS LÄN</t>
        </is>
      </c>
      <c r="G371" t="inlineStr">
        <is>
          <t>NORRKÖPING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44965</v>
      </c>
      <c r="E372" s="1" t="n">
        <v>46233</v>
      </c>
      <c r="F372" t="inlineStr">
        <is>
          <t>ÖSTERGÖTLANDS LÄN</t>
        </is>
      </c>
      <c r="G372" t="inlineStr">
        <is>
          <t>NORRKÖPING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46233</v>
      </c>
      <c r="F373" t="inlineStr">
        <is>
          <t>ÖSTERGÖTLANDS LÄN</t>
        </is>
      </c>
      <c r="G373" t="inlineStr">
        <is>
          <t>NORRKÖPING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46233</v>
      </c>
      <c r="F374" t="inlineStr">
        <is>
          <t>ÖSTERGÖTLANDS LÄN</t>
        </is>
      </c>
      <c r="G374" t="inlineStr">
        <is>
          <t>NORRKÖPING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44956</v>
      </c>
      <c r="E375" s="1" t="n">
        <v>46233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8805-2024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45356</v>
      </c>
      <c r="E376" s="1" t="n">
        <v>46233</v>
      </c>
      <c r="F376" t="inlineStr">
        <is>
          <t>ÖSTERGÖTLANDS LÄN</t>
        </is>
      </c>
      <c r="G376" t="inlineStr">
        <is>
          <t>NORRKÖPING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46233</v>
      </c>
      <c r="F377" t="inlineStr">
        <is>
          <t>ÖSTERGÖTLANDS LÄN</t>
        </is>
      </c>
      <c r="G377" t="inlineStr">
        <is>
          <t>NORRKÖPING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46233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44719</v>
      </c>
      <c r="E379" s="1" t="n">
        <v>46233</v>
      </c>
      <c r="F379" t="inlineStr">
        <is>
          <t>ÖSTERGÖTLANDS LÄN</t>
        </is>
      </c>
      <c r="G379" t="inlineStr">
        <is>
          <t>NORRKÖPING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45943</v>
      </c>
      <c r="E380" s="1" t="n">
        <v>46233</v>
      </c>
      <c r="F380" t="inlineStr">
        <is>
          <t>ÖSTERGÖTLANDS LÄN</t>
        </is>
      </c>
      <c r="G380" t="inlineStr">
        <is>
          <t>NORRKÖPING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46270-2024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46233</v>
      </c>
      <c r="F381" t="inlineStr">
        <is>
          <t>ÖSTERGÖTLANDS LÄN</t>
        </is>
      </c>
      <c r="G381" t="inlineStr">
        <is>
          <t>NORRKÖPING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46233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44573</v>
      </c>
      <c r="E383" s="1" t="n">
        <v>46233</v>
      </c>
      <c r="F383" t="inlineStr">
        <is>
          <t>ÖSTERGÖTLANDS LÄN</t>
        </is>
      </c>
      <c r="G383" t="inlineStr">
        <is>
          <t>NORRKÖPING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46233</v>
      </c>
      <c r="F384" t="inlineStr">
        <is>
          <t>ÖSTERGÖTLANDS LÄN</t>
        </is>
      </c>
      <c r="G384" t="inlineStr">
        <is>
          <t>NORRKÖPING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46233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46233</v>
      </c>
      <c r="F386" t="inlineStr">
        <is>
          <t>ÖSTERGÖTLANDS LÄN</t>
        </is>
      </c>
      <c r="G386" t="inlineStr">
        <is>
          <t>NORRKÖPING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64898-2021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44512</v>
      </c>
      <c r="E387" s="1" t="n">
        <v>46233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44970</v>
      </c>
      <c r="E388" s="1" t="n">
        <v>46233</v>
      </c>
      <c r="F388" t="inlineStr">
        <is>
          <t>ÖSTERGÖTLANDS LÄN</t>
        </is>
      </c>
      <c r="G388" t="inlineStr">
        <is>
          <t>NORRKÖPING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45362-2021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44439</v>
      </c>
      <c r="E389" s="1" t="n">
        <v>46233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Allmännings- och besparingsskogar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44980</v>
      </c>
      <c r="E390" s="1" t="n">
        <v>46233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45386</v>
      </c>
      <c r="E391" s="1" t="n">
        <v>46233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44721</v>
      </c>
      <c r="E392" s="1" t="n">
        <v>46233</v>
      </c>
      <c r="F392" t="inlineStr">
        <is>
          <t>ÖSTERGÖTLANDS LÄN</t>
        </is>
      </c>
      <c r="G392" t="inlineStr">
        <is>
          <t>NORRKÖPING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45114</v>
      </c>
      <c r="E393" s="1" t="n">
        <v>46233</v>
      </c>
      <c r="F393" t="inlineStr">
        <is>
          <t>ÖSTERGÖTLANDS LÄN</t>
        </is>
      </c>
      <c r="G393" t="inlineStr">
        <is>
          <t>NORRKÖPING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46233</v>
      </c>
      <c r="F394" t="inlineStr">
        <is>
          <t>ÖSTERGÖTLANDS LÄN</t>
        </is>
      </c>
      <c r="G394" t="inlineStr">
        <is>
          <t>NORRKÖPING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53694-2025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46233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46233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45961</v>
      </c>
      <c r="E397" s="1" t="n">
        <v>46233</v>
      </c>
      <c r="F397" t="inlineStr">
        <is>
          <t>ÖSTERGÖTLANDS LÄN</t>
        </is>
      </c>
      <c r="G397" t="inlineStr">
        <is>
          <t>NORRKÖPING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57376-2024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46233</v>
      </c>
      <c r="F398" t="inlineStr">
        <is>
          <t>ÖSTERGÖTLANDS LÄN</t>
        </is>
      </c>
      <c r="G398" t="inlineStr">
        <is>
          <t>NORRKÖPING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27735-2023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45098</v>
      </c>
      <c r="E399" s="1" t="n">
        <v>46233</v>
      </c>
      <c r="F399" t="inlineStr">
        <is>
          <t>ÖSTERGÖTLANDS LÄN</t>
        </is>
      </c>
      <c r="G399" t="inlineStr">
        <is>
          <t>NORRKÖPING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36887-2022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44805</v>
      </c>
      <c r="E400" s="1" t="n">
        <v>46233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Allmännings- och besparingsskogar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45117</v>
      </c>
      <c r="E401" s="1" t="n">
        <v>46233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45582</v>
      </c>
      <c r="E402" s="1" t="n">
        <v>46233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Allmännings- och besparingsskogar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49818-2024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45597</v>
      </c>
      <c r="E403" s="1" t="n">
        <v>46233</v>
      </c>
      <c r="F403" t="inlineStr">
        <is>
          <t>ÖSTERGÖTLANDS LÄN</t>
        </is>
      </c>
      <c r="G403" t="inlineStr">
        <is>
          <t>NORRKÖPING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46233</v>
      </c>
      <c r="F404" t="inlineStr">
        <is>
          <t>ÖSTERGÖTLANDS LÄN</t>
        </is>
      </c>
      <c r="G404" t="inlineStr">
        <is>
          <t>NORRKÖPING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46233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Kyrkan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46233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Kyrkan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45726</v>
      </c>
      <c r="E407" s="1" t="n">
        <v>46233</v>
      </c>
      <c r="F407" t="inlineStr">
        <is>
          <t>ÖSTERGÖTLANDS LÄN</t>
        </is>
      </c>
      <c r="G407" t="inlineStr">
        <is>
          <t>NORRKÖPING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44713</v>
      </c>
      <c r="E408" s="1" t="n">
        <v>46233</v>
      </c>
      <c r="F408" t="inlineStr">
        <is>
          <t>ÖSTERGÖTLANDS LÄN</t>
        </is>
      </c>
      <c r="G408" t="inlineStr">
        <is>
          <t>NORRKÖPING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32511-2023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46233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15402-2025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46233</v>
      </c>
      <c r="F410" t="inlineStr">
        <is>
          <t>ÖSTERGÖTLANDS LÄN</t>
        </is>
      </c>
      <c r="G410" t="inlineStr">
        <is>
          <t>NORRKÖPING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47051-2023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45201</v>
      </c>
      <c r="E411" s="1" t="n">
        <v>46233</v>
      </c>
      <c r="F411" t="inlineStr">
        <is>
          <t>ÖSTERGÖTLANDS LÄN</t>
        </is>
      </c>
      <c r="G411" t="inlineStr">
        <is>
          <t>NORRKÖPING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46233</v>
      </c>
      <c r="F412" t="inlineStr">
        <is>
          <t>ÖSTERGÖTLANDS LÄN</t>
        </is>
      </c>
      <c r="G412" t="inlineStr">
        <is>
          <t>NORRKÖPING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46233</v>
      </c>
      <c r="F413" t="inlineStr">
        <is>
          <t>ÖSTERGÖTLANDS LÄN</t>
        </is>
      </c>
      <c r="G413" t="inlineStr">
        <is>
          <t>NORRKÖPING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46233</v>
      </c>
      <c r="F414" t="inlineStr">
        <is>
          <t>ÖSTERGÖTLANDS LÄN</t>
        </is>
      </c>
      <c r="G414" t="inlineStr">
        <is>
          <t>NORRKÖPING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47477-2022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46233</v>
      </c>
      <c r="F415" t="inlineStr">
        <is>
          <t>ÖSTERGÖTLANDS LÄN</t>
        </is>
      </c>
      <c r="G415" t="inlineStr">
        <is>
          <t>NORRKÖPING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46233</v>
      </c>
      <c r="F416" t="inlineStr">
        <is>
          <t>ÖSTERGÖTLANDS LÄN</t>
        </is>
      </c>
      <c r="G416" t="inlineStr">
        <is>
          <t>NORRKÖPING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46233</v>
      </c>
      <c r="F417" t="inlineStr">
        <is>
          <t>ÖSTERGÖTLANDS LÄN</t>
        </is>
      </c>
      <c r="G417" t="inlineStr">
        <is>
          <t>NORRKÖPING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46233</v>
      </c>
      <c r="F418" t="inlineStr">
        <is>
          <t>ÖSTERGÖTLANDS LÄN</t>
        </is>
      </c>
      <c r="G418" t="inlineStr">
        <is>
          <t>NORRKÖPING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12511-2023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44999</v>
      </c>
      <c r="E419" s="1" t="n">
        <v>46233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Allmännings- och besparingsskogar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30095-2023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46233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41223-2022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44826</v>
      </c>
      <c r="E421" s="1" t="n">
        <v>46233</v>
      </c>
      <c r="F421" t="inlineStr">
        <is>
          <t>ÖSTERGÖTLANDS LÄN</t>
        </is>
      </c>
      <c r="G421" t="inlineStr">
        <is>
          <t>NORRKÖPING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21664-2024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45442</v>
      </c>
      <c r="E422" s="1" t="n">
        <v>46233</v>
      </c>
      <c r="F422" t="inlineStr">
        <is>
          <t>ÖSTERGÖTLANDS LÄN</t>
        </is>
      </c>
      <c r="G422" t="inlineStr">
        <is>
          <t>NORRKÖPING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46233</v>
      </c>
      <c r="F423" t="inlineStr">
        <is>
          <t>ÖSTERGÖTLANDS LÄN</t>
        </is>
      </c>
      <c r="G423" t="inlineStr">
        <is>
          <t>NORRKÖPING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21772-2024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45442</v>
      </c>
      <c r="E424" s="1" t="n">
        <v>46233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45975</v>
      </c>
      <c r="E425" s="1" t="n">
        <v>46233</v>
      </c>
      <c r="F425" t="inlineStr">
        <is>
          <t>ÖSTERGÖTLANDS LÄN</t>
        </is>
      </c>
      <c r="G425" t="inlineStr">
        <is>
          <t>NORRKÖPING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56689-2025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45976</v>
      </c>
      <c r="E426" s="1" t="n">
        <v>46233</v>
      </c>
      <c r="F426" t="inlineStr">
        <is>
          <t>ÖSTERGÖTLANDS LÄN</t>
        </is>
      </c>
      <c r="G426" t="inlineStr">
        <is>
          <t>NORRKÖPING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46233</v>
      </c>
      <c r="F427" t="inlineStr">
        <is>
          <t>ÖSTERGÖTLANDS LÄN</t>
        </is>
      </c>
      <c r="G427" t="inlineStr">
        <is>
          <t>NORRKÖPING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45008</v>
      </c>
      <c r="E428" s="1" t="n">
        <v>46233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44980</v>
      </c>
      <c r="E429" s="1" t="n">
        <v>46233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46233</v>
      </c>
      <c r="F430" t="inlineStr">
        <is>
          <t>ÖSTERGÖTLANDS LÄN</t>
        </is>
      </c>
      <c r="G430" t="inlineStr">
        <is>
          <t>NORRKÖPING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14611-2023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45013</v>
      </c>
      <c r="E431" s="1" t="n">
        <v>46233</v>
      </c>
      <c r="F431" t="inlineStr">
        <is>
          <t>ÖSTERGÖTLANDS LÄN</t>
        </is>
      </c>
      <c r="G431" t="inlineStr">
        <is>
          <t>NORRKÖPING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45229</v>
      </c>
      <c r="E432" s="1" t="n">
        <v>46233</v>
      </c>
      <c r="F432" t="inlineStr">
        <is>
          <t>ÖSTERGÖTLANDS LÄN</t>
        </is>
      </c>
      <c r="G432" t="inlineStr">
        <is>
          <t>NORRKÖPING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45764</v>
      </c>
      <c r="E433" s="1" t="n">
        <v>46233</v>
      </c>
      <c r="F433" t="inlineStr">
        <is>
          <t>ÖSTERGÖTLANDS LÄN</t>
        </is>
      </c>
      <c r="G433" t="inlineStr">
        <is>
          <t>NORRKÖPING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46233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9532-2025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46233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46233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Allmännings- och besparingsskogar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44992</v>
      </c>
      <c r="E437" s="1" t="n">
        <v>46233</v>
      </c>
      <c r="F437" t="inlineStr">
        <is>
          <t>ÖSTERGÖTLANDS LÄN</t>
        </is>
      </c>
      <c r="G437" t="inlineStr">
        <is>
          <t>NORRKÖPING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44575</v>
      </c>
      <c r="E438" s="1" t="n">
        <v>46233</v>
      </c>
      <c r="F438" t="inlineStr">
        <is>
          <t>ÖSTERGÖTLANDS LÄN</t>
        </is>
      </c>
      <c r="G438" t="inlineStr">
        <is>
          <t>NORRKÖPING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44957</v>
      </c>
      <c r="E439" s="1" t="n">
        <v>46233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44945</v>
      </c>
      <c r="E440" s="1" t="n">
        <v>46233</v>
      </c>
      <c r="F440" t="inlineStr">
        <is>
          <t>ÖSTERGÖTLANDS LÄN</t>
        </is>
      </c>
      <c r="G440" t="inlineStr">
        <is>
          <t>NORRKÖPING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45093</v>
      </c>
      <c r="E441" s="1" t="n">
        <v>46233</v>
      </c>
      <c r="F441" t="inlineStr">
        <is>
          <t>ÖSTERGÖTLANDS LÄN</t>
        </is>
      </c>
      <c r="G441" t="inlineStr">
        <is>
          <t>NORRKÖPING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46233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46233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46233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58330-2025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46233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63349-2023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45274</v>
      </c>
      <c r="E446" s="1" t="n">
        <v>46233</v>
      </c>
      <c r="F446" t="inlineStr">
        <is>
          <t>ÖSTERGÖTLANDS LÄN</t>
        </is>
      </c>
      <c r="G446" t="inlineStr">
        <is>
          <t>NORRKÖPING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45254</v>
      </c>
      <c r="E447" s="1" t="n">
        <v>46233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23630-2023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45077</v>
      </c>
      <c r="E448" s="1" t="n">
        <v>46233</v>
      </c>
      <c r="F448" t="inlineStr">
        <is>
          <t>ÖSTERGÖTLANDS LÄN</t>
        </is>
      </c>
      <c r="G448" t="inlineStr">
        <is>
          <t>NORRKÖPING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31801-2024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45509</v>
      </c>
      <c r="E449" s="1" t="n">
        <v>46233</v>
      </c>
      <c r="F449" t="inlineStr">
        <is>
          <t>ÖSTERGÖTLANDS LÄN</t>
        </is>
      </c>
      <c r="G449" t="inlineStr">
        <is>
          <t>NORRKÖPING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46233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45043</v>
      </c>
      <c r="E451" s="1" t="n">
        <v>46233</v>
      </c>
      <c r="F451" t="inlineStr">
        <is>
          <t>ÖSTERGÖTLANDS LÄN</t>
        </is>
      </c>
      <c r="G451" t="inlineStr">
        <is>
          <t>NORRKÖPING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46233</v>
      </c>
      <c r="F452" t="inlineStr">
        <is>
          <t>ÖSTERGÖTLANDS LÄN</t>
        </is>
      </c>
      <c r="G452" t="inlineStr">
        <is>
          <t>NORRKÖPING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46233</v>
      </c>
      <c r="F453" t="inlineStr">
        <is>
          <t>ÖSTERGÖTLANDS LÄN</t>
        </is>
      </c>
      <c r="G453" t="inlineStr">
        <is>
          <t>NORRKÖPING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46090</v>
      </c>
      <c r="E454" s="1" t="n">
        <v>46233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46233</v>
      </c>
      <c r="F455" t="inlineStr">
        <is>
          <t>ÖSTERGÖTLANDS LÄN</t>
        </is>
      </c>
      <c r="G455" t="inlineStr">
        <is>
          <t>NORRKÖPING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46233</v>
      </c>
      <c r="F456" t="inlineStr">
        <is>
          <t>ÖSTERGÖTLANDS LÄN</t>
        </is>
      </c>
      <c r="G456" t="inlineStr">
        <is>
          <t>NORRKÖPING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46233</v>
      </c>
      <c r="F457" t="inlineStr">
        <is>
          <t>ÖSTERGÖTLANDS LÄN</t>
        </is>
      </c>
      <c r="G457" t="inlineStr">
        <is>
          <t>NORRKÖPING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46233</v>
      </c>
      <c r="F458" t="inlineStr">
        <is>
          <t>ÖSTERGÖTLANDS LÄN</t>
        </is>
      </c>
      <c r="G458" t="inlineStr">
        <is>
          <t>NORRKÖPING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13228-2026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46233</v>
      </c>
      <c r="F459" t="inlineStr">
        <is>
          <t>ÖSTERGÖTLANDS LÄN</t>
        </is>
      </c>
      <c r="G459" t="inlineStr">
        <is>
          <t>NORRKÖPING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46233</v>
      </c>
      <c r="F460" t="inlineStr">
        <is>
          <t>ÖSTERGÖTLANDS LÄN</t>
        </is>
      </c>
      <c r="G460" t="inlineStr">
        <is>
          <t>NORRKÖPING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46233</v>
      </c>
      <c r="F461" t="inlineStr">
        <is>
          <t>ÖSTERGÖTLANDS LÄN</t>
        </is>
      </c>
      <c r="G461" t="inlineStr">
        <is>
          <t>NORRKÖPING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46233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46233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46233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19259-2023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45049</v>
      </c>
      <c r="E465" s="1" t="n">
        <v>46233</v>
      </c>
      <c r="F465" t="inlineStr">
        <is>
          <t>ÖSTERGÖTLANDS LÄN</t>
        </is>
      </c>
      <c r="G465" t="inlineStr">
        <is>
          <t>NORRKÖPING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46233</v>
      </c>
      <c r="F466" t="inlineStr">
        <is>
          <t>ÖSTERGÖTLANDS LÄN</t>
        </is>
      </c>
      <c r="G466" t="inlineStr">
        <is>
          <t>NORRKÖPING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2021-2023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44939</v>
      </c>
      <c r="E467" s="1" t="n">
        <v>46233</v>
      </c>
      <c r="F467" t="inlineStr">
        <is>
          <t>ÖSTERGÖTLANDS LÄN</t>
        </is>
      </c>
      <c r="G467" t="inlineStr">
        <is>
          <t>NORRKÖPING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14503-2023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45012</v>
      </c>
      <c r="E468" s="1" t="n">
        <v>46233</v>
      </c>
      <c r="F468" t="inlineStr">
        <is>
          <t>ÖSTERGÖTLANDS LÄN</t>
        </is>
      </c>
      <c r="G468" t="inlineStr">
        <is>
          <t>NORRKÖPING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46233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Kyrkan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45769</v>
      </c>
      <c r="E470" s="1" t="n">
        <v>46233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46233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45769</v>
      </c>
      <c r="E472" s="1" t="n">
        <v>46233</v>
      </c>
      <c r="F472" t="inlineStr">
        <is>
          <t>ÖSTERGÖTLANDS LÄN</t>
        </is>
      </c>
      <c r="G472" t="inlineStr">
        <is>
          <t>NORRKÖPING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45769</v>
      </c>
      <c r="E473" s="1" t="n">
        <v>46233</v>
      </c>
      <c r="F473" t="inlineStr">
        <is>
          <t>ÖSTERGÖTLANDS LÄN</t>
        </is>
      </c>
      <c r="G473" t="inlineStr">
        <is>
          <t>NORRKÖPING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46233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49452-2021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44454</v>
      </c>
      <c r="E475" s="1" t="n">
        <v>46233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45733</v>
      </c>
      <c r="E476" s="1" t="n">
        <v>46233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49060-2022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44860</v>
      </c>
      <c r="E477" s="1" t="n">
        <v>46233</v>
      </c>
      <c r="F477" t="inlineStr">
        <is>
          <t>ÖSTERGÖTLANDS LÄN</t>
        </is>
      </c>
      <c r="G477" t="inlineStr">
        <is>
          <t>NORRKÖPING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45741</v>
      </c>
      <c r="E478" s="1" t="n">
        <v>46233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Allmännings- och besparingsskogar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45362-2021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44439</v>
      </c>
      <c r="E479" s="1" t="n">
        <v>46233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46233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44896</v>
      </c>
      <c r="E481" s="1" t="n">
        <v>46233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46233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46233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62108-2025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46233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57979-2022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46233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62370-2025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46007</v>
      </c>
      <c r="E486" s="1" t="n">
        <v>46233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46233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46233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45769</v>
      </c>
      <c r="E489" s="1" t="n">
        <v>46233</v>
      </c>
      <c r="F489" t="inlineStr">
        <is>
          <t>ÖSTERGÖTLANDS LÄN</t>
        </is>
      </c>
      <c r="G489" t="inlineStr">
        <is>
          <t>NORRKÖPING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63229-2025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46233</v>
      </c>
      <c r="F490" t="inlineStr">
        <is>
          <t>ÖSTERGÖTLANDS LÄN</t>
        </is>
      </c>
      <c r="G490" t="inlineStr">
        <is>
          <t>NORRKÖPING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57733-2022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44897</v>
      </c>
      <c r="E491" s="1" t="n">
        <v>46233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44928</v>
      </c>
      <c r="E492" s="1" t="n">
        <v>46233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46233</v>
      </c>
      <c r="F493" t="inlineStr">
        <is>
          <t>ÖSTERGÖTLANDS LÄN</t>
        </is>
      </c>
      <c r="G493" t="inlineStr">
        <is>
          <t>NORRKÖPING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63168-2025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46233</v>
      </c>
      <c r="F494" t="inlineStr">
        <is>
          <t>ÖSTERGÖTLANDS LÄN</t>
        </is>
      </c>
      <c r="G494" t="inlineStr">
        <is>
          <t>NORRKÖPING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46233</v>
      </c>
      <c r="F495" t="inlineStr">
        <is>
          <t>ÖSTERGÖTLANDS LÄN</t>
        </is>
      </c>
      <c r="G495" t="inlineStr">
        <is>
          <t>NORRKÖPING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62376-2022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44923</v>
      </c>
      <c r="E496" s="1" t="n">
        <v>46233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15531-2026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46233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16083-2026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46233</v>
      </c>
      <c r="F498" t="inlineStr">
        <is>
          <t>ÖSTERGÖTLANDS LÄN</t>
        </is>
      </c>
      <c r="G498" t="inlineStr">
        <is>
          <t>NORRKÖPING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59586-2022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46233</v>
      </c>
      <c r="F499" t="inlineStr">
        <is>
          <t>ÖSTERGÖTLANDS LÄN</t>
        </is>
      </c>
      <c r="G499" t="inlineStr">
        <is>
          <t>NORRKÖPING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46233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45436</v>
      </c>
      <c r="E501" s="1" t="n">
        <v>46233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32630-2022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44783</v>
      </c>
      <c r="E502" s="1" t="n">
        <v>46233</v>
      </c>
      <c r="F502" t="inlineStr">
        <is>
          <t>ÖSTERGÖTLANDS LÄN</t>
        </is>
      </c>
      <c r="G502" t="inlineStr">
        <is>
          <t>NORRKÖPING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46010</v>
      </c>
      <c r="E503" s="1" t="n">
        <v>46233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Allmännings- och besparingsskogar</t>
        </is>
      </c>
      <c r="I503" t="n">
        <v>11.6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45716</v>
      </c>
      <c r="E504" s="1" t="n">
        <v>46233</v>
      </c>
      <c r="F504" t="inlineStr">
        <is>
          <t>ÖSTERGÖTLANDS LÄN</t>
        </is>
      </c>
      <c r="G504" t="inlineStr">
        <is>
          <t>NORRKÖPING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46233</v>
      </c>
      <c r="F505" t="inlineStr">
        <is>
          <t>ÖSTERGÖTLANDS LÄN</t>
        </is>
      </c>
      <c r="G505" t="inlineStr">
        <is>
          <t>NORRKÖPING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46233</v>
      </c>
      <c r="F506" t="inlineStr">
        <is>
          <t>ÖSTERGÖTLANDS LÄN</t>
        </is>
      </c>
      <c r="G506" t="inlineStr">
        <is>
          <t>NORRKÖPING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46233</v>
      </c>
      <c r="F507" t="inlineStr">
        <is>
          <t>ÖSTERGÖTLANDS LÄN</t>
        </is>
      </c>
      <c r="G507" t="inlineStr">
        <is>
          <t>NORRKÖPING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46233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45379</v>
      </c>
      <c r="E509" s="1" t="n">
        <v>46233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46233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12.4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56210-2023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45240</v>
      </c>
      <c r="E511" s="1" t="n">
        <v>46233</v>
      </c>
      <c r="F511" t="inlineStr">
        <is>
          <t>ÖSTERGÖTLANDS LÄN</t>
        </is>
      </c>
      <c r="G511" t="inlineStr">
        <is>
          <t>NORRKÖPING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46233</v>
      </c>
      <c r="F512" t="inlineStr">
        <is>
          <t>ÖSTERGÖTLANDS LÄN</t>
        </is>
      </c>
      <c r="G512" t="inlineStr">
        <is>
          <t>NORRKÖPING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45339</v>
      </c>
      <c r="E513" s="1" t="n">
        <v>46233</v>
      </c>
      <c r="F513" t="inlineStr">
        <is>
          <t>ÖSTERGÖTLANDS LÄN</t>
        </is>
      </c>
      <c r="G513" t="inlineStr">
        <is>
          <t>NORRKÖPING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16590-2024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45408</v>
      </c>
      <c r="E514" s="1" t="n">
        <v>46233</v>
      </c>
      <c r="F514" t="inlineStr">
        <is>
          <t>ÖSTERGÖTLANDS LÄN</t>
        </is>
      </c>
      <c r="G514" t="inlineStr">
        <is>
          <t>NORRKÖPING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46233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46233</v>
      </c>
      <c r="F516" t="inlineStr">
        <is>
          <t>ÖSTERGÖTLANDS LÄN</t>
        </is>
      </c>
      <c r="G516" t="inlineStr">
        <is>
          <t>NORRKÖPING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45254</v>
      </c>
      <c r="E517" s="1" t="n">
        <v>46233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BillerudKorsnäs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7709-2022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44607</v>
      </c>
      <c r="E518" s="1" t="n">
        <v>46233</v>
      </c>
      <c r="F518" t="inlineStr">
        <is>
          <t>ÖSTERGÖTLANDS LÄN</t>
        </is>
      </c>
      <c r="G518" t="inlineStr">
        <is>
          <t>NORRKÖPING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44950</v>
      </c>
      <c r="E519" s="1" t="n">
        <v>46233</v>
      </c>
      <c r="F519" t="inlineStr">
        <is>
          <t>ÖSTERGÖTLANDS LÄN</t>
        </is>
      </c>
      <c r="G519" t="inlineStr">
        <is>
          <t>NORRKÖPING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45092</v>
      </c>
      <c r="E520" s="1" t="n">
        <v>46233</v>
      </c>
      <c r="F520" t="inlineStr">
        <is>
          <t>ÖSTERGÖTLANDS LÄN</t>
        </is>
      </c>
      <c r="G520" t="inlineStr">
        <is>
          <t>NORRKÖPING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45006</v>
      </c>
      <c r="E521" s="1" t="n">
        <v>46233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45030</v>
      </c>
      <c r="E522" s="1" t="n">
        <v>46233</v>
      </c>
      <c r="F522" t="inlineStr">
        <is>
          <t>ÖSTERGÖTLANDS LÄN</t>
        </is>
      </c>
      <c r="G522" t="inlineStr">
        <is>
          <t>NORRKÖPING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16708-2023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45030</v>
      </c>
      <c r="E523" s="1" t="n">
        <v>46233</v>
      </c>
      <c r="F523" t="inlineStr">
        <is>
          <t>ÖSTERGÖTLANDS LÄN</t>
        </is>
      </c>
      <c r="G523" t="inlineStr">
        <is>
          <t>NORRKÖPING</t>
        </is>
      </c>
      <c r="I523" t="n">
        <v>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44994</v>
      </c>
      <c r="E524" s="1" t="n">
        <v>46233</v>
      </c>
      <c r="F524" t="inlineStr">
        <is>
          <t>ÖSTERGÖTLANDS LÄN</t>
        </is>
      </c>
      <c r="G524" t="inlineStr">
        <is>
          <t>NORRKÖPING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46128</v>
      </c>
      <c r="E525" s="1" t="n">
        <v>46233</v>
      </c>
      <c r="F525" t="inlineStr">
        <is>
          <t>ÖSTERGÖTLANDS LÄN</t>
        </is>
      </c>
      <c r="G525" t="inlineStr">
        <is>
          <t>NORRKÖPING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45110</v>
      </c>
      <c r="E526" s="1" t="n">
        <v>46233</v>
      </c>
      <c r="F526" t="inlineStr">
        <is>
          <t>ÖSTERGÖTLANDS LÄN</t>
        </is>
      </c>
      <c r="G526" t="inlineStr">
        <is>
          <t>NORRKÖPING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30159-2023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45110</v>
      </c>
      <c r="E527" s="1" t="n">
        <v>46233</v>
      </c>
      <c r="F527" t="inlineStr">
        <is>
          <t>ÖSTERGÖTLANDS LÄN</t>
        </is>
      </c>
      <c r="G527" t="inlineStr">
        <is>
          <t>NORRKÖPING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18812-2026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46233</v>
      </c>
      <c r="F528" t="inlineStr">
        <is>
          <t>ÖSTERGÖTLANDS LÄN</t>
        </is>
      </c>
      <c r="G528" t="inlineStr">
        <is>
          <t>NORRKÖPING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34393-2023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46233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Allmännings- och besparingsskogar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28600-2024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46233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45370</v>
      </c>
      <c r="E531" s="1" t="n">
        <v>46233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44957</v>
      </c>
      <c r="E532" s="1" t="n">
        <v>46233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59768-2021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44494</v>
      </c>
      <c r="E533" s="1" t="n">
        <v>46233</v>
      </c>
      <c r="F533" t="inlineStr">
        <is>
          <t>ÖSTERGÖTLANDS LÄN</t>
        </is>
      </c>
      <c r="G533" t="inlineStr">
        <is>
          <t>NORRKÖPING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46233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19785-2025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46233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45836</v>
      </c>
      <c r="E536" s="1" t="n">
        <v>46233</v>
      </c>
      <c r="F536" t="inlineStr">
        <is>
          <t>ÖSTERGÖTLANDS LÄN</t>
        </is>
      </c>
      <c r="G536" t="inlineStr">
        <is>
          <t>NORRKÖPING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38571-2025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45884</v>
      </c>
      <c r="E537" s="1" t="n">
        <v>46233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39224-2025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45889</v>
      </c>
      <c r="E538" s="1" t="n">
        <v>46233</v>
      </c>
      <c r="F538" t="inlineStr">
        <is>
          <t>ÖSTERGÖTLANDS LÄN</t>
        </is>
      </c>
      <c r="G538" t="inlineStr">
        <is>
          <t>NORRKÖPING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46205-2025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46233</v>
      </c>
      <c r="F539" t="inlineStr">
        <is>
          <t>ÖSTERGÖTLANDS LÄN</t>
        </is>
      </c>
      <c r="G539" t="inlineStr">
        <is>
          <t>NORRKÖPING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20001-2026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46135</v>
      </c>
      <c r="E540" s="1" t="n">
        <v>46233</v>
      </c>
      <c r="F540" t="inlineStr">
        <is>
          <t>ÖSTERGÖTLANDS LÄN</t>
        </is>
      </c>
      <c r="G540" t="inlineStr">
        <is>
          <t>NORRKÖPING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46135</v>
      </c>
      <c r="E541" s="1" t="n">
        <v>46233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45657</v>
      </c>
      <c r="E542" s="1" t="n">
        <v>46233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6.6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46233</v>
      </c>
      <c r="F543" t="inlineStr">
        <is>
          <t>ÖSTERGÖTLANDS LÄN</t>
        </is>
      </c>
      <c r="G543" t="inlineStr">
        <is>
          <t>NORRKÖPING</t>
        </is>
      </c>
      <c r="I543" t="n">
        <v>24.7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46233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31364-2025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45833</v>
      </c>
      <c r="E545" s="1" t="n">
        <v>46233</v>
      </c>
      <c r="F545" t="inlineStr">
        <is>
          <t>ÖSTERGÖTLANDS LÄN</t>
        </is>
      </c>
      <c r="G545" t="inlineStr">
        <is>
          <t>NORRKÖPING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33170-2023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45126</v>
      </c>
      <c r="E546" s="1" t="n">
        <v>46233</v>
      </c>
      <c r="F546" t="inlineStr">
        <is>
          <t>ÖSTERGÖTLANDS LÄN</t>
        </is>
      </c>
      <c r="G546" t="inlineStr">
        <is>
          <t>NORRKÖPING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33171-2023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45126</v>
      </c>
      <c r="E547" s="1" t="n">
        <v>46233</v>
      </c>
      <c r="F547" t="inlineStr">
        <is>
          <t>ÖSTERGÖTLANDS LÄN</t>
        </is>
      </c>
      <c r="G547" t="inlineStr">
        <is>
          <t>NORRKÖPING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34977-2023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45141</v>
      </c>
      <c r="E548" s="1" t="n">
        <v>46233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Allmännings- och besparingsskogar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54851-2025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46233</v>
      </c>
      <c r="F549" t="inlineStr">
        <is>
          <t>ÖSTERGÖTLANDS LÄN</t>
        </is>
      </c>
      <c r="G549" t="inlineStr">
        <is>
          <t>NORRKÖPING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46136</v>
      </c>
      <c r="E550" s="1" t="n">
        <v>46233</v>
      </c>
      <c r="F550" t="inlineStr">
        <is>
          <t>ÖSTERGÖTLANDS LÄN</t>
        </is>
      </c>
      <c r="G550" t="inlineStr">
        <is>
          <t>NORRKÖPING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45145</v>
      </c>
      <c r="E551" s="1" t="n">
        <v>46233</v>
      </c>
      <c r="F551" t="inlineStr">
        <is>
          <t>ÖSTERGÖTLANDS LÄN</t>
        </is>
      </c>
      <c r="G551" t="inlineStr">
        <is>
          <t>NORRKÖPING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45400</v>
      </c>
      <c r="E552" s="1" t="n">
        <v>46233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39861-2025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45891</v>
      </c>
      <c r="E553" s="1" t="n">
        <v>46233</v>
      </c>
      <c r="F553" t="inlineStr">
        <is>
          <t>ÖSTERGÖTLANDS LÄN</t>
        </is>
      </c>
      <c r="G553" t="inlineStr">
        <is>
          <t>NORRKÖPING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39863-2025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45891</v>
      </c>
      <c r="E554" s="1" t="n">
        <v>46233</v>
      </c>
      <c r="F554" t="inlineStr">
        <is>
          <t>ÖSTERGÖTLANDS LÄN</t>
        </is>
      </c>
      <c r="G554" t="inlineStr">
        <is>
          <t>NORRKÖPING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33703-2024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46233</v>
      </c>
      <c r="F555" t="inlineStr">
        <is>
          <t>ÖSTERGÖTLANDS LÄN</t>
        </is>
      </c>
      <c r="G555" t="inlineStr">
        <is>
          <t>NORRKÖPING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45403</v>
      </c>
      <c r="E556" s="1" t="n">
        <v>46233</v>
      </c>
      <c r="F556" t="inlineStr">
        <is>
          <t>ÖSTERGÖTLANDS LÄN</t>
        </is>
      </c>
      <c r="G556" t="inlineStr">
        <is>
          <t>NORRKÖPING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44935</v>
      </c>
      <c r="E557" s="1" t="n">
        <v>46233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31359-2023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45114</v>
      </c>
      <c r="E558" s="1" t="n">
        <v>46233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31361-2023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45114</v>
      </c>
      <c r="E559" s="1" t="n">
        <v>46233</v>
      </c>
      <c r="F559" t="inlineStr">
        <is>
          <t>ÖSTERGÖTLANDS LÄN</t>
        </is>
      </c>
      <c r="G559" t="inlineStr">
        <is>
          <t>NORRKÖPING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45706</v>
      </c>
      <c r="E560" s="1" t="n">
        <v>46233</v>
      </c>
      <c r="F560" t="inlineStr">
        <is>
          <t>ÖSTERGÖTLANDS LÄN</t>
        </is>
      </c>
      <c r="G560" t="inlineStr">
        <is>
          <t>NORRKÖPING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20340-2026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46233</v>
      </c>
      <c r="F561" t="inlineStr">
        <is>
          <t>ÖSTERGÖTLANDS LÄN</t>
        </is>
      </c>
      <c r="G561" t="inlineStr">
        <is>
          <t>NORRKÖPING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45886</v>
      </c>
      <c r="E562" s="1" t="n">
        <v>46233</v>
      </c>
      <c r="F562" t="inlineStr">
        <is>
          <t>ÖSTERGÖTLANDS LÄN</t>
        </is>
      </c>
      <c r="G562" t="inlineStr">
        <is>
          <t>NORRKÖPING</t>
        </is>
      </c>
      <c r="I562" t="n">
        <v>14.3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45546</v>
      </c>
      <c r="E563" s="1" t="n">
        <v>46233</v>
      </c>
      <c r="F563" t="inlineStr">
        <is>
          <t>ÖSTERGÖTLANDS LÄN</t>
        </is>
      </c>
      <c r="G563" t="inlineStr">
        <is>
          <t>NORRKÖPING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46233</v>
      </c>
      <c r="F564" t="inlineStr">
        <is>
          <t>ÖSTERGÖTLANDS LÄN</t>
        </is>
      </c>
      <c r="G564" t="inlineStr">
        <is>
          <t>NORRKÖPING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42173-2023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45178</v>
      </c>
      <c r="E565" s="1" t="n">
        <v>46233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45092</v>
      </c>
      <c r="E566" s="1" t="n">
        <v>46233</v>
      </c>
      <c r="F566" t="inlineStr">
        <is>
          <t>ÖSTERGÖTLANDS LÄN</t>
        </is>
      </c>
      <c r="G566" t="inlineStr">
        <is>
          <t>NORRKÖPING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62049-2023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45266</v>
      </c>
      <c r="E567" s="1" t="n">
        <v>46233</v>
      </c>
      <c r="F567" t="inlineStr">
        <is>
          <t>ÖSTERGÖTLANDS LÄN</t>
        </is>
      </c>
      <c r="G567" t="inlineStr">
        <is>
          <t>NORRKÖPING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45309-2023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45191</v>
      </c>
      <c r="E568" s="1" t="n">
        <v>46233</v>
      </c>
      <c r="F568" t="inlineStr">
        <is>
          <t>ÖSTERGÖTLANDS LÄN</t>
        </is>
      </c>
      <c r="G568" t="inlineStr">
        <is>
          <t>NORRKÖPING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45033</v>
      </c>
      <c r="E569" s="1" t="n">
        <v>46233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70378-2021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44536</v>
      </c>
      <c r="E570" s="1" t="n">
        <v>46233</v>
      </c>
      <c r="F570" t="inlineStr">
        <is>
          <t>ÖSTERGÖTLANDS LÄN</t>
        </is>
      </c>
      <c r="G570" t="inlineStr">
        <is>
          <t>NORRKÖPING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5868-2022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44596</v>
      </c>
      <c r="E571" s="1" t="n">
        <v>46233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44573</v>
      </c>
      <c r="E572" s="1" t="n">
        <v>46233</v>
      </c>
      <c r="F572" t="inlineStr">
        <is>
          <t>ÖSTERGÖTLANDS LÄN</t>
        </is>
      </c>
      <c r="G572" t="inlineStr">
        <is>
          <t>NORRKÖPING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23941-2025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46233</v>
      </c>
      <c r="F573" t="inlineStr">
        <is>
          <t>ÖSTERGÖTLANDS LÄN</t>
        </is>
      </c>
      <c r="G573" t="inlineStr">
        <is>
          <t>NORRKÖPING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46233</v>
      </c>
      <c r="F574" t="inlineStr">
        <is>
          <t>ÖSTERGÖTLANDS LÄN</t>
        </is>
      </c>
      <c r="G574" t="inlineStr">
        <is>
          <t>NORRKÖPING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45550</v>
      </c>
      <c r="E575" s="1" t="n">
        <v>46233</v>
      </c>
      <c r="F575" t="inlineStr">
        <is>
          <t>ÖSTERGÖTLANDS LÄN</t>
        </is>
      </c>
      <c r="G575" t="inlineStr">
        <is>
          <t>NORRKÖPING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20194-2026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46139</v>
      </c>
      <c r="E576" s="1" t="n">
        <v>46233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46233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Allmännings- och besparingsskogar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37700-2023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45159</v>
      </c>
      <c r="E578" s="1" t="n">
        <v>46233</v>
      </c>
      <c r="F578" t="inlineStr">
        <is>
          <t>ÖSTERGÖTLANDS LÄN</t>
        </is>
      </c>
      <c r="G578" t="inlineStr">
        <is>
          <t>NORRKÖPING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20352-2026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46139</v>
      </c>
      <c r="E579" s="1" t="n">
        <v>46233</v>
      </c>
      <c r="F579" t="inlineStr">
        <is>
          <t>ÖSTERGÖTLANDS LÄN</t>
        </is>
      </c>
      <c r="G579" t="inlineStr">
        <is>
          <t>NORRKÖPING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19702-2024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45432</v>
      </c>
      <c r="E580" s="1" t="n">
        <v>46233</v>
      </c>
      <c r="F580" t="inlineStr">
        <is>
          <t>ÖSTERGÖTLANDS LÄN</t>
        </is>
      </c>
      <c r="G580" t="inlineStr">
        <is>
          <t>NORRKÖPING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36302-2025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45867</v>
      </c>
      <c r="E581" s="1" t="n">
        <v>46233</v>
      </c>
      <c r="F581" t="inlineStr">
        <is>
          <t>ÖSTERGÖTLANDS LÄN</t>
        </is>
      </c>
      <c r="G581" t="inlineStr">
        <is>
          <t>NORRKÖPING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45043</v>
      </c>
      <c r="E582" s="1" t="n">
        <v>46233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12727-2022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44641</v>
      </c>
      <c r="E583" s="1" t="n">
        <v>46233</v>
      </c>
      <c r="F583" t="inlineStr">
        <is>
          <t>ÖSTERGÖTLANDS LÄN</t>
        </is>
      </c>
      <c r="G583" t="inlineStr">
        <is>
          <t>NORRKÖPING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43344-2023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45183</v>
      </c>
      <c r="E584" s="1" t="n">
        <v>46233</v>
      </c>
      <c r="F584" t="inlineStr">
        <is>
          <t>ÖSTERGÖTLANDS LÄN</t>
        </is>
      </c>
      <c r="G584" t="inlineStr">
        <is>
          <t>NORRKÖPING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43346-2023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45183</v>
      </c>
      <c r="E585" s="1" t="n">
        <v>46233</v>
      </c>
      <c r="F585" t="inlineStr">
        <is>
          <t>ÖSTERGÖTLANDS LÄN</t>
        </is>
      </c>
      <c r="G585" t="inlineStr">
        <is>
          <t>NORRKÖPING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2287-2025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45673</v>
      </c>
      <c r="E586" s="1" t="n">
        <v>46233</v>
      </c>
      <c r="F586" t="inlineStr">
        <is>
          <t>ÖSTERGÖTLANDS LÄN</t>
        </is>
      </c>
      <c r="G586" t="inlineStr">
        <is>
          <t>NORRKÖPING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19844-2023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45053</v>
      </c>
      <c r="E587" s="1" t="n">
        <v>46233</v>
      </c>
      <c r="F587" t="inlineStr">
        <is>
          <t>ÖSTERGÖTLANDS LÄN</t>
        </is>
      </c>
      <c r="G587" t="inlineStr">
        <is>
          <t>NORRKÖPING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45217</v>
      </c>
      <c r="E588" s="1" t="n">
        <v>46233</v>
      </c>
      <c r="F588" t="inlineStr">
        <is>
          <t>ÖSTERGÖTLANDS LÄN</t>
        </is>
      </c>
      <c r="G588" t="inlineStr">
        <is>
          <t>NORRKÖPING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58901-2024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45636</v>
      </c>
      <c r="E589" s="1" t="n">
        <v>46233</v>
      </c>
      <c r="F589" t="inlineStr">
        <is>
          <t>ÖSTERGÖTLANDS LÄN</t>
        </is>
      </c>
      <c r="G589" t="inlineStr">
        <is>
          <t>NORRKÖPING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45313</v>
      </c>
      <c r="E590" s="1" t="n">
        <v>46233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45121</v>
      </c>
      <c r="E591" s="1" t="n">
        <v>46233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48091-2023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45205</v>
      </c>
      <c r="E592" s="1" t="n">
        <v>46233</v>
      </c>
      <c r="F592" t="inlineStr">
        <is>
          <t>ÖSTERGÖTLANDS LÄN</t>
        </is>
      </c>
      <c r="G592" t="inlineStr">
        <is>
          <t>NORRKÖPING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48122-2023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45205</v>
      </c>
      <c r="E593" s="1" t="n">
        <v>46233</v>
      </c>
      <c r="F593" t="inlineStr">
        <is>
          <t>ÖSTERGÖTLANDS LÄN</t>
        </is>
      </c>
      <c r="G593" t="inlineStr">
        <is>
          <t>NORRKÖPING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44679</v>
      </c>
      <c r="E594" s="1" t="n">
        <v>46233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Allmännings- och besparingsskogar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46146</v>
      </c>
      <c r="E595" s="1" t="n">
        <v>46233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18128-2025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45761</v>
      </c>
      <c r="E596" s="1" t="n">
        <v>46233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11344-2022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44630</v>
      </c>
      <c r="E597" s="1" t="n">
        <v>46233</v>
      </c>
      <c r="F597" t="inlineStr">
        <is>
          <t>ÖSTERGÖTLANDS LÄN</t>
        </is>
      </c>
      <c r="G597" t="inlineStr">
        <is>
          <t>NORRKÖPING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49462-2023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45211</v>
      </c>
      <c r="E598" s="1" t="n">
        <v>46233</v>
      </c>
      <c r="F598" t="inlineStr">
        <is>
          <t>ÖSTERGÖTLANDS LÄN</t>
        </is>
      </c>
      <c r="G598" t="inlineStr">
        <is>
          <t>NORRKÖPING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14138-2022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44651</v>
      </c>
      <c r="E599" s="1" t="n">
        <v>46233</v>
      </c>
      <c r="F599" t="inlineStr">
        <is>
          <t>ÖSTERGÖTLANDS LÄN</t>
        </is>
      </c>
      <c r="G599" t="inlineStr">
        <is>
          <t>NORRKÖPING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22319-2024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45446</v>
      </c>
      <c r="E600" s="1" t="n">
        <v>46233</v>
      </c>
      <c r="F600" t="inlineStr">
        <is>
          <t>ÖSTERGÖTLANDS LÄN</t>
        </is>
      </c>
      <c r="G600" t="inlineStr">
        <is>
          <t>NORRKÖPING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45446</v>
      </c>
      <c r="E601" s="1" t="n">
        <v>46233</v>
      </c>
      <c r="F601" t="inlineStr">
        <is>
          <t>ÖSTERGÖTLANDS LÄN</t>
        </is>
      </c>
      <c r="G601" t="inlineStr">
        <is>
          <t>NORRKÖPING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46233</v>
      </c>
      <c r="F602" t="inlineStr">
        <is>
          <t>ÖSTERGÖTLANDS LÄN</t>
        </is>
      </c>
      <c r="G602" t="inlineStr">
        <is>
          <t>NORRKÖPING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28258-2026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46233</v>
      </c>
      <c r="F603" t="inlineStr">
        <is>
          <t>ÖSTERGÖTLANDS LÄN</t>
        </is>
      </c>
      <c r="G603" t="inlineStr">
        <is>
          <t>NORRKÖPING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46233</v>
      </c>
      <c r="F604" t="inlineStr">
        <is>
          <t>ÖSTERGÖTLANDS LÄN</t>
        </is>
      </c>
      <c r="G604" t="inlineStr">
        <is>
          <t>NORRKÖPING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59544-2023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45254</v>
      </c>
      <c r="E605" s="1" t="n">
        <v>46233</v>
      </c>
      <c r="F605" t="inlineStr">
        <is>
          <t>ÖSTERGÖTLANDS LÄN</t>
        </is>
      </c>
      <c r="G605" t="inlineStr">
        <is>
          <t>NORRKÖPING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50092-2023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45215</v>
      </c>
      <c r="E606" s="1" t="n">
        <v>46233</v>
      </c>
      <c r="F606" t="inlineStr">
        <is>
          <t>ÖSTERGÖTLANDS LÄN</t>
        </is>
      </c>
      <c r="G606" t="inlineStr">
        <is>
          <t>NORRKÖPING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44197-2023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45188</v>
      </c>
      <c r="E607" s="1" t="n">
        <v>46233</v>
      </c>
      <c r="F607" t="inlineStr">
        <is>
          <t>ÖSTERGÖTLANDS LÄN</t>
        </is>
      </c>
      <c r="G607" t="inlineStr">
        <is>
          <t>NORRKÖPING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28256-2026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46196</v>
      </c>
      <c r="E608" s="1" t="n">
        <v>46233</v>
      </c>
      <c r="F608" t="inlineStr">
        <is>
          <t>ÖSTERGÖTLANDS LÄN</t>
        </is>
      </c>
      <c r="G608" t="inlineStr">
        <is>
          <t>NORRKÖPING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28271-2026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46233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9542-2025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45715</v>
      </c>
      <c r="E610" s="1" t="n">
        <v>46233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11140-2025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45723</v>
      </c>
      <c r="E611" s="1" t="n">
        <v>46233</v>
      </c>
      <c r="F611" t="inlineStr">
        <is>
          <t>ÖSTERGÖTLANDS LÄN</t>
        </is>
      </c>
      <c r="G611" t="inlineStr">
        <is>
          <t>NORRKÖPING</t>
        </is>
      </c>
      <c r="I611" t="n">
        <v>13.9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45699</v>
      </c>
      <c r="E612" s="1" t="n">
        <v>46233</v>
      </c>
      <c r="F612" t="inlineStr">
        <is>
          <t>ÖSTERGÖTLANDS LÄN</t>
        </is>
      </c>
      <c r="G612" t="inlineStr">
        <is>
          <t>NORRKÖPING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47846-2023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45204</v>
      </c>
      <c r="E613" s="1" t="n">
        <v>46233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Naturvårdsverket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26294-2024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45468</v>
      </c>
      <c r="E614" s="1" t="n">
        <v>46233</v>
      </c>
      <c r="F614" t="inlineStr">
        <is>
          <t>ÖSTERGÖTLANDS LÄN</t>
        </is>
      </c>
      <c r="G614" t="inlineStr">
        <is>
          <t>NORRKÖPING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45401</v>
      </c>
      <c r="E615" s="1" t="n">
        <v>46233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46233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45274</v>
      </c>
      <c r="E617" s="1" t="n">
        <v>46233</v>
      </c>
      <c r="F617" t="inlineStr">
        <is>
          <t>ÖSTERGÖTLANDS LÄN</t>
        </is>
      </c>
      <c r="G617" t="inlineStr">
        <is>
          <t>NORRKÖPING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58936-2023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45252</v>
      </c>
      <c r="E618" s="1" t="n">
        <v>46233</v>
      </c>
      <c r="F618" t="inlineStr">
        <is>
          <t>ÖSTERGÖTLANDS LÄN</t>
        </is>
      </c>
      <c r="G618" t="inlineStr">
        <is>
          <t>NORRKÖPING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45075-2023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45191</v>
      </c>
      <c r="E619" s="1" t="n">
        <v>46233</v>
      </c>
      <c r="F619" t="inlineStr">
        <is>
          <t>ÖSTERGÖTLANDS LÄN</t>
        </is>
      </c>
      <c r="G619" t="inlineStr">
        <is>
          <t>NORRKÖPING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17821-2025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45758</v>
      </c>
      <c r="E620" s="1" t="n">
        <v>46233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59964-2023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46233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28835-2026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46233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57492-2023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46233</v>
      </c>
      <c r="F623" t="inlineStr">
        <is>
          <t>ÖSTERGÖTLANDS LÄN</t>
        </is>
      </c>
      <c r="G623" t="inlineStr">
        <is>
          <t>NORRKÖPING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57496-2023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45246</v>
      </c>
      <c r="E624" s="1" t="n">
        <v>46233</v>
      </c>
      <c r="F624" t="inlineStr">
        <is>
          <t>ÖSTERGÖTLANDS LÄN</t>
        </is>
      </c>
      <c r="G624" t="inlineStr">
        <is>
          <t>NORRKÖPING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46233</v>
      </c>
      <c r="F625" t="inlineStr">
        <is>
          <t>ÖSTERGÖTLANDS LÄN</t>
        </is>
      </c>
      <c r="G625" t="inlineStr">
        <is>
          <t>NORRKÖPING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49882-2021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44455</v>
      </c>
      <c r="E626" s="1" t="n">
        <v>46233</v>
      </c>
      <c r="F626" t="inlineStr">
        <is>
          <t>ÖSTERGÖTLANDS LÄN</t>
        </is>
      </c>
      <c r="G626" t="inlineStr">
        <is>
          <t>NORRKÖPING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44956</v>
      </c>
      <c r="E627" s="1" t="n">
        <v>46233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10003-2025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45719</v>
      </c>
      <c r="E628" s="1" t="n">
        <v>46233</v>
      </c>
      <c r="F628" t="inlineStr">
        <is>
          <t>ÖSTERGÖTLANDS LÄN</t>
        </is>
      </c>
      <c r="G628" t="inlineStr">
        <is>
          <t>NORRKÖPING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4546-2023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44956</v>
      </c>
      <c r="E629" s="1" t="n">
        <v>46233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45252</v>
      </c>
      <c r="E630" s="1" t="n">
        <v>46233</v>
      </c>
      <c r="F630" t="inlineStr">
        <is>
          <t>ÖSTERGÖTLANDS LÄN</t>
        </is>
      </c>
      <c r="G630" t="inlineStr">
        <is>
          <t>NORRKÖPING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62875-2023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46233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29033-2026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46199</v>
      </c>
      <c r="E632" s="1" t="n">
        <v>46233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15082-2024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45399</v>
      </c>
      <c r="E633" s="1" t="n">
        <v>46233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45317</v>
      </c>
      <c r="E634" s="1" t="n">
        <v>46233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46197</v>
      </c>
      <c r="E635" s="1" t="n">
        <v>46233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Allmännings- och besparingsskogar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46233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29180-2026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46233</v>
      </c>
      <c r="F637" t="inlineStr">
        <is>
          <t>ÖSTERGÖTLANDS LÄN</t>
        </is>
      </c>
      <c r="G637" t="inlineStr">
        <is>
          <t>NORRKÖPING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49778-2022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44862</v>
      </c>
      <c r="E638" s="1" t="n">
        <v>46233</v>
      </c>
      <c r="F638" t="inlineStr">
        <is>
          <t>ÖSTERGÖTLANDS LÄN</t>
        </is>
      </c>
      <c r="G638" t="inlineStr">
        <is>
          <t>NORRKÖPING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9696-2025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45716</v>
      </c>
      <c r="E639" s="1" t="n">
        <v>46233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62033-2023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45266</v>
      </c>
      <c r="E640" s="1" t="n">
        <v>46233</v>
      </c>
      <c r="F640" t="inlineStr">
        <is>
          <t>ÖSTERGÖTLANDS LÄN</t>
        </is>
      </c>
      <c r="G640" t="inlineStr">
        <is>
          <t>NORRKÖPING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29030-2026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46233</v>
      </c>
      <c r="F641" t="inlineStr">
        <is>
          <t>ÖSTERGÖTLANDS LÄN</t>
        </is>
      </c>
      <c r="G641" t="inlineStr">
        <is>
          <t>NORRKÖPING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48786-2022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44859</v>
      </c>
      <c r="E642" s="1" t="n">
        <v>46233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53899-2021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44469</v>
      </c>
      <c r="E643" s="1" t="n">
        <v>46233</v>
      </c>
      <c r="F643" t="inlineStr">
        <is>
          <t>ÖSTERGÖTLANDS LÄN</t>
        </is>
      </c>
      <c r="G643" t="inlineStr">
        <is>
          <t>NORRKÖPING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5118-2024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45330</v>
      </c>
      <c r="E644" s="1" t="n">
        <v>46233</v>
      </c>
      <c r="F644" t="inlineStr">
        <is>
          <t>ÖSTERGÖTLANDS LÄN</t>
        </is>
      </c>
      <c r="G644" t="inlineStr">
        <is>
          <t>NORRKÖPING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45266</v>
      </c>
      <c r="E645" s="1" t="n">
        <v>46233</v>
      </c>
      <c r="F645" t="inlineStr">
        <is>
          <t>ÖSTERGÖTLANDS LÄN</t>
        </is>
      </c>
      <c r="G645" t="inlineStr">
        <is>
          <t>NORRKÖPING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46738-2022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44851</v>
      </c>
      <c r="E646" s="1" t="n">
        <v>46233</v>
      </c>
      <c r="F646" t="inlineStr">
        <is>
          <t>ÖSTERGÖTLANDS LÄN</t>
        </is>
      </c>
      <c r="G646" t="inlineStr">
        <is>
          <t>NORRKÖPING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46233</v>
      </c>
      <c r="F647" t="inlineStr">
        <is>
          <t>ÖSTERGÖTLANDS LÄN</t>
        </is>
      </c>
      <c r="G647" t="inlineStr">
        <is>
          <t>NORRKÖPING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46050</v>
      </c>
      <c r="E648" s="1" t="n">
        <v>46233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Allmännings- och besparingsskogar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45106</v>
      </c>
      <c r="E649" s="1" t="n">
        <v>46233</v>
      </c>
      <c r="F649" t="inlineStr">
        <is>
          <t>ÖSTERGÖTLANDS LÄN</t>
        </is>
      </c>
      <c r="G649" t="inlineStr">
        <is>
          <t>NORRKÖPING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18537-2025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46233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9.300000000000001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18686-2023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45043</v>
      </c>
      <c r="E651" s="1" t="n">
        <v>46233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30834-2022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44767</v>
      </c>
      <c r="E652" s="1" t="n">
        <v>46233</v>
      </c>
      <c r="F652" t="inlineStr">
        <is>
          <t>ÖSTERGÖTLANDS LÄN</t>
        </is>
      </c>
      <c r="G652" t="inlineStr">
        <is>
          <t>NORRKÖPING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62529-2023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45268</v>
      </c>
      <c r="E653" s="1" t="n">
        <v>46233</v>
      </c>
      <c r="F653" t="inlineStr">
        <is>
          <t>ÖSTERGÖTLANDS LÄN</t>
        </is>
      </c>
      <c r="G653" t="inlineStr">
        <is>
          <t>NORRKÖPING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44599</v>
      </c>
      <c r="E654" s="1" t="n">
        <v>46233</v>
      </c>
      <c r="F654" t="inlineStr">
        <is>
          <t>ÖSTERGÖTLANDS LÄN</t>
        </is>
      </c>
      <c r="G654" t="inlineStr">
        <is>
          <t>NORRKÖPING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29416-2026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46233</v>
      </c>
      <c r="F655" t="inlineStr">
        <is>
          <t>ÖSTERGÖTLANDS LÄN</t>
        </is>
      </c>
      <c r="G655" t="inlineStr">
        <is>
          <t>NORRKÖPING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10791-2024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45369</v>
      </c>
      <c r="E656" s="1" t="n">
        <v>46233</v>
      </c>
      <c r="F656" t="inlineStr">
        <is>
          <t>ÖSTERGÖTLANDS LÄN</t>
        </is>
      </c>
      <c r="G656" t="inlineStr">
        <is>
          <t>NORRKÖPING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5976-2022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44597</v>
      </c>
      <c r="E657" s="1" t="n">
        <v>46233</v>
      </c>
      <c r="F657" t="inlineStr">
        <is>
          <t>ÖSTERGÖTLANDS LÄN</t>
        </is>
      </c>
      <c r="G657" t="inlineStr">
        <is>
          <t>NORRKÖPING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45678</v>
      </c>
      <c r="E658" s="1" t="n">
        <v>46233</v>
      </c>
      <c r="F658" t="inlineStr">
        <is>
          <t>ÖSTERGÖTLANDS LÄN</t>
        </is>
      </c>
      <c r="G658" t="inlineStr">
        <is>
          <t>NORRKÖPING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29622-2022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44754</v>
      </c>
      <c r="E659" s="1" t="n">
        <v>46233</v>
      </c>
      <c r="F659" t="inlineStr">
        <is>
          <t>ÖSTERGÖTLANDS LÄN</t>
        </is>
      </c>
      <c r="G659" t="inlineStr">
        <is>
          <t>NORRKÖPING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26583-2022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44739</v>
      </c>
      <c r="E660" s="1" t="n">
        <v>46233</v>
      </c>
      <c r="F660" t="inlineStr">
        <is>
          <t>ÖSTERGÖTLANDS LÄN</t>
        </is>
      </c>
      <c r="G660" t="inlineStr">
        <is>
          <t>NORRKÖPING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7141-2023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44970</v>
      </c>
      <c r="E661" s="1" t="n">
        <v>46233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46233</v>
      </c>
      <c r="F662" t="inlineStr">
        <is>
          <t>ÖSTERGÖTLANDS LÄN</t>
        </is>
      </c>
      <c r="G662" t="inlineStr">
        <is>
          <t>NORRKÖPING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46233</v>
      </c>
      <c r="F663" t="inlineStr">
        <is>
          <t>ÖSTERGÖTLANDS LÄN</t>
        </is>
      </c>
      <c r="G663" t="inlineStr">
        <is>
          <t>NORRKÖPING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50119-2023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45215</v>
      </c>
      <c r="E664" s="1" t="n">
        <v>46233</v>
      </c>
      <c r="F664" t="inlineStr">
        <is>
          <t>ÖSTERGÖTLANDS LÄN</t>
        </is>
      </c>
      <c r="G664" t="inlineStr">
        <is>
          <t>NORRKÖPING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31834-2023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46233</v>
      </c>
      <c r="F665" t="inlineStr">
        <is>
          <t>ÖSTERGÖTLANDS LÄN</t>
        </is>
      </c>
      <c r="G665" t="inlineStr">
        <is>
          <t>NORRKÖPING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19853-2023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45053</v>
      </c>
      <c r="E666" s="1" t="n">
        <v>46233</v>
      </c>
      <c r="F666" t="inlineStr">
        <is>
          <t>ÖSTERGÖTLANDS LÄN</t>
        </is>
      </c>
      <c r="G666" t="inlineStr">
        <is>
          <t>NORRKÖPING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18636-2023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45043</v>
      </c>
      <c r="E667" s="1" t="n">
        <v>46233</v>
      </c>
      <c r="F667" t="inlineStr">
        <is>
          <t>ÖSTERGÖTLANDS LÄN</t>
        </is>
      </c>
      <c r="G667" t="inlineStr">
        <is>
          <t>NORRKÖPING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46233</v>
      </c>
      <c r="F668" t="inlineStr">
        <is>
          <t>ÖSTERGÖTLANDS LÄN</t>
        </is>
      </c>
      <c r="G668" t="inlineStr">
        <is>
          <t>NORRKÖPING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12814-2025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46233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46163</v>
      </c>
      <c r="E670" s="1" t="n">
        <v>46233</v>
      </c>
      <c r="F670" t="inlineStr">
        <is>
          <t>ÖSTERGÖTLANDS LÄN</t>
        </is>
      </c>
      <c r="G670" t="inlineStr">
        <is>
          <t>NORRKÖPING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50960-2022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46233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10.3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45629</v>
      </c>
      <c r="E672" s="1" t="n">
        <v>46233</v>
      </c>
      <c r="F672" t="inlineStr">
        <is>
          <t>ÖSTERGÖTLANDS LÄN</t>
        </is>
      </c>
      <c r="G672" t="inlineStr">
        <is>
          <t>NORRKÖPING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45043</v>
      </c>
      <c r="E673" s="1" t="n">
        <v>46233</v>
      </c>
      <c r="F673" t="inlineStr">
        <is>
          <t>ÖSTERGÖTLANDS LÄN</t>
        </is>
      </c>
      <c r="G673" t="inlineStr">
        <is>
          <t>NORRKÖPING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49487-2022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44861</v>
      </c>
      <c r="E674" s="1" t="n">
        <v>46233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13918-2023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45008</v>
      </c>
      <c r="E675" s="1" t="n">
        <v>46233</v>
      </c>
      <c r="F675" t="inlineStr">
        <is>
          <t>ÖSTERGÖTLANDS LÄN</t>
        </is>
      </c>
      <c r="G675" t="inlineStr">
        <is>
          <t>NORRKÖPING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30485-2026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46233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46233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44936</v>
      </c>
      <c r="E678" s="1" t="n">
        <v>46233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45030</v>
      </c>
      <c r="E679" s="1" t="n">
        <v>46233</v>
      </c>
      <c r="F679" t="inlineStr">
        <is>
          <t>ÖSTERGÖTLANDS LÄN</t>
        </is>
      </c>
      <c r="G679" t="inlineStr">
        <is>
          <t>NORRKÖPING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7853-2026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46061</v>
      </c>
      <c r="E680" s="1" t="n">
        <v>46233</v>
      </c>
      <c r="F680" t="inlineStr">
        <is>
          <t>ÖSTERGÖTLANDS LÄN</t>
        </is>
      </c>
      <c r="G680" t="inlineStr">
        <is>
          <t>NORRKÖPING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41367-2023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46233</v>
      </c>
      <c r="F681" t="inlineStr">
        <is>
          <t>ÖSTERGÖTLANDS LÄN</t>
        </is>
      </c>
      <c r="G681" t="inlineStr">
        <is>
          <t>NORRKÖPING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41375-2023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45174</v>
      </c>
      <c r="E682" s="1" t="n">
        <v>46233</v>
      </c>
      <c r="F682" t="inlineStr">
        <is>
          <t>ÖSTERGÖTLANDS LÄN</t>
        </is>
      </c>
      <c r="G682" t="inlineStr">
        <is>
          <t>NORRKÖPING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11261-2023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44992</v>
      </c>
      <c r="E683" s="1" t="n">
        <v>46233</v>
      </c>
      <c r="F683" t="inlineStr">
        <is>
          <t>ÖSTERGÖTLANDS LÄN</t>
        </is>
      </c>
      <c r="G683" t="inlineStr">
        <is>
          <t>NORRKÖPING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14901-2023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45014</v>
      </c>
      <c r="E684" s="1" t="n">
        <v>46233</v>
      </c>
      <c r="F684" t="inlineStr">
        <is>
          <t>ÖSTERGÖTLANDS LÄN</t>
        </is>
      </c>
      <c r="G684" t="inlineStr">
        <is>
          <t>NORRKÖPING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45432</v>
      </c>
      <c r="E685" s="1" t="n">
        <v>46233</v>
      </c>
      <c r="F685" t="inlineStr">
        <is>
          <t>ÖSTERGÖTLANDS LÄN</t>
        </is>
      </c>
      <c r="G685" t="inlineStr">
        <is>
          <t>NORRKÖPING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57495-2023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45246</v>
      </c>
      <c r="E686" s="1" t="n">
        <v>46233</v>
      </c>
      <c r="F686" t="inlineStr">
        <is>
          <t>ÖSTERGÖTLANDS LÄN</t>
        </is>
      </c>
      <c r="G686" t="inlineStr">
        <is>
          <t>NORRKÖPING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15843-2023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45022</v>
      </c>
      <c r="E687" s="1" t="n">
        <v>46233</v>
      </c>
      <c r="F687" t="inlineStr">
        <is>
          <t>ÖSTERGÖTLANDS LÄN</t>
        </is>
      </c>
      <c r="G687" t="inlineStr">
        <is>
          <t>NORRKÖPING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39223-2025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45889</v>
      </c>
      <c r="E688" s="1" t="n">
        <v>46233</v>
      </c>
      <c r="F688" t="inlineStr">
        <is>
          <t>ÖSTERGÖTLANDS LÄN</t>
        </is>
      </c>
      <c r="G688" t="inlineStr">
        <is>
          <t>NORRKÖPING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25981-2023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45090</v>
      </c>
      <c r="E689" s="1" t="n">
        <v>46233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46213</v>
      </c>
      <c r="E690" s="1" t="n">
        <v>46233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32574-2022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44783</v>
      </c>
      <c r="E691" s="1" t="n">
        <v>46233</v>
      </c>
      <c r="F691" t="inlineStr">
        <is>
          <t>ÖSTERGÖTLANDS LÄN</t>
        </is>
      </c>
      <c r="G691" t="inlineStr">
        <is>
          <t>NORRKÖPING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8815-2024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45356</v>
      </c>
      <c r="E692" s="1" t="n">
        <v>46233</v>
      </c>
      <c r="F692" t="inlineStr">
        <is>
          <t>ÖSTERGÖTLANDS LÄN</t>
        </is>
      </c>
      <c r="G692" t="inlineStr">
        <is>
          <t>NORRKÖPING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30905-2026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46213</v>
      </c>
      <c r="E693" s="1" t="n">
        <v>46233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18664-2023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45043</v>
      </c>
      <c r="E694" s="1" t="n">
        <v>46233</v>
      </c>
      <c r="F694" t="inlineStr">
        <is>
          <t>ÖSTERGÖTLANDS LÄN</t>
        </is>
      </c>
      <c r="G694" t="inlineStr">
        <is>
          <t>NORRKÖPING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30911-2026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46213</v>
      </c>
      <c r="E695" s="1" t="n">
        <v>46233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46216</v>
      </c>
      <c r="E696" s="1" t="n">
        <v>46233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45699</v>
      </c>
      <c r="E697" s="1" t="n">
        <v>46233</v>
      </c>
      <c r="F697" t="inlineStr">
        <is>
          <t>ÖSTERGÖTLANDS LÄN</t>
        </is>
      </c>
      <c r="G697" t="inlineStr">
        <is>
          <t>NORRKÖPING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31229-2026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46217</v>
      </c>
      <c r="E698" s="1" t="n">
        <v>46233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20356-2024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45435</v>
      </c>
      <c r="E699" s="1" t="n">
        <v>46233</v>
      </c>
      <c r="F699" t="inlineStr">
        <is>
          <t>ÖSTERGÖTLANDS LÄN</t>
        </is>
      </c>
      <c r="G699" t="inlineStr">
        <is>
          <t>NORRKÖPING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31266-2026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46218</v>
      </c>
      <c r="E700" s="1" t="n">
        <v>46233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45547</v>
      </c>
      <c r="E701" s="1" t="n">
        <v>46233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Allmännings- och besparingsskogar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2975-2025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45678</v>
      </c>
      <c r="E702" s="1" t="n">
        <v>46233</v>
      </c>
      <c r="F702" t="inlineStr">
        <is>
          <t>ÖSTERGÖTLANDS LÄN</t>
        </is>
      </c>
      <c r="G702" t="inlineStr">
        <is>
          <t>NORRKÖPING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25287-2023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45086</v>
      </c>
      <c r="E703" s="1" t="n">
        <v>46233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31268-2026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46218</v>
      </c>
      <c r="E704" s="1" t="n">
        <v>46233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58884-2024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45636</v>
      </c>
      <c r="E705" s="1" t="n">
        <v>46233</v>
      </c>
      <c r="F705" t="inlineStr">
        <is>
          <t>ÖSTERGÖTLANDS LÄN</t>
        </is>
      </c>
      <c r="G705" t="inlineStr">
        <is>
          <t>NORRKÖPING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22651-2023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45071</v>
      </c>
      <c r="E706" s="1" t="n">
        <v>46233</v>
      </c>
      <c r="F706" t="inlineStr">
        <is>
          <t>ÖSTERGÖTLANDS LÄN</t>
        </is>
      </c>
      <c r="G706" t="inlineStr">
        <is>
          <t>NORRKÖPING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29010-2023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45096</v>
      </c>
      <c r="E707" s="1" t="n">
        <v>46233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12.3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31225-2026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46217</v>
      </c>
      <c r="E708" s="1" t="n">
        <v>46233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46696-2024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45583</v>
      </c>
      <c r="E709" s="1" t="n">
        <v>46233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36542-2023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45153</v>
      </c>
      <c r="E710" s="1" t="n">
        <v>46233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45117</v>
      </c>
      <c r="E711" s="1" t="n">
        <v>46233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17582-2025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45757</v>
      </c>
      <c r="E712" s="1" t="n">
        <v>46233</v>
      </c>
      <c r="F712" t="inlineStr">
        <is>
          <t>ÖSTERGÖTLANDS LÄN</t>
        </is>
      </c>
      <c r="G712" t="inlineStr">
        <is>
          <t>NORRKÖPING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25176-2026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46175</v>
      </c>
      <c r="E713" s="1" t="n">
        <v>46233</v>
      </c>
      <c r="F713" t="inlineStr">
        <is>
          <t>ÖSTERGÖTLANDS LÄN</t>
        </is>
      </c>
      <c r="G713" t="inlineStr">
        <is>
          <t>NORRKÖPING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26832-2023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45093</v>
      </c>
      <c r="E714" s="1" t="n">
        <v>46233</v>
      </c>
      <c r="F714" t="inlineStr">
        <is>
          <t>ÖSTERGÖTLANDS LÄN</t>
        </is>
      </c>
      <c r="G714" t="inlineStr">
        <is>
          <t>NORRKÖPING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9206-2023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46233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46233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45030</v>
      </c>
      <c r="E717" s="1" t="n">
        <v>46233</v>
      </c>
      <c r="F717" t="inlineStr">
        <is>
          <t>ÖSTERGÖTLANDS LÄN</t>
        </is>
      </c>
      <c r="G717" t="inlineStr">
        <is>
          <t>NORRKÖPING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28601-2024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45478</v>
      </c>
      <c r="E718" s="1" t="n">
        <v>46233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31373-2026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46213</v>
      </c>
      <c r="E719" s="1" t="n">
        <v>46233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6.1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8517-2023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44977</v>
      </c>
      <c r="E720" s="1" t="n">
        <v>46233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43559-2021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44433</v>
      </c>
      <c r="E721" s="1" t="n">
        <v>46233</v>
      </c>
      <c r="F721" t="inlineStr">
        <is>
          <t>ÖSTERGÖTLANDS LÄN</t>
        </is>
      </c>
      <c r="G721" t="inlineStr">
        <is>
          <t>NORRKÖPING</t>
        </is>
      </c>
      <c r="I721" t="n">
        <v>11.1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26085-2026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46233</v>
      </c>
      <c r="F722" t="inlineStr">
        <is>
          <t>ÖSTERGÖTLANDS LÄN</t>
        </is>
      </c>
      <c r="G722" t="inlineStr">
        <is>
          <t>NORRKÖPING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25687-2026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46233</v>
      </c>
      <c r="F723" t="inlineStr">
        <is>
          <t>ÖSTERGÖTLANDS LÄN</t>
        </is>
      </c>
      <c r="G723" t="inlineStr">
        <is>
          <t>NORRKÖPING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25693-2026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46233</v>
      </c>
      <c r="F724" t="inlineStr">
        <is>
          <t>ÖSTERGÖTLANDS LÄN</t>
        </is>
      </c>
      <c r="G724" t="inlineStr">
        <is>
          <t>NORRKÖPING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46233</v>
      </c>
      <c r="F725" t="inlineStr">
        <is>
          <t>ÖSTERGÖTLANDS LÄN</t>
        </is>
      </c>
      <c r="G725" t="inlineStr">
        <is>
          <t>NORRKÖPING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25719-2026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46233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13173-2022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44644</v>
      </c>
      <c r="E727" s="1" t="n">
        <v>46233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14485-2023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45012</v>
      </c>
      <c r="E728" s="1" t="n">
        <v>46233</v>
      </c>
      <c r="F728" t="inlineStr">
        <is>
          <t>ÖSTERGÖTLANDS LÄN</t>
        </is>
      </c>
      <c r="G728" t="inlineStr">
        <is>
          <t>NORRKÖPING</t>
        </is>
      </c>
      <c r="I728" t="n">
        <v>9.9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26106-2026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46181</v>
      </c>
      <c r="E729" s="1" t="n">
        <v>46233</v>
      </c>
      <c r="F729" t="inlineStr">
        <is>
          <t>ÖSTERGÖTLANDS LÄN</t>
        </is>
      </c>
      <c r="G729" t="inlineStr">
        <is>
          <t>NORRKÖPING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24018-2025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45796</v>
      </c>
      <c r="E730" s="1" t="n">
        <v>46233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8.6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23462-2023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45076</v>
      </c>
      <c r="E731" s="1" t="n">
        <v>46233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25690-2026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46233</v>
      </c>
      <c r="F732" t="inlineStr">
        <is>
          <t>ÖSTERGÖTLANDS LÄN</t>
        </is>
      </c>
      <c r="G732" t="inlineStr">
        <is>
          <t>NORRKÖPING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25694-2026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46233</v>
      </c>
      <c r="F733" t="inlineStr">
        <is>
          <t>ÖSTERGÖTLANDS LÄN</t>
        </is>
      </c>
      <c r="G733" t="inlineStr">
        <is>
          <t>NORRKÖPING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25700-2026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46233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25715-2026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46233</v>
      </c>
      <c r="F735" t="inlineStr">
        <is>
          <t>ÖSTERGÖTLANDS LÄN</t>
        </is>
      </c>
      <c r="G735" t="inlineStr">
        <is>
          <t>NORRKÖPING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7750-2025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46233</v>
      </c>
      <c r="F736" t="inlineStr">
        <is>
          <t>ÖSTERGÖTLANDS LÄN</t>
        </is>
      </c>
      <c r="G736" t="inlineStr">
        <is>
          <t>NORRKÖPING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26360-2026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46182</v>
      </c>
      <c r="E737" s="1" t="n">
        <v>46233</v>
      </c>
      <c r="F737" t="inlineStr">
        <is>
          <t>ÖSTERGÖTLANDS LÄN</t>
        </is>
      </c>
      <c r="G737" t="inlineStr">
        <is>
          <t>NORRKÖPING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26349-2026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46182</v>
      </c>
      <c r="E738" s="1" t="n">
        <v>46233</v>
      </c>
      <c r="F738" t="inlineStr">
        <is>
          <t>ÖSTERGÖTLANDS LÄN</t>
        </is>
      </c>
      <c r="G738" t="inlineStr">
        <is>
          <t>NORRKÖPING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24634-2025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45798</v>
      </c>
      <c r="E739" s="1" t="n">
        <v>46233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19114-2023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45048</v>
      </c>
      <c r="E740" s="1" t="n">
        <v>46233</v>
      </c>
      <c r="F740" t="inlineStr">
        <is>
          <t>ÖSTERGÖTLANDS LÄN</t>
        </is>
      </c>
      <c r="G740" t="inlineStr">
        <is>
          <t>NORRKÖPING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26355-2026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46233</v>
      </c>
      <c r="F741" t="inlineStr">
        <is>
          <t>ÖSTERGÖTLANDS LÄN</t>
        </is>
      </c>
      <c r="G741" t="inlineStr">
        <is>
          <t>NORRKÖPING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32617-2023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45121</v>
      </c>
      <c r="E742" s="1" t="n">
        <v>46233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31661-2026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46225</v>
      </c>
      <c r="E743" s="1" t="n">
        <v>46233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36258-2022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44803</v>
      </c>
      <c r="E744" s="1" t="n">
        <v>46233</v>
      </c>
      <c r="F744" t="inlineStr">
        <is>
          <t>ÖSTERGÖTLANDS LÄN</t>
        </is>
      </c>
      <c r="G744" t="inlineStr">
        <is>
          <t>NORRKÖPING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22479-2026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46233</v>
      </c>
      <c r="F745" t="inlineStr">
        <is>
          <t>ÖSTERGÖTLANDS LÄN</t>
        </is>
      </c>
      <c r="G745" t="inlineStr">
        <is>
          <t>NORRKÖPING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26999-2026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46233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26953-2026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46233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19191-2025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45769</v>
      </c>
      <c r="E748" s="1" t="n">
        <v>46233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45628</v>
      </c>
      <c r="E749" s="1" t="n">
        <v>46233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20583-2024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45436</v>
      </c>
      <c r="E750" s="1" t="n">
        <v>46233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45758</v>
      </c>
      <c r="E751" s="1" t="n">
        <v>46233</v>
      </c>
      <c r="F751" t="inlineStr">
        <is>
          <t>ÖSTERGÖTLANDS LÄN</t>
        </is>
      </c>
      <c r="G751" t="inlineStr">
        <is>
          <t>NORRKÖPING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45092</v>
      </c>
      <c r="E752" s="1" t="n">
        <v>46233</v>
      </c>
      <c r="F752" t="inlineStr">
        <is>
          <t>ÖSTERGÖTLANDS LÄN</t>
        </is>
      </c>
      <c r="G752" t="inlineStr">
        <is>
          <t>NORRKÖPING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31880-2026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46231</v>
      </c>
      <c r="E753" s="1" t="n">
        <v>46233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36412-2024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45535</v>
      </c>
      <c r="E754" s="1" t="n">
        <v>46233</v>
      </c>
      <c r="F754" t="inlineStr">
        <is>
          <t>ÖSTERGÖTLANDS LÄN</t>
        </is>
      </c>
      <c r="G754" t="inlineStr">
        <is>
          <t>NORRKÖPING</t>
        </is>
      </c>
      <c r="I754" t="n">
        <v>12.8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45373</v>
      </c>
      <c r="E755" s="1" t="n">
        <v>46233</v>
      </c>
      <c r="F755" t="inlineStr">
        <is>
          <t>ÖSTERGÖTLANDS LÄN</t>
        </is>
      </c>
      <c r="G755" t="inlineStr">
        <is>
          <t>NORRKÖPING</t>
        </is>
      </c>
      <c r="I755" t="n">
        <v>8.6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51124-2023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45219</v>
      </c>
      <c r="E756" s="1" t="n">
        <v>46233</v>
      </c>
      <c r="F756" t="inlineStr">
        <is>
          <t>ÖSTERGÖTLANDS LÄN</t>
        </is>
      </c>
      <c r="G756" t="inlineStr">
        <is>
          <t>NORRKÖPING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5116-2024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45330</v>
      </c>
      <c r="E757" s="1" t="n">
        <v>46233</v>
      </c>
      <c r="F757" t="inlineStr">
        <is>
          <t>ÖSTERGÖTLANDS LÄN</t>
        </is>
      </c>
      <c r="G757" t="inlineStr">
        <is>
          <t>NORRKÖPING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13133-2024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45386</v>
      </c>
      <c r="E758" s="1" t="n">
        <v>46233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46233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11144-2025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45723</v>
      </c>
      <c r="E760" s="1" t="n">
        <v>46233</v>
      </c>
      <c r="F760" t="inlineStr">
        <is>
          <t>ÖSTERGÖTLANDS LÄN</t>
        </is>
      </c>
      <c r="G760" t="inlineStr">
        <is>
          <t>NORRKÖPING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46233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16594-2023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45027</v>
      </c>
      <c r="E762" s="1" t="n">
        <v>46233</v>
      </c>
      <c r="F762" t="inlineStr">
        <is>
          <t>ÖSTERGÖTLANDS LÄN</t>
        </is>
      </c>
      <c r="G762" t="inlineStr">
        <is>
          <t>NORRKÖPING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11737-2024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45373</v>
      </c>
      <c r="E763" s="1" t="n">
        <v>46233</v>
      </c>
      <c r="F763" t="inlineStr">
        <is>
          <t>ÖSTERGÖTLANDS LÄN</t>
        </is>
      </c>
      <c r="G763" t="inlineStr">
        <is>
          <t>NORRKÖPING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45558</v>
      </c>
      <c r="E764" s="1" t="n">
        <v>46233</v>
      </c>
      <c r="F764" t="inlineStr">
        <is>
          <t>ÖSTERGÖTLANDS LÄN</t>
        </is>
      </c>
      <c r="G764" t="inlineStr">
        <is>
          <t>NORRKÖPING</t>
        </is>
      </c>
      <c r="I764" t="n">
        <v>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1115-2023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44935</v>
      </c>
      <c r="E765" s="1" t="n">
        <v>46233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46233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31883-2023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45118</v>
      </c>
      <c r="E767" s="1" t="n">
        <v>46233</v>
      </c>
      <c r="F767" t="inlineStr">
        <is>
          <t>ÖSTERGÖTLANDS LÄN</t>
        </is>
      </c>
      <c r="G767" t="inlineStr">
        <is>
          <t>NORRKÖPING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44980</v>
      </c>
      <c r="E768" s="1" t="n">
        <v>46233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8569-2023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44977</v>
      </c>
      <c r="E769" s="1" t="n">
        <v>46233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45678</v>
      </c>
      <c r="E770" s="1" t="n">
        <v>46233</v>
      </c>
      <c r="F770" t="inlineStr">
        <is>
          <t>ÖSTERGÖTLANDS LÄN</t>
        </is>
      </c>
      <c r="G770" t="inlineStr">
        <is>
          <t>NORRKÖPING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36571-2023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45153</v>
      </c>
      <c r="E771" s="1" t="n">
        <v>46233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51112-2024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45603</v>
      </c>
      <c r="E772" s="1" t="n">
        <v>46233</v>
      </c>
      <c r="F772" t="inlineStr">
        <is>
          <t>ÖSTERGÖTLANDS LÄN</t>
        </is>
      </c>
      <c r="G772" t="inlineStr">
        <is>
          <t>NORRKÖPING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44936</v>
      </c>
      <c r="E773" s="1" t="n">
        <v>46233</v>
      </c>
      <c r="F773" t="inlineStr">
        <is>
          <t>ÖSTERGÖTLANDS LÄN</t>
        </is>
      </c>
      <c r="G773" t="inlineStr">
        <is>
          <t>NORRKÖPING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14585-2025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45742</v>
      </c>
      <c r="E774" s="1" t="n">
        <v>46233</v>
      </c>
      <c r="F774" t="inlineStr">
        <is>
          <t>ÖSTERGÖTLANDS LÄN</t>
        </is>
      </c>
      <c r="G774" t="inlineStr">
        <is>
          <t>NORRKÖPING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36575-2023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45153</v>
      </c>
      <c r="E775" s="1" t="n">
        <v>46233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59580-2022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44907</v>
      </c>
      <c r="E776" s="1" t="n">
        <v>46233</v>
      </c>
      <c r="F776" t="inlineStr">
        <is>
          <t>ÖSTERGÖTLANDS LÄN</t>
        </is>
      </c>
      <c r="G776" t="inlineStr">
        <is>
          <t>NORRKÖPING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49465-2023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45211</v>
      </c>
      <c r="E777" s="1" t="n">
        <v>46233</v>
      </c>
      <c r="F777" t="inlineStr">
        <is>
          <t>ÖSTERGÖTLANDS LÄN</t>
        </is>
      </c>
      <c r="G777" t="inlineStr">
        <is>
          <t>NORRKÖPING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44936</v>
      </c>
      <c r="E778" s="1" t="n">
        <v>46233</v>
      </c>
      <c r="F778" t="inlineStr">
        <is>
          <t>ÖSTERGÖTLANDS LÄN</t>
        </is>
      </c>
      <c r="G778" t="inlineStr">
        <is>
          <t>NORRKÖPING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15177-2023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45016</v>
      </c>
      <c r="E779" s="1" t="n">
        <v>46233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33446-2023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45129</v>
      </c>
      <c r="E780" s="1" t="n">
        <v>46233</v>
      </c>
      <c r="F780" t="inlineStr">
        <is>
          <t>ÖSTERGÖTLANDS LÄN</t>
        </is>
      </c>
      <c r="G780" t="inlineStr">
        <is>
          <t>NORRKÖPING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24354-2024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45457</v>
      </c>
      <c r="E781" s="1" t="n">
        <v>46233</v>
      </c>
      <c r="F781" t="inlineStr">
        <is>
          <t>ÖSTERGÖTLANDS LÄN</t>
        </is>
      </c>
      <c r="G781" t="inlineStr">
        <is>
          <t>NORRKÖPING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30865-2024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45497</v>
      </c>
      <c r="E782" s="1" t="n">
        <v>46233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7763-2025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45706</v>
      </c>
      <c r="E783" s="1" t="n">
        <v>46233</v>
      </c>
      <c r="F783" t="inlineStr">
        <is>
          <t>ÖSTERGÖTLANDS LÄN</t>
        </is>
      </c>
      <c r="G783" t="inlineStr">
        <is>
          <t>NORRKÖPING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45310</v>
      </c>
      <c r="E784" s="1" t="n">
        <v>46233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14587-2025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45742</v>
      </c>
      <c r="E785" s="1" t="n">
        <v>46233</v>
      </c>
      <c r="F785" t="inlineStr">
        <is>
          <t>ÖSTERGÖTLANDS LÄN</t>
        </is>
      </c>
      <c r="G785" t="inlineStr">
        <is>
          <t>NORRKÖPING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17813-2025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45758</v>
      </c>
      <c r="E786" s="1" t="n">
        <v>46233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8432-2025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45709</v>
      </c>
      <c r="E787" s="1" t="n">
        <v>46233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57405-2024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45629</v>
      </c>
      <c r="E788" s="1" t="n">
        <v>46233</v>
      </c>
      <c r="F788" t="inlineStr">
        <is>
          <t>ÖSTERGÖTLANDS LÄN</t>
        </is>
      </c>
      <c r="G788" t="inlineStr">
        <is>
          <t>NORRKÖPING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21093-2025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45777</v>
      </c>
      <c r="E789" s="1" t="n">
        <v>46233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45782</v>
      </c>
      <c r="E790" s="1" t="n">
        <v>46233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21770-2025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45783</v>
      </c>
      <c r="E791" s="1" t="n">
        <v>46233</v>
      </c>
      <c r="F791" t="inlineStr">
        <is>
          <t>ÖSTERGÖTLANDS LÄN</t>
        </is>
      </c>
      <c r="G791" t="inlineStr">
        <is>
          <t>NORRKÖPING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21909-2025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45784</v>
      </c>
      <c r="E792" s="1" t="n">
        <v>46233</v>
      </c>
      <c r="F792" t="inlineStr">
        <is>
          <t>ÖSTERGÖTLANDS LÄN</t>
        </is>
      </c>
      <c r="G792" t="inlineStr">
        <is>
          <t>NORRKÖPING</t>
        </is>
      </c>
      <c r="I792" t="n">
        <v>7.9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21967-2025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45784</v>
      </c>
      <c r="E793" s="1" t="n">
        <v>46233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45092</v>
      </c>
      <c r="E794" s="1" t="n">
        <v>46233</v>
      </c>
      <c r="F794" t="inlineStr">
        <is>
          <t>ÖSTERGÖTLANDS LÄN</t>
        </is>
      </c>
      <c r="G794" t="inlineStr">
        <is>
          <t>NORRKÖPING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22307-2025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45786</v>
      </c>
      <c r="E795" s="1" t="n">
        <v>46233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1884-2025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45671</v>
      </c>
      <c r="E796" s="1" t="n">
        <v>46233</v>
      </c>
      <c r="F796" t="inlineStr">
        <is>
          <t>ÖSTERGÖTLANDS LÄN</t>
        </is>
      </c>
      <c r="G796" t="inlineStr">
        <is>
          <t>NORRKÖPING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45453</v>
      </c>
      <c r="E797" s="1" t="n">
        <v>46233</v>
      </c>
      <c r="F797" t="inlineStr">
        <is>
          <t>ÖSTERGÖTLANDS LÄN</t>
        </is>
      </c>
      <c r="G797" t="inlineStr">
        <is>
          <t>NORRKÖPING</t>
        </is>
      </c>
      <c r="I797" t="n">
        <v>5.4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23368-2024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45453</v>
      </c>
      <c r="E798" s="1" t="n">
        <v>46233</v>
      </c>
      <c r="F798" t="inlineStr">
        <is>
          <t>ÖSTERGÖTLANDS LÄN</t>
        </is>
      </c>
      <c r="G798" t="inlineStr">
        <is>
          <t>NORRKÖPING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22439-2025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45786</v>
      </c>
      <c r="E799" s="1" t="n">
        <v>46233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Naturvårdsverket</t>
        </is>
      </c>
      <c r="I799" t="n">
        <v>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44565</v>
      </c>
      <c r="E800" s="1" t="n">
        <v>46233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Allmännings- och besparingsskogar</t>
        </is>
      </c>
      <c r="I800" t="n">
        <v>9.300000000000001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2288-2024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45310</v>
      </c>
      <c r="E801" s="1" t="n">
        <v>46233</v>
      </c>
      <c r="F801" t="inlineStr">
        <is>
          <t>ÖSTERGÖTLANDS LÄN</t>
        </is>
      </c>
      <c r="G801" t="inlineStr">
        <is>
          <t>NORRKÖPING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22881-2025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46233</v>
      </c>
      <c r="F802" t="inlineStr">
        <is>
          <t>ÖSTERGÖTLANDS LÄN</t>
        </is>
      </c>
      <c r="G802" t="inlineStr">
        <is>
          <t>NORRKÖPING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45678</v>
      </c>
      <c r="E803" s="1" t="n">
        <v>46233</v>
      </c>
      <c r="F803" t="inlineStr">
        <is>
          <t>ÖSTERGÖTLANDS LÄN</t>
        </is>
      </c>
      <c r="G803" t="inlineStr">
        <is>
          <t>NORRKÖPING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24049-2025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45796</v>
      </c>
      <c r="E804" s="1" t="n">
        <v>46233</v>
      </c>
      <c r="F804" t="inlineStr">
        <is>
          <t>ÖSTERGÖTLANDS LÄN</t>
        </is>
      </c>
      <c r="G804" t="inlineStr">
        <is>
          <t>NORRKÖPING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23954-2025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45796</v>
      </c>
      <c r="E805" s="1" t="n">
        <v>46233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60800-2023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45259</v>
      </c>
      <c r="E806" s="1" t="n">
        <v>46233</v>
      </c>
      <c r="F806" t="inlineStr">
        <is>
          <t>ÖSTERGÖTLANDS LÄN</t>
        </is>
      </c>
      <c r="G806" t="inlineStr">
        <is>
          <t>NORRKÖPING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24684-2025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45798</v>
      </c>
      <c r="E807" s="1" t="n">
        <v>46233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24246-2025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45797</v>
      </c>
      <c r="E808" s="1" t="n">
        <v>46233</v>
      </c>
      <c r="F808" t="inlineStr">
        <is>
          <t>ÖSTERGÖTLANDS LÄN</t>
        </is>
      </c>
      <c r="G808" t="inlineStr">
        <is>
          <t>NORRKÖPING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24555-2025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45798</v>
      </c>
      <c r="E809" s="1" t="n">
        <v>46233</v>
      </c>
      <c r="F809" t="inlineStr">
        <is>
          <t>ÖSTERGÖTLANDS LÄN</t>
        </is>
      </c>
      <c r="G809" t="inlineStr">
        <is>
          <t>NORRKÖPING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42514-2024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45565</v>
      </c>
      <c r="E810" s="1" t="n">
        <v>46233</v>
      </c>
      <c r="F810" t="inlineStr">
        <is>
          <t>ÖSTERGÖTLANDS LÄN</t>
        </is>
      </c>
      <c r="G810" t="inlineStr">
        <is>
          <t>NORRKÖPING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16582-2024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45408</v>
      </c>
      <c r="E811" s="1" t="n">
        <v>46233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40068-2024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45554</v>
      </c>
      <c r="E812" s="1" t="n">
        <v>46233</v>
      </c>
      <c r="F812" t="inlineStr">
        <is>
          <t>ÖSTERGÖTLANDS LÄN</t>
        </is>
      </c>
      <c r="G812" t="inlineStr">
        <is>
          <t>NORRKÖPING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10770-2025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45722</v>
      </c>
      <c r="E813" s="1" t="n">
        <v>46233</v>
      </c>
      <c r="F813" t="inlineStr">
        <is>
          <t>ÖSTERGÖTLANDS LÄN</t>
        </is>
      </c>
      <c r="G813" t="inlineStr">
        <is>
          <t>NORRKÖPING</t>
        </is>
      </c>
      <c r="I813" t="n">
        <v>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25546-2025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45803</v>
      </c>
      <c r="E814" s="1" t="n">
        <v>46233</v>
      </c>
      <c r="F814" t="inlineStr">
        <is>
          <t>ÖSTERGÖTLANDS LÄN</t>
        </is>
      </c>
      <c r="G814" t="inlineStr">
        <is>
          <t>NORRKÖPING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25949-2025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45804</v>
      </c>
      <c r="E815" s="1" t="n">
        <v>46233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Kommuner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1519-2021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44313</v>
      </c>
      <c r="E816" s="1" t="n">
        <v>46233</v>
      </c>
      <c r="F816" t="inlineStr">
        <is>
          <t>ÖSTERGÖTLANDS LÄN</t>
        </is>
      </c>
      <c r="G816" t="inlineStr">
        <is>
          <t>NORRKÖPING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2289-2020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44130</v>
      </c>
      <c r="E817" s="1" t="n">
        <v>46233</v>
      </c>
      <c r="F817" t="inlineStr">
        <is>
          <t>ÖSTERGÖTLANDS LÄN</t>
        </is>
      </c>
      <c r="G817" t="inlineStr">
        <is>
          <t>NORRKÖPING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44230</v>
      </c>
      <c r="E818" s="1" t="n">
        <v>46233</v>
      </c>
      <c r="F818" t="inlineStr">
        <is>
          <t>ÖSTERGÖTLANDS LÄN</t>
        </is>
      </c>
      <c r="G818" t="inlineStr">
        <is>
          <t>NORRKÖPING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1484-2022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44638</v>
      </c>
      <c r="E819" s="1" t="n">
        <v>46233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1678-2022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44649</v>
      </c>
      <c r="E820" s="1" t="n">
        <v>46233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10364-2021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44551</v>
      </c>
      <c r="E821" s="1" t="n">
        <v>46233</v>
      </c>
      <c r="F821" t="inlineStr">
        <is>
          <t>ÖSTERGÖTLANDS LÄN</t>
        </is>
      </c>
      <c r="G821" t="inlineStr">
        <is>
          <t>NORRKÖPING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2481-2022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44692</v>
      </c>
      <c r="E822" s="1" t="n">
        <v>46233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45316</v>
      </c>
      <c r="E823" s="1" t="n">
        <v>46233</v>
      </c>
      <c r="F823" t="inlineStr">
        <is>
          <t>ÖSTERGÖTLANDS LÄN</t>
        </is>
      </c>
      <c r="G823" t="inlineStr">
        <is>
          <t>NORRKÖPING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4973-2024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45629</v>
      </c>
      <c r="E824" s="1" t="n">
        <v>46233</v>
      </c>
      <c r="F824" t="inlineStr">
        <is>
          <t>ÖSTERGÖTLANDS LÄN</t>
        </is>
      </c>
      <c r="G824" t="inlineStr">
        <is>
          <t>NORRKÖPING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46233</v>
      </c>
      <c r="F825" t="inlineStr">
        <is>
          <t>ÖSTERGÖTLANDS LÄN</t>
        </is>
      </c>
      <c r="G825" t="inlineStr">
        <is>
          <t>NORRKÖPING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1663-2024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45432</v>
      </c>
      <c r="E826" s="1" t="n">
        <v>46233</v>
      </c>
      <c r="F826" t="inlineStr">
        <is>
          <t>ÖSTERGÖTLANDS LÄN</t>
        </is>
      </c>
      <c r="G826" t="inlineStr">
        <is>
          <t>NORRKÖPING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4012-2024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45571</v>
      </c>
      <c r="E827" s="1" t="n">
        <v>46233</v>
      </c>
      <c r="F827" t="inlineStr">
        <is>
          <t>ÖSTERGÖTLANDS LÄN</t>
        </is>
      </c>
      <c r="G827" t="inlineStr">
        <is>
          <t>NORRKÖPING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1486-2025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45789</v>
      </c>
      <c r="E828" s="1" t="n">
        <v>46233</v>
      </c>
      <c r="F828" t="inlineStr">
        <is>
          <t>ÖSTERGÖTLANDS LÄN</t>
        </is>
      </c>
      <c r="G828" t="inlineStr">
        <is>
          <t>NORRKÖPING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1433-2025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45784</v>
      </c>
      <c r="E829" s="1" t="n">
        <v>46233</v>
      </c>
      <c r="F829" t="inlineStr">
        <is>
          <t>ÖSTERGÖTLANDS LÄN</t>
        </is>
      </c>
      <c r="G829" t="inlineStr">
        <is>
          <t>NORRKÖPING</t>
        </is>
      </c>
      <c r="I829" t="n">
        <v>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2026-07-30T01:48:57Z</dcterms:created>
  <dcterms:modified xmlns:dcterms="http://purl.org/dc/terms/" xmlns:xsi="http://www.w3.org/2001/XMLSchema-instance" xsi:type="dcterms:W3CDTF">2026-07-30T01:48:58Z</dcterms:modified>
</cp:coreProperties>
</file>