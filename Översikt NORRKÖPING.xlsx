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46253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46253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46253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46253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46253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46253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46253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46253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46253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46253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46253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46253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46253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46253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46253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46253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46253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46253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46253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46253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46253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46253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t="n">
        <v>2</v>
      </c>
      <c r="V43" s="2" t="inlineStr">
        <is>
          <t>Knärot
Blåmossa
Grönpyrola
Spillkråka</t>
        </is>
      </c>
      <c r="W43">
        <f>HYPERLINK("https://klasma.github.io/Logging_0581/artfynd/A 17465-2026 artfynd.xlsx", "A 17465-2026")</f>
        <v/>
      </c>
      <c r="X43">
        <f>HYPERLINK("https://klasma.github.io/Logging_0581/kartor/A 17465-2026 karta.png", "A 17465-2026")</f>
        <v/>
      </c>
      <c r="Y43">
        <f>HYPERLINK("https://klasma.github.io/Logging_0581/kartor_geotiff/A 17465-2026 georefererad karta.tif", "A 17465-2026")</f>
        <v/>
      </c>
      <c r="Z43">
        <f>HYPERLINK("https://klasma.github.io/Logging_0581/knärot/A 17465-2026 karta knärot.png", "A 17465-2026")</f>
        <v/>
      </c>
      <c r="AA43">
        <f>HYPERLINK("https://klasma.github.io/Logging_0581/klagomål/A 17465-2026 FSC-klagomål.docx", "A 17465-2026")</f>
        <v/>
      </c>
      <c r="AB43">
        <f>HYPERLINK("https://klasma.github.io/Logging_0581/klagomålsmail/A 17465-2026 FSC-klagomål mail.docx", "A 17465-2026")</f>
        <v/>
      </c>
      <c r="AC43">
        <f>HYPERLINK("https://klasma.github.io/Logging_0581/tillsyn/A 17465-2026 tillsynsbegäran.docx", "A 17465-2026")</f>
        <v/>
      </c>
      <c r="AD43">
        <f>HYPERLINK("https://klasma.github.io/Logging_0581/tillsynsmail/A 17465-2026 tillsynsbegäran mail.docx", "A 17465-2026")</f>
        <v/>
      </c>
      <c r="AE43">
        <f>HYPERLINK("https://klasma.github.io/Logging_0581/fåglar/A 17465-2026 prioriterade fågelarter.docx", "A 17465-2026")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46253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46253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46253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46253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46253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46253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44931</v>
      </c>
      <c r="E52" s="1" t="n">
        <v>46253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Kommuner</t>
        </is>
      </c>
      <c r="I52" t="n">
        <v>4.4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Nordfladdermus
Dvärgpipistrell
Vattenfladdermus</t>
        </is>
      </c>
      <c r="W52">
        <f>HYPERLINK("https://klasma.github.io/Logging_0581/artfynd/A 861-2023 artfynd.xlsx", "A 861-2023")</f>
        <v/>
      </c>
      <c r="X52">
        <f>HYPERLINK("https://klasma.github.io/Logging_0581/kartor/A 861-2023 karta.png", "A 861-2023")</f>
        <v/>
      </c>
      <c r="Y52">
        <f>HYPERLINK("https://klasma.github.io/Logging_0581/kartor_geotiff/A 861-2023 georefererad karta.tif", "A 861-2023")</f>
        <v/>
      </c>
      <c r="AA52">
        <f>HYPERLINK("https://klasma.github.io/Logging_0581/klagomål/A 861-2023 FSC-klagomål.docx", "A 861-2023")</f>
        <v/>
      </c>
      <c r="AB52">
        <f>HYPERLINK("https://klasma.github.io/Logging_0581/klagomålsmail/A 861-2023 FSC-klagomål mail.docx", "A 861-2023")</f>
        <v/>
      </c>
      <c r="AC52">
        <f>HYPERLINK("https://klasma.github.io/Logging_0581/tillsyn/A 861-2023 tillsynsbegäran.docx", "A 861-2023")</f>
        <v/>
      </c>
      <c r="AD52">
        <f>HYPERLINK("https://klasma.github.io/Logging_0581/tillsynsmail/A 861-2023 tillsynsbegäran mail.docx", "A 861-2023")</f>
        <v/>
      </c>
    </row>
    <row r="53" ht="15" customHeight="1">
      <c r="A53" t="inlineStr">
        <is>
          <t>A 19973-2025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46253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Vedskivlav
Blåmossa</t>
        </is>
      </c>
      <c r="W53">
        <f>HYPERLINK("https://klasma.github.io/Logging_0581/artfynd/A 19973-2025 artfynd.xlsx", "A 19973-2025")</f>
        <v/>
      </c>
      <c r="X53">
        <f>HYPERLINK("https://klasma.github.io/Logging_0581/kartor/A 19973-2025 karta.png", "A 19973-2025")</f>
        <v/>
      </c>
      <c r="Y53">
        <f>HYPERLINK("https://klasma.github.io/Logging_0581/kartor_geotiff/A 19973-2025 georefererad karta.tif", "A 19973-2025")</f>
        <v/>
      </c>
      <c r="AA53">
        <f>HYPERLINK("https://klasma.github.io/Logging_0581/klagomål/A 19973-2025 FSC-klagomål.docx", "A 19973-2025")</f>
        <v/>
      </c>
      <c r="AB53">
        <f>HYPERLINK("https://klasma.github.io/Logging_0581/klagomålsmail/A 19973-2025 FSC-klagomål mail.docx", "A 19973-2025")</f>
        <v/>
      </c>
      <c r="AC53">
        <f>HYPERLINK("https://klasma.github.io/Logging_0581/tillsyn/A 19973-2025 tillsynsbegäran.docx", "A 19973-2025")</f>
        <v/>
      </c>
      <c r="AD53">
        <f>HYPERLINK("https://klasma.github.io/Logging_0581/tillsynsmail/A 19973-2025 tillsynsbegäran mail.docx", "A 19973-2025")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46253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11757-2025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46253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10.2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Dropptaggsvamp
Blomkålssvamp
Kornknutmossa</t>
        </is>
      </c>
      <c r="W55">
        <f>HYPERLINK("https://klasma.github.io/Logging_0581/artfynd/A 11757-2025 artfynd.xlsx", "A 11757-2025")</f>
        <v/>
      </c>
      <c r="X55">
        <f>HYPERLINK("https://klasma.github.io/Logging_0581/kartor/A 11757-2025 karta.png", "A 11757-2025")</f>
        <v/>
      </c>
      <c r="Y55">
        <f>HYPERLINK("https://klasma.github.io/Logging_0581/kartor_geotiff/A 11757-2025 georefererad karta.tif", "A 11757-2025")</f>
        <v/>
      </c>
      <c r="AA55">
        <f>HYPERLINK("https://klasma.github.io/Logging_0581/klagomål/A 11757-2025 FSC-klagomål.docx", "A 11757-2025")</f>
        <v/>
      </c>
      <c r="AB55">
        <f>HYPERLINK("https://klasma.github.io/Logging_0581/klagomålsmail/A 11757-2025 FSC-klagomål mail.docx", "A 11757-2025")</f>
        <v/>
      </c>
      <c r="AC55">
        <f>HYPERLINK("https://klasma.github.io/Logging_0581/tillsyn/A 11757-2025 tillsynsbegäran.docx", "A 11757-2025")</f>
        <v/>
      </c>
      <c r="AD55">
        <f>HYPERLINK("https://klasma.github.io/Logging_0581/tillsynsmail/A 11757-2025 tillsynsbegäran mail.docx", "A 11757-2025")</f>
        <v/>
      </c>
    </row>
    <row r="56" ht="15" customHeight="1">
      <c r="A56" t="inlineStr">
        <is>
          <t>A 12692-2025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46253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6.1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2</v>
      </c>
      <c r="V56" s="2" t="inlineStr">
        <is>
          <t>Dvärgbägarlav
Vedskivlav
Mattlummer</t>
        </is>
      </c>
      <c r="W56">
        <f>HYPERLINK("https://klasma.github.io/Logging_0581/artfynd/A 12692-2025 artfynd.xlsx", "A 12692-2025")</f>
        <v/>
      </c>
      <c r="X56">
        <f>HYPERLINK("https://klasma.github.io/Logging_0581/kartor/A 12692-2025 karta.png", "A 12692-2025")</f>
        <v/>
      </c>
      <c r="Y56">
        <f>HYPERLINK("https://klasma.github.io/Logging_0581/kartor_geotiff/A 12692-2025 georefererad karta.tif", "A 12692-2025")</f>
        <v/>
      </c>
      <c r="AA56">
        <f>HYPERLINK("https://klasma.github.io/Logging_0581/klagomål/A 12692-2025 FSC-klagomål.docx", "A 12692-2025")</f>
        <v/>
      </c>
      <c r="AB56">
        <f>HYPERLINK("https://klasma.github.io/Logging_0581/klagomålsmail/A 12692-2025 FSC-klagomål mail.docx", "A 12692-2025")</f>
        <v/>
      </c>
      <c r="AC56">
        <f>HYPERLINK("https://klasma.github.io/Logging_0581/tillsyn/A 12692-2025 tillsynsbegäran.docx", "A 12692-2025")</f>
        <v/>
      </c>
      <c r="AD56">
        <f>HYPERLINK("https://klasma.github.io/Logging_0581/tillsynsmail/A 12692-2025 tillsynsbegäran mail.docx", "A 12692-2025")</f>
        <v/>
      </c>
    </row>
    <row r="57" ht="15" customHeight="1">
      <c r="A57" t="inlineStr">
        <is>
          <t>A 7316-2025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46253</v>
      </c>
      <c r="F57" t="inlineStr">
        <is>
          <t>ÖSTERGÖTLANDS LÄN</t>
        </is>
      </c>
      <c r="G57" t="inlineStr">
        <is>
          <t>NORRKÖPING</t>
        </is>
      </c>
      <c r="I57" t="n">
        <v>1.6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Silltrut
Vinterhämpling
Sångsvan</t>
        </is>
      </c>
      <c r="W57">
        <f>HYPERLINK("https://klasma.github.io/Logging_0581/artfynd/A 7316-2025 artfynd.xlsx", "A 7316-2025")</f>
        <v/>
      </c>
      <c r="X57">
        <f>HYPERLINK("https://klasma.github.io/Logging_0581/kartor/A 7316-2025 karta.png", "A 7316-2025")</f>
        <v/>
      </c>
      <c r="Y57">
        <f>HYPERLINK("https://klasma.github.io/Logging_0581/kartor_geotiff/A 7316-2025 georefererad karta.tif", "A 7316-2025")</f>
        <v/>
      </c>
      <c r="AA57">
        <f>HYPERLINK("https://klasma.github.io/Logging_0581/klagomål/A 7316-2025 FSC-klagomål.docx", "A 7316-2025")</f>
        <v/>
      </c>
      <c r="AB57">
        <f>HYPERLINK("https://klasma.github.io/Logging_0581/klagomålsmail/A 7316-2025 FSC-klagomål mail.docx", "A 7316-2025")</f>
        <v/>
      </c>
      <c r="AC57">
        <f>HYPERLINK("https://klasma.github.io/Logging_0581/tillsyn/A 7316-2025 tillsynsbegäran.docx", "A 7316-2025")</f>
        <v/>
      </c>
      <c r="AD57">
        <f>HYPERLINK("https://klasma.github.io/Logging_0581/tillsynsmail/A 7316-2025 tillsynsbegäran mail.docx", "A 7316-2025")</f>
        <v/>
      </c>
      <c r="AE57">
        <f>HYPERLINK("https://klasma.github.io/Logging_0581/fåglar/A 7316-2025 prioriterade fågelarter.docx", "A 7316-2025")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46253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35736-2025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46253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11.5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Vedskivlav
Tjäder</t>
        </is>
      </c>
      <c r="W59">
        <f>HYPERLINK("https://klasma.github.io/Logging_0581/artfynd/A 35736-2025 artfynd.xlsx", "A 35736-2025")</f>
        <v/>
      </c>
      <c r="X59">
        <f>HYPERLINK("https://klasma.github.io/Logging_0581/kartor/A 35736-2025 karta.png", "A 35736-2025")</f>
        <v/>
      </c>
      <c r="Y59">
        <f>HYPERLINK("https://klasma.github.io/Logging_0581/kartor_geotiff/A 35736-2025 georefererad karta.tif", "A 35736-2025")</f>
        <v/>
      </c>
      <c r="AA59">
        <f>HYPERLINK("https://klasma.github.io/Logging_0581/klagomål/A 35736-2025 FSC-klagomål.docx", "A 35736-2025")</f>
        <v/>
      </c>
      <c r="AB59">
        <f>HYPERLINK("https://klasma.github.io/Logging_0581/klagomålsmail/A 35736-2025 FSC-klagomål mail.docx", "A 35736-2025")</f>
        <v/>
      </c>
      <c r="AC59">
        <f>HYPERLINK("https://klasma.github.io/Logging_0581/tillsyn/A 35736-2025 tillsynsbegäran.docx", "A 35736-2025")</f>
        <v/>
      </c>
      <c r="AD59">
        <f>HYPERLINK("https://klasma.github.io/Logging_0581/tillsynsmail/A 35736-2025 tillsynsbegäran mail.docx", "A 35736-2025")</f>
        <v/>
      </c>
      <c r="AE59">
        <f>HYPERLINK("https://klasma.github.io/Logging_0581/fåglar/A 35736-2025 prioriterade fågelarter.docx", "A 35736-2025")</f>
        <v/>
      </c>
    </row>
    <row r="60" ht="15" customHeight="1">
      <c r="A60" t="inlineStr">
        <is>
          <t>A 19989-2026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46253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4.6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Hasselticka
Spillkråka</t>
        </is>
      </c>
      <c r="W60">
        <f>HYPERLINK("https://klasma.github.io/Logging_0581/artfynd/A 19989-2026 artfynd.xlsx", "A 19989-2026")</f>
        <v/>
      </c>
      <c r="X60">
        <f>HYPERLINK("https://klasma.github.io/Logging_0581/kartor/A 19989-2026 karta.png", "A 19989-2026")</f>
        <v/>
      </c>
      <c r="Y60">
        <f>HYPERLINK("https://klasma.github.io/Logging_0581/kartor_geotiff/A 19989-2026 georefererad karta.tif", "A 19989-2026")</f>
        <v/>
      </c>
      <c r="AA60">
        <f>HYPERLINK("https://klasma.github.io/Logging_0581/klagomål/A 19989-2026 FSC-klagomål.docx", "A 19989-2026")</f>
        <v/>
      </c>
      <c r="AB60">
        <f>HYPERLINK("https://klasma.github.io/Logging_0581/klagomålsmail/A 19989-2026 FSC-klagomål mail.docx", "A 19989-2026")</f>
        <v/>
      </c>
      <c r="AC60">
        <f>HYPERLINK("https://klasma.github.io/Logging_0581/tillsyn/A 19989-2026 tillsynsbegäran.docx", "A 19989-2026")</f>
        <v/>
      </c>
      <c r="AD60">
        <f>HYPERLINK("https://klasma.github.io/Logging_0581/tillsynsmail/A 19989-2026 tillsynsbegäran mail.docx", "A 19989-2026")</f>
        <v/>
      </c>
      <c r="AE60">
        <f>HYPERLINK("https://klasma.github.io/Logging_0581/fåglar/A 19989-2026 prioriterade fågelarter.docx", "A 19989-2026")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46253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46253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46253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Tallticka
Bronshjon
Blåsippa</t>
        </is>
      </c>
      <c r="W63">
        <f>HYPERLINK("https://klasma.github.io/Logging_0581/artfynd/A 8468-2023 artfynd.xlsx", "A 8468-2023")</f>
        <v/>
      </c>
      <c r="X63">
        <f>HYPERLINK("https://klasma.github.io/Logging_0581/kartor/A 8468-2023 karta.png", "A 8468-2023")</f>
        <v/>
      </c>
      <c r="Y63">
        <f>HYPERLINK("https://klasma.github.io/Logging_0581/kartor_geotiff/A 8468-2023 georefererad karta.tif", "A 8468-2023")</f>
        <v/>
      </c>
      <c r="AA63">
        <f>HYPERLINK("https://klasma.github.io/Logging_0581/klagomål/A 8468-2023 FSC-klagomål.docx", "A 8468-2023")</f>
        <v/>
      </c>
      <c r="AB63">
        <f>HYPERLINK("https://klasma.github.io/Logging_0581/klagomålsmail/A 8468-2023 FSC-klagomål mail.docx", "A 8468-2023")</f>
        <v/>
      </c>
      <c r="AC63">
        <f>HYPERLINK("https://klasma.github.io/Logging_0581/tillsyn/A 8468-2023 tillsynsbegäran.docx", "A 8468-2023")</f>
        <v/>
      </c>
      <c r="AD63">
        <f>HYPERLINK("https://klasma.github.io/Logging_0581/tillsynsmail/A 8468-2023 tillsynsbegäran mail.docx", "A 8468-2023")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46253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46253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30829-2026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46212</v>
      </c>
      <c r="E66" s="1" t="n">
        <v>46253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Björksplintborre
Kornknutmossa
Stor aspticka</t>
        </is>
      </c>
      <c r="W66">
        <f>HYPERLINK("https://klasma.github.io/Logging_0581/artfynd/A 30829-2026 artfynd.xlsx", "A 30829-2026")</f>
        <v/>
      </c>
      <c r="X66">
        <f>HYPERLINK("https://klasma.github.io/Logging_0581/kartor/A 30829-2026 karta.png", "A 30829-2026")</f>
        <v/>
      </c>
      <c r="Y66">
        <f>HYPERLINK("https://klasma.github.io/Logging_0581/kartor_geotiff/A 30829-2026 georefererad karta.tif", "A 30829-2026")</f>
        <v/>
      </c>
      <c r="AA66">
        <f>HYPERLINK("https://klasma.github.io/Logging_0581/klagomål/A 30829-2026 FSC-klagomål.docx", "A 30829-2026")</f>
        <v/>
      </c>
      <c r="AB66">
        <f>HYPERLINK("https://klasma.github.io/Logging_0581/klagomålsmail/A 30829-2026 FSC-klagomål mail.docx", "A 30829-2026")</f>
        <v/>
      </c>
      <c r="AC66">
        <f>HYPERLINK("https://klasma.github.io/Logging_0581/tillsyn/A 30829-2026 tillsynsbegäran.docx", "A 30829-2026")</f>
        <v/>
      </c>
      <c r="AD66">
        <f>HYPERLINK("https://klasma.github.io/Logging_0581/tillsynsmail/A 30829-2026 tillsynsbegäran mail.docx", "A 30829-2026")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46253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46253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46253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46253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46253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46253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46253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46253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46955-2023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46253</v>
      </c>
      <c r="F77" t="inlineStr">
        <is>
          <t>ÖSTERGÖTLANDS LÄN</t>
        </is>
      </c>
      <c r="G77" t="inlineStr">
        <is>
          <t>NORRKÖPING</t>
        </is>
      </c>
      <c r="I77" t="n">
        <v>4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Sparvuggla</t>
        </is>
      </c>
      <c r="W77">
        <f>HYPERLINK("https://klasma.github.io/Logging_0581/artfynd/A 46955-2023 artfynd.xlsx", "A 46955-2023")</f>
        <v/>
      </c>
      <c r="X77">
        <f>HYPERLINK("https://klasma.github.io/Logging_0581/kartor/A 46955-2023 karta.png", "A 46955-2023")</f>
        <v/>
      </c>
      <c r="Y77">
        <f>HYPERLINK("https://klasma.github.io/Logging_0581/kartor_geotiff/A 46955-2023 georefererad karta.tif", "A 46955-2023")</f>
        <v/>
      </c>
      <c r="AA77">
        <f>HYPERLINK("https://klasma.github.io/Logging_0581/klagomål/A 46955-2023 FSC-klagomål.docx", "A 46955-2023")</f>
        <v/>
      </c>
      <c r="AB77">
        <f>HYPERLINK("https://klasma.github.io/Logging_0581/klagomålsmail/A 46955-2023 FSC-klagomål mail.docx", "A 46955-2023")</f>
        <v/>
      </c>
      <c r="AC77">
        <f>HYPERLINK("https://klasma.github.io/Logging_0581/tillsyn/A 46955-2023 tillsynsbegäran.docx", "A 46955-2023")</f>
        <v/>
      </c>
      <c r="AD77">
        <f>HYPERLINK("https://klasma.github.io/Logging_0581/tillsynsmail/A 46955-2023 tillsynsbegäran mail.docx", "A 46955-2023")</f>
        <v/>
      </c>
      <c r="AE77">
        <f>HYPERLINK("https://klasma.github.io/Logging_0581/fåglar/A 46955-2023 prioriterade fågelarter.docx", "A 46955-2023")</f>
        <v/>
      </c>
    </row>
    <row r="78" ht="15" customHeight="1">
      <c r="A78" t="inlineStr">
        <is>
          <t>A 3815-2026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46043</v>
      </c>
      <c r="E78" s="1" t="n">
        <v>46253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1.1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Grönfink
Kungsfågel</t>
        </is>
      </c>
      <c r="W78">
        <f>HYPERLINK("https://klasma.github.io/Logging_0581/artfynd/A 3815-2026 artfynd.xlsx", "A 3815-2026")</f>
        <v/>
      </c>
      <c r="X78">
        <f>HYPERLINK("https://klasma.github.io/Logging_0581/kartor/A 3815-2026 karta.png", "A 3815-2026")</f>
        <v/>
      </c>
      <c r="Y78">
        <f>HYPERLINK("https://klasma.github.io/Logging_0581/kartor_geotiff/A 3815-2026 georefererad karta.tif", "A 3815-2026")</f>
        <v/>
      </c>
      <c r="AA78">
        <f>HYPERLINK("https://klasma.github.io/Logging_0581/klagomål/A 3815-2026 FSC-klagomål.docx", "A 3815-2026")</f>
        <v/>
      </c>
      <c r="AB78">
        <f>HYPERLINK("https://klasma.github.io/Logging_0581/klagomålsmail/A 3815-2026 FSC-klagomål mail.docx", "A 3815-2026")</f>
        <v/>
      </c>
      <c r="AC78">
        <f>HYPERLINK("https://klasma.github.io/Logging_0581/tillsyn/A 3815-2026 tillsynsbegäran.docx", "A 3815-2026")</f>
        <v/>
      </c>
      <c r="AD78">
        <f>HYPERLINK("https://klasma.github.io/Logging_0581/tillsynsmail/A 3815-2026 tillsynsbegäran mail.docx", "A 3815-2026")</f>
        <v/>
      </c>
      <c r="AE78">
        <f>HYPERLINK("https://klasma.github.io/Logging_0581/fåglar/A 3815-2026 prioriterade fågelarter.docx", "A 3815-2026")</f>
        <v/>
      </c>
    </row>
    <row r="79" ht="15" customHeight="1">
      <c r="A79" t="inlineStr">
        <is>
          <t>A 14459-2024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46253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Talltita</t>
        </is>
      </c>
      <c r="W79">
        <f>HYPERLINK("https://klasma.github.io/Logging_0581/artfynd/A 14459-2024 artfynd.xlsx", "A 14459-2024")</f>
        <v/>
      </c>
      <c r="X79">
        <f>HYPERLINK("https://klasma.github.io/Logging_0581/kartor/A 14459-2024 karta.png", "A 14459-2024")</f>
        <v/>
      </c>
      <c r="Y79">
        <f>HYPERLINK("https://klasma.github.io/Logging_0581/kartor_geotiff/A 14459-2024 georefererad karta.tif", "A 14459-2024")</f>
        <v/>
      </c>
      <c r="AA79">
        <f>HYPERLINK("https://klasma.github.io/Logging_0581/klagomål/A 14459-2024 FSC-klagomål.docx", "A 14459-2024")</f>
        <v/>
      </c>
      <c r="AB79">
        <f>HYPERLINK("https://klasma.github.io/Logging_0581/klagomålsmail/A 14459-2024 FSC-klagomål mail.docx", "A 14459-2024")</f>
        <v/>
      </c>
      <c r="AC79">
        <f>HYPERLINK("https://klasma.github.io/Logging_0581/tillsyn/A 14459-2024 tillsynsbegäran.docx", "A 14459-2024")</f>
        <v/>
      </c>
      <c r="AD79">
        <f>HYPERLINK("https://klasma.github.io/Logging_0581/tillsynsmail/A 14459-2024 tillsynsbegäran mail.docx", "A 14459-2024")</f>
        <v/>
      </c>
      <c r="AE79">
        <f>HYPERLINK("https://klasma.github.io/Logging_0581/fåglar/A 14459-2024 prioriterade fågelarter.docx", "A 14459-2024")</f>
        <v/>
      </c>
    </row>
    <row r="80" ht="15" customHeight="1">
      <c r="A80" t="inlineStr">
        <is>
          <t>A 40315-2025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46253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8.699999999999999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Mattlummer
Revlummer</t>
        </is>
      </c>
      <c r="W80">
        <f>HYPERLINK("https://klasma.github.io/Logging_0581/artfynd/A 40315-2025 artfynd.xlsx", "A 40315-2025")</f>
        <v/>
      </c>
      <c r="X80">
        <f>HYPERLINK("https://klasma.github.io/Logging_0581/kartor/A 40315-2025 karta.png", "A 40315-2025")</f>
        <v/>
      </c>
      <c r="Y80">
        <f>HYPERLINK("https://klasma.github.io/Logging_0581/kartor_geotiff/A 40315-2025 georefererad karta.tif", "A 40315-2025")</f>
        <v/>
      </c>
      <c r="AA80">
        <f>HYPERLINK("https://klasma.github.io/Logging_0581/klagomål/A 40315-2025 FSC-klagomål.docx", "A 40315-2025")</f>
        <v/>
      </c>
      <c r="AB80">
        <f>HYPERLINK("https://klasma.github.io/Logging_0581/klagomålsmail/A 40315-2025 FSC-klagomål mail.docx", "A 40315-2025")</f>
        <v/>
      </c>
      <c r="AC80">
        <f>HYPERLINK("https://klasma.github.io/Logging_0581/tillsyn/A 40315-2025 tillsynsbegäran.docx", "A 40315-2025")</f>
        <v/>
      </c>
      <c r="AD80">
        <f>HYPERLINK("https://klasma.github.io/Logging_0581/tillsynsmail/A 40315-2025 tillsynsbegäran mail.docx", "A 40315-2025")</f>
        <v/>
      </c>
    </row>
    <row r="81" ht="15" customHeight="1">
      <c r="A81" t="inlineStr">
        <is>
          <t>A 49869-2021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46253</v>
      </c>
      <c r="F81" t="inlineStr">
        <is>
          <t>ÖSTERGÖTLANDS LÄN</t>
        </is>
      </c>
      <c r="G81" t="inlineStr">
        <is>
          <t>NORRKÖPING</t>
        </is>
      </c>
      <c r="I81" t="n">
        <v>2.2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Jungfrulin
Knippnejlika</t>
        </is>
      </c>
      <c r="W81">
        <f>HYPERLINK("https://klasma.github.io/Logging_0581/artfynd/A 49869-2021 artfynd.xlsx", "A 49869-2021")</f>
        <v/>
      </c>
      <c r="X81">
        <f>HYPERLINK("https://klasma.github.io/Logging_0581/kartor/A 49869-2021 karta.png", "A 49869-2021")</f>
        <v/>
      </c>
      <c r="Y81">
        <f>HYPERLINK("https://klasma.github.io/Logging_0581/kartor_geotiff/A 49869-2021 georefererad karta.tif", "A 49869-2021")</f>
        <v/>
      </c>
      <c r="AA81">
        <f>HYPERLINK("https://klasma.github.io/Logging_0581/klagomål/A 49869-2021 FSC-klagomål.docx", "A 49869-2021")</f>
        <v/>
      </c>
      <c r="AB81">
        <f>HYPERLINK("https://klasma.github.io/Logging_0581/klagomålsmail/A 49869-2021 FSC-klagomål mail.docx", "A 49869-2021")</f>
        <v/>
      </c>
      <c r="AC81">
        <f>HYPERLINK("https://klasma.github.io/Logging_0581/tillsyn/A 49869-2021 tillsynsbegäran.docx", "A 49869-2021")</f>
        <v/>
      </c>
      <c r="AD81">
        <f>HYPERLINK("https://klasma.github.io/Logging_0581/tillsynsmail/A 49869-2021 tillsynsbegäran mail.docx", "A 49869-2021")</f>
        <v/>
      </c>
    </row>
    <row r="82" ht="15" customHeight="1">
      <c r="A82" t="inlineStr">
        <is>
          <t>A 12188-2026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46086</v>
      </c>
      <c r="E82" s="1" t="n">
        <v>46253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7.8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Blomkålssvamp
Korallrot</t>
        </is>
      </c>
      <c r="W82">
        <f>HYPERLINK("https://klasma.github.io/Logging_0581/artfynd/A 12188-2026 artfynd.xlsx", "A 12188-2026")</f>
        <v/>
      </c>
      <c r="X82">
        <f>HYPERLINK("https://klasma.github.io/Logging_0581/kartor/A 12188-2026 karta.png", "A 12188-2026")</f>
        <v/>
      </c>
      <c r="Y82">
        <f>HYPERLINK("https://klasma.github.io/Logging_0581/kartor_geotiff/A 12188-2026 georefererad karta.tif", "A 12188-2026")</f>
        <v/>
      </c>
      <c r="AA82">
        <f>HYPERLINK("https://klasma.github.io/Logging_0581/klagomål/A 12188-2026 FSC-klagomål.docx", "A 12188-2026")</f>
        <v/>
      </c>
      <c r="AB82">
        <f>HYPERLINK("https://klasma.github.io/Logging_0581/klagomålsmail/A 12188-2026 FSC-klagomål mail.docx", "A 12188-2026")</f>
        <v/>
      </c>
      <c r="AC82">
        <f>HYPERLINK("https://klasma.github.io/Logging_0581/tillsyn/A 12188-2026 tillsynsbegäran.docx", "A 12188-2026")</f>
        <v/>
      </c>
      <c r="AD82">
        <f>HYPERLINK("https://klasma.github.io/Logging_0581/tillsynsmail/A 12188-2026 tillsynsbegäran mail.docx", "A 12188-2026")</f>
        <v/>
      </c>
    </row>
    <row r="83" ht="15" customHeight="1">
      <c r="A83" t="inlineStr">
        <is>
          <t>A 11490-2023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46253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Mattlummer
Trädlärka</t>
        </is>
      </c>
      <c r="W83">
        <f>HYPERLINK("https://klasma.github.io/Logging_0581/artfynd/A 11490-2023 artfynd.xlsx", "A 11490-2023")</f>
        <v/>
      </c>
      <c r="X83">
        <f>HYPERLINK("https://klasma.github.io/Logging_0581/kartor/A 11490-2023 karta.png", "A 11490-2023")</f>
        <v/>
      </c>
      <c r="Y83">
        <f>HYPERLINK("https://klasma.github.io/Logging_0581/kartor_geotiff/A 11490-2023 georefererad karta.tif", "A 11490-2023")</f>
        <v/>
      </c>
      <c r="AA83">
        <f>HYPERLINK("https://klasma.github.io/Logging_0581/klagomål/A 11490-2023 FSC-klagomål.docx", "A 11490-2023")</f>
        <v/>
      </c>
      <c r="AB83">
        <f>HYPERLINK("https://klasma.github.io/Logging_0581/klagomålsmail/A 11490-2023 FSC-klagomål mail.docx", "A 11490-2023")</f>
        <v/>
      </c>
      <c r="AC83">
        <f>HYPERLINK("https://klasma.github.io/Logging_0581/tillsyn/A 11490-2023 tillsynsbegäran.docx", "A 11490-2023")</f>
        <v/>
      </c>
      <c r="AD83">
        <f>HYPERLINK("https://klasma.github.io/Logging_0581/tillsynsmail/A 11490-2023 tillsynsbegäran mail.docx", "A 11490-2023")</f>
        <v/>
      </c>
      <c r="AE83">
        <f>HYPERLINK("https://klasma.github.io/Logging_0581/fåglar/A 11490-2023 prioriterade fågelarter.docx", "A 11490-2023")</f>
        <v/>
      </c>
    </row>
    <row r="84" ht="15" customHeight="1">
      <c r="A84" t="inlineStr">
        <is>
          <t>A 27503-2022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44742</v>
      </c>
      <c r="E84" s="1" t="n">
        <v>46253</v>
      </c>
      <c r="F84" t="inlineStr">
        <is>
          <t>ÖSTERGÖTLANDS LÄN</t>
        </is>
      </c>
      <c r="G84" t="inlineStr">
        <is>
          <t>NORRKÖPING</t>
        </is>
      </c>
      <c r="I84" t="n">
        <v>2.9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Svinrot
Ängsskära</t>
        </is>
      </c>
      <c r="W84">
        <f>HYPERLINK("https://klasma.github.io/Logging_0581/artfynd/A 27503-2022 artfynd.xlsx", "A 27503-2022")</f>
        <v/>
      </c>
      <c r="X84">
        <f>HYPERLINK("https://klasma.github.io/Logging_0581/kartor/A 27503-2022 karta.png", "A 27503-2022")</f>
        <v/>
      </c>
      <c r="Y84">
        <f>HYPERLINK("https://klasma.github.io/Logging_0581/kartor_geotiff/A 27503-2022 georefererad karta.tif", "A 27503-2022")</f>
        <v/>
      </c>
      <c r="AA84">
        <f>HYPERLINK("https://klasma.github.io/Logging_0581/klagomål/A 27503-2022 FSC-klagomål.docx", "A 27503-2022")</f>
        <v/>
      </c>
      <c r="AB84">
        <f>HYPERLINK("https://klasma.github.io/Logging_0581/klagomålsmail/A 27503-2022 FSC-klagomål mail.docx", "A 27503-2022")</f>
        <v/>
      </c>
      <c r="AC84">
        <f>HYPERLINK("https://klasma.github.io/Logging_0581/tillsyn/A 27503-2022 tillsynsbegäran.docx", "A 27503-2022")</f>
        <v/>
      </c>
      <c r="AD84">
        <f>HYPERLINK("https://klasma.github.io/Logging_0581/tillsynsmail/A 27503-2022 tillsynsbegäran mail.docx", "A 27503-2022")</f>
        <v/>
      </c>
    </row>
    <row r="85" ht="15" customHeight="1">
      <c r="A85" t="inlineStr">
        <is>
          <t>A 5809-2025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45694</v>
      </c>
      <c r="E85" s="1" t="n">
        <v>46253</v>
      </c>
      <c r="F85" t="inlineStr">
        <is>
          <t>ÖSTERGÖTLANDS LÄN</t>
        </is>
      </c>
      <c r="G85" t="inlineStr">
        <is>
          <t>NORRKÖPING</t>
        </is>
      </c>
      <c r="I85" t="n">
        <v>3.7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Blåsippa
Vanlig padda</t>
        </is>
      </c>
      <c r="W85">
        <f>HYPERLINK("https://klasma.github.io/Logging_0581/artfynd/A 5809-2025 artfynd.xlsx", "A 5809-2025")</f>
        <v/>
      </c>
      <c r="X85">
        <f>HYPERLINK("https://klasma.github.io/Logging_0581/kartor/A 5809-2025 karta.png", "A 5809-2025")</f>
        <v/>
      </c>
      <c r="Y85">
        <f>HYPERLINK("https://klasma.github.io/Logging_0581/kartor_geotiff/A 5809-2025 georefererad karta.tif", "A 5809-2025")</f>
        <v/>
      </c>
      <c r="AA85">
        <f>HYPERLINK("https://klasma.github.io/Logging_0581/klagomål/A 5809-2025 FSC-klagomål.docx", "A 5809-2025")</f>
        <v/>
      </c>
      <c r="AB85">
        <f>HYPERLINK("https://klasma.github.io/Logging_0581/klagomålsmail/A 5809-2025 FSC-klagomål mail.docx", "A 5809-2025")</f>
        <v/>
      </c>
      <c r="AC85">
        <f>HYPERLINK("https://klasma.github.io/Logging_0581/tillsyn/A 5809-2025 tillsynsbegäran.docx", "A 5809-2025")</f>
        <v/>
      </c>
      <c r="AD85">
        <f>HYPERLINK("https://klasma.github.io/Logging_0581/tillsynsmail/A 5809-2025 tillsynsbegäran mail.docx", "A 5809-2025")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46253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10769-2024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45369</v>
      </c>
      <c r="E87" s="1" t="n">
        <v>46253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2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10769-2024 artfynd.xlsx", "A 10769-2024")</f>
        <v/>
      </c>
      <c r="X87">
        <f>HYPERLINK("https://klasma.github.io/Logging_0581/kartor/A 10769-2024 karta.png", "A 10769-2024")</f>
        <v/>
      </c>
      <c r="Y87">
        <f>HYPERLINK("https://klasma.github.io/Logging_0581/kartor_geotiff/A 10769-2024 georefererad karta.tif", "A 10769-2024")</f>
        <v/>
      </c>
      <c r="AA87">
        <f>HYPERLINK("https://klasma.github.io/Logging_0581/klagomål/A 10769-2024 FSC-klagomål.docx", "A 10769-2024")</f>
        <v/>
      </c>
      <c r="AB87">
        <f>HYPERLINK("https://klasma.github.io/Logging_0581/klagomålsmail/A 10769-2024 FSC-klagomål mail.docx", "A 10769-2024")</f>
        <v/>
      </c>
      <c r="AC87">
        <f>HYPERLINK("https://klasma.github.io/Logging_0581/tillsyn/A 10769-2024 tillsynsbegäran.docx", "A 10769-2024")</f>
        <v/>
      </c>
      <c r="AD87">
        <f>HYPERLINK("https://klasma.github.io/Logging_0581/tillsynsmail/A 10769-2024 tillsynsbegäran mail.docx", "A 10769-2024")</f>
        <v/>
      </c>
      <c r="AE87">
        <f>HYPERLINK("https://klasma.github.io/Logging_0581/fåglar/A 10769-2024 prioriterade fågelarter.docx", "A 10769-2024")</f>
        <v/>
      </c>
    </row>
    <row r="88" ht="15" customHeight="1">
      <c r="A88" t="inlineStr">
        <is>
          <t>A 42365-2025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46253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Tibast</t>
        </is>
      </c>
      <c r="W88">
        <f>HYPERLINK("https://klasma.github.io/Logging_0581/artfynd/A 42365-2025 artfynd.xlsx", "A 42365-2025")</f>
        <v/>
      </c>
      <c r="X88">
        <f>HYPERLINK("https://klasma.github.io/Logging_0581/kartor/A 42365-2025 karta.png", "A 42365-2025")</f>
        <v/>
      </c>
      <c r="Y88">
        <f>HYPERLINK("https://klasma.github.io/Logging_0581/kartor_geotiff/A 42365-2025 georefererad karta.tif", "A 42365-2025")</f>
        <v/>
      </c>
      <c r="AA88">
        <f>HYPERLINK("https://klasma.github.io/Logging_0581/klagomål/A 42365-2025 FSC-klagomål.docx", "A 42365-2025")</f>
        <v/>
      </c>
      <c r="AB88">
        <f>HYPERLINK("https://klasma.github.io/Logging_0581/klagomålsmail/A 42365-2025 FSC-klagomål mail.docx", "A 42365-2025")</f>
        <v/>
      </c>
      <c r="AC88">
        <f>HYPERLINK("https://klasma.github.io/Logging_0581/tillsyn/A 42365-2025 tillsynsbegäran.docx", "A 42365-2025")</f>
        <v/>
      </c>
      <c r="AD88">
        <f>HYPERLINK("https://klasma.github.io/Logging_0581/tillsynsmail/A 42365-2025 tillsynsbegäran mail.docx", "A 42365-2025")</f>
        <v/>
      </c>
    </row>
    <row r="89" ht="15" customHeight="1">
      <c r="A89" t="inlineStr">
        <is>
          <t>A 53852-2022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44880</v>
      </c>
      <c r="E89" s="1" t="n">
        <v>46253</v>
      </c>
      <c r="F89" t="inlineStr">
        <is>
          <t>ÖSTERGÖTLANDS LÄN</t>
        </is>
      </c>
      <c r="G89" t="inlineStr">
        <is>
          <t>NORRKÖPING</t>
        </is>
      </c>
      <c r="I89" t="n">
        <v>1.8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Tibast
Blåsippa</t>
        </is>
      </c>
      <c r="W89">
        <f>HYPERLINK("https://klasma.github.io/Logging_0581/artfynd/A 53852-2022 artfynd.xlsx", "A 53852-2022")</f>
        <v/>
      </c>
      <c r="X89">
        <f>HYPERLINK("https://klasma.github.io/Logging_0581/kartor/A 53852-2022 karta.png", "A 53852-2022")</f>
        <v/>
      </c>
      <c r="Y89">
        <f>HYPERLINK("https://klasma.github.io/Logging_0581/kartor_geotiff/A 53852-2022 georefererad karta.tif", "A 53852-2022")</f>
        <v/>
      </c>
      <c r="AA89">
        <f>HYPERLINK("https://klasma.github.io/Logging_0581/klagomål/A 53852-2022 FSC-klagomål.docx", "A 53852-2022")</f>
        <v/>
      </c>
      <c r="AB89">
        <f>HYPERLINK("https://klasma.github.io/Logging_0581/klagomålsmail/A 53852-2022 FSC-klagomål mail.docx", "A 53852-2022")</f>
        <v/>
      </c>
      <c r="AC89">
        <f>HYPERLINK("https://klasma.github.io/Logging_0581/tillsyn/A 53852-2022 tillsynsbegäran.docx", "A 53852-2022")</f>
        <v/>
      </c>
      <c r="AD89">
        <f>HYPERLINK("https://klasma.github.io/Logging_0581/tillsynsmail/A 53852-2022 tillsynsbegäran mail.docx", "A 53852-2022")</f>
        <v/>
      </c>
    </row>
    <row r="90" ht="15" customHeight="1">
      <c r="A90" t="inlineStr">
        <is>
          <t>A 14636-2025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45742</v>
      </c>
      <c r="E90" s="1" t="n">
        <v>46253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17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Tjäder</t>
        </is>
      </c>
      <c r="W90">
        <f>HYPERLINK("https://klasma.github.io/Logging_0581/artfynd/A 14636-2025 artfynd.xlsx", "A 14636-2025")</f>
        <v/>
      </c>
      <c r="X90">
        <f>HYPERLINK("https://klasma.github.io/Logging_0581/kartor/A 14636-2025 karta.png", "A 14636-2025")</f>
        <v/>
      </c>
      <c r="Y90">
        <f>HYPERLINK("https://klasma.github.io/Logging_0581/kartor_geotiff/A 14636-2025 georefererad karta.tif", "A 14636-2025")</f>
        <v/>
      </c>
      <c r="AA90">
        <f>HYPERLINK("https://klasma.github.io/Logging_0581/klagomål/A 14636-2025 FSC-klagomål.docx", "A 14636-2025")</f>
        <v/>
      </c>
      <c r="AB90">
        <f>HYPERLINK("https://klasma.github.io/Logging_0581/klagomålsmail/A 14636-2025 FSC-klagomål mail.docx", "A 14636-2025")</f>
        <v/>
      </c>
      <c r="AC90">
        <f>HYPERLINK("https://klasma.github.io/Logging_0581/tillsyn/A 14636-2025 tillsynsbegäran.docx", "A 14636-2025")</f>
        <v/>
      </c>
      <c r="AD90">
        <f>HYPERLINK("https://klasma.github.io/Logging_0581/tillsynsmail/A 14636-2025 tillsynsbegäran mail.docx", "A 14636-2025")</f>
        <v/>
      </c>
      <c r="AE90">
        <f>HYPERLINK("https://klasma.github.io/Logging_0581/fåglar/A 14636-2025 prioriterade fågelarter.docx", "A 14636-2025")</f>
        <v/>
      </c>
    </row>
    <row r="91" ht="15" customHeight="1">
      <c r="A91" t="inlineStr">
        <is>
          <t>A 17793-2025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46253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6.7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Blåmossa
Huggorm</t>
        </is>
      </c>
      <c r="W91">
        <f>HYPERLINK("https://klasma.github.io/Logging_0581/artfynd/A 17793-2025 artfynd.xlsx", "A 17793-2025")</f>
        <v/>
      </c>
      <c r="X91">
        <f>HYPERLINK("https://klasma.github.io/Logging_0581/kartor/A 17793-2025 karta.png", "A 17793-2025")</f>
        <v/>
      </c>
      <c r="Y91">
        <f>HYPERLINK("https://klasma.github.io/Logging_0581/kartor_geotiff/A 17793-2025 georefererad karta.tif", "A 17793-2025")</f>
        <v/>
      </c>
      <c r="AA91">
        <f>HYPERLINK("https://klasma.github.io/Logging_0581/klagomål/A 17793-2025 FSC-klagomål.docx", "A 17793-2025")</f>
        <v/>
      </c>
      <c r="AB91">
        <f>HYPERLINK("https://klasma.github.io/Logging_0581/klagomålsmail/A 17793-2025 FSC-klagomål mail.docx", "A 17793-2025")</f>
        <v/>
      </c>
      <c r="AC91">
        <f>HYPERLINK("https://klasma.github.io/Logging_0581/tillsyn/A 17793-2025 tillsynsbegäran.docx", "A 17793-2025")</f>
        <v/>
      </c>
      <c r="AD91">
        <f>HYPERLINK("https://klasma.github.io/Logging_0581/tillsynsmail/A 17793-2025 tillsynsbegäran mail.docx", "A 17793-2025")</f>
        <v/>
      </c>
    </row>
    <row r="92" ht="15" customHeight="1">
      <c r="A92" t="inlineStr">
        <is>
          <t>A 46692-2024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46253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Dvärgbägarlav
Flagellkvastmossa</t>
        </is>
      </c>
      <c r="W92">
        <f>HYPERLINK("https://klasma.github.io/Logging_0581/artfynd/A 46692-2024 artfynd.xlsx", "A 46692-2024")</f>
        <v/>
      </c>
      <c r="X92">
        <f>HYPERLINK("https://klasma.github.io/Logging_0581/kartor/A 46692-2024 karta.png", "A 46692-2024")</f>
        <v/>
      </c>
      <c r="Y92">
        <f>HYPERLINK("https://klasma.github.io/Logging_0581/kartor_geotiff/A 46692-2024 georefererad karta.tif", "A 46692-2024")</f>
        <v/>
      </c>
      <c r="AA92">
        <f>HYPERLINK("https://klasma.github.io/Logging_0581/klagomål/A 46692-2024 FSC-klagomål.docx", "A 46692-2024")</f>
        <v/>
      </c>
      <c r="AB92">
        <f>HYPERLINK("https://klasma.github.io/Logging_0581/klagomålsmail/A 46692-2024 FSC-klagomål mail.docx", "A 46692-2024")</f>
        <v/>
      </c>
      <c r="AC92">
        <f>HYPERLINK("https://klasma.github.io/Logging_0581/tillsyn/A 46692-2024 tillsynsbegäran.docx", "A 46692-2024")</f>
        <v/>
      </c>
      <c r="AD92">
        <f>HYPERLINK("https://klasma.github.io/Logging_0581/tillsynsmail/A 46692-2024 tillsynsbegäran mail.docx", "A 46692-2024")</f>
        <v/>
      </c>
    </row>
    <row r="93" ht="15" customHeight="1">
      <c r="A93" t="inlineStr">
        <is>
          <t>A 56971-2025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46253</v>
      </c>
      <c r="F93" t="inlineStr">
        <is>
          <t>ÖSTERGÖTLANDS LÄN</t>
        </is>
      </c>
      <c r="G93" t="inlineStr">
        <is>
          <t>NORRKÖPING</t>
        </is>
      </c>
      <c r="I93" t="n">
        <v>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Tallticka</t>
        </is>
      </c>
      <c r="W93">
        <f>HYPERLINK("https://klasma.github.io/Logging_0581/artfynd/A 56971-2025 artfynd.xlsx", "A 56971-2025")</f>
        <v/>
      </c>
      <c r="X93">
        <f>HYPERLINK("https://klasma.github.io/Logging_0581/kartor/A 56971-2025 karta.png", "A 56971-2025")</f>
        <v/>
      </c>
      <c r="Y93">
        <f>HYPERLINK("https://klasma.github.io/Logging_0581/kartor_geotiff/A 56971-2025 georefererad karta.tif", "A 56971-2025")</f>
        <v/>
      </c>
      <c r="Z93">
        <f>HYPERLINK("https://klasma.github.io/Logging_0581/knärot/A 56971-2025 karta knärot.png", "A 56971-2025")</f>
        <v/>
      </c>
      <c r="AA93">
        <f>HYPERLINK("https://klasma.github.io/Logging_0581/klagomål/A 56971-2025 FSC-klagomål.docx", "A 56971-2025")</f>
        <v/>
      </c>
      <c r="AB93">
        <f>HYPERLINK("https://klasma.github.io/Logging_0581/klagomålsmail/A 56971-2025 FSC-klagomål mail.docx", "A 56971-2025")</f>
        <v/>
      </c>
      <c r="AC93">
        <f>HYPERLINK("https://klasma.github.io/Logging_0581/tillsyn/A 56971-2025 tillsynsbegäran.docx", "A 56971-2025")</f>
        <v/>
      </c>
      <c r="AD93">
        <f>HYPERLINK("https://klasma.github.io/Logging_0581/tillsynsmail/A 56971-2025 tillsynsbegäran mail.docx", "A 56971-2025")</f>
        <v/>
      </c>
    </row>
    <row r="94" ht="15" customHeight="1">
      <c r="A94" t="inlineStr">
        <is>
          <t>A 58380-2025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46253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10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Tallticka</t>
        </is>
      </c>
      <c r="W94">
        <f>HYPERLINK("https://klasma.github.io/Logging_0581/artfynd/A 58380-2025 artfynd.xlsx", "A 58380-2025")</f>
        <v/>
      </c>
      <c r="X94">
        <f>HYPERLINK("https://klasma.github.io/Logging_0581/kartor/A 58380-2025 karta.png", "A 58380-2025")</f>
        <v/>
      </c>
      <c r="Y94">
        <f>HYPERLINK("https://klasma.github.io/Logging_0581/kartor_geotiff/A 58380-2025 georefererad karta.tif", "A 58380-2025")</f>
        <v/>
      </c>
      <c r="Z94">
        <f>HYPERLINK("https://klasma.github.io/Logging_0581/knärot/A 58380-2025 karta knärot.png", "A 58380-2025")</f>
        <v/>
      </c>
      <c r="AA94">
        <f>HYPERLINK("https://klasma.github.io/Logging_0581/klagomål/A 58380-2025 FSC-klagomål.docx", "A 58380-2025")</f>
        <v/>
      </c>
      <c r="AB94">
        <f>HYPERLINK("https://klasma.github.io/Logging_0581/klagomålsmail/A 58380-2025 FSC-klagomål mail.docx", "A 58380-2025")</f>
        <v/>
      </c>
      <c r="AC94">
        <f>HYPERLINK("https://klasma.github.io/Logging_0581/tillsyn/A 58380-2025 tillsynsbegäran.docx", "A 58380-2025")</f>
        <v/>
      </c>
      <c r="AD94">
        <f>HYPERLINK("https://klasma.github.io/Logging_0581/tillsynsmail/A 58380-2025 tillsynsbegäran mail.docx", "A 58380-2025")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46253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Ask
Blåsippa</t>
        </is>
      </c>
      <c r="W95">
        <f>HYPERLINK("https://klasma.github.io/Logging_0581/artfynd/A 9722-2025 artfynd.xlsx", "A 9722-2025")</f>
        <v/>
      </c>
      <c r="X95">
        <f>HYPERLINK("https://klasma.github.io/Logging_0581/kartor/A 9722-2025 karta.png", "A 9722-2025")</f>
        <v/>
      </c>
      <c r="Y95">
        <f>HYPERLINK("https://klasma.github.io/Logging_0581/kartor_geotiff/A 9722-2025 georefererad karta.tif", "A 9722-2025")</f>
        <v/>
      </c>
      <c r="AA95">
        <f>HYPERLINK("https://klasma.github.io/Logging_0581/klagomål/A 9722-2025 FSC-klagomål.docx", "A 9722-2025")</f>
        <v/>
      </c>
      <c r="AB95">
        <f>HYPERLINK("https://klasma.github.io/Logging_0581/klagomålsmail/A 9722-2025 FSC-klagomål mail.docx", "A 9722-2025")</f>
        <v/>
      </c>
      <c r="AC95">
        <f>HYPERLINK("https://klasma.github.io/Logging_0581/tillsyn/A 9722-2025 tillsynsbegäran.docx", "A 9722-2025")</f>
        <v/>
      </c>
      <c r="AD95">
        <f>HYPERLINK("https://klasma.github.io/Logging_0581/tillsynsmail/A 9722-2025 tillsynsbegäran mail.docx", "A 9722-2025")</f>
        <v/>
      </c>
    </row>
    <row r="96" ht="15" customHeight="1">
      <c r="A96" t="inlineStr">
        <is>
          <t>A 31298-2026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46218</v>
      </c>
      <c r="E96" s="1" t="n">
        <v>46253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Blåmossa
Orre</t>
        </is>
      </c>
      <c r="W96">
        <f>HYPERLINK("https://klasma.github.io/Logging_0581/artfynd/A 31298-2026 artfynd.xlsx", "A 31298-2026")</f>
        <v/>
      </c>
      <c r="X96">
        <f>HYPERLINK("https://klasma.github.io/Logging_0581/kartor/A 31298-2026 karta.png", "A 31298-2026")</f>
        <v/>
      </c>
      <c r="Y96">
        <f>HYPERLINK("https://klasma.github.io/Logging_0581/kartor_geotiff/A 31298-2026 georefererad karta.tif", "A 31298-2026")</f>
        <v/>
      </c>
      <c r="AA96">
        <f>HYPERLINK("https://klasma.github.io/Logging_0581/klagomål/A 31298-2026 FSC-klagomål.docx", "A 31298-2026")</f>
        <v/>
      </c>
      <c r="AB96">
        <f>HYPERLINK("https://klasma.github.io/Logging_0581/klagomålsmail/A 31298-2026 FSC-klagomål mail.docx", "A 31298-2026")</f>
        <v/>
      </c>
      <c r="AC96">
        <f>HYPERLINK("https://klasma.github.io/Logging_0581/tillsyn/A 31298-2026 tillsynsbegäran.docx", "A 31298-2026")</f>
        <v/>
      </c>
      <c r="AD96">
        <f>HYPERLINK("https://klasma.github.io/Logging_0581/tillsynsmail/A 31298-2026 tillsynsbegäran mail.docx", "A 31298-2026")</f>
        <v/>
      </c>
      <c r="AE96">
        <f>HYPERLINK("https://klasma.github.io/Logging_0581/fåglar/A 31298-2026 prioriterade fågelarter.docx", "A 31298-2026")</f>
        <v/>
      </c>
    </row>
    <row r="97" ht="15" customHeight="1">
      <c r="A97" t="inlineStr">
        <is>
          <t>A 31264-2026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46218</v>
      </c>
      <c r="E97" s="1" t="n">
        <v>46253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Vedskivlav
Fläcknycklar</t>
        </is>
      </c>
      <c r="W97">
        <f>HYPERLINK("https://klasma.github.io/Logging_0581/artfynd/A 31264-2026 artfynd.xlsx", "A 31264-2026")</f>
        <v/>
      </c>
      <c r="X97">
        <f>HYPERLINK("https://klasma.github.io/Logging_0581/kartor/A 31264-2026 karta.png", "A 31264-2026")</f>
        <v/>
      </c>
      <c r="Y97">
        <f>HYPERLINK("https://klasma.github.io/Logging_0581/kartor_geotiff/A 31264-2026 georefererad karta.tif", "A 31264-2026")</f>
        <v/>
      </c>
      <c r="AA97">
        <f>HYPERLINK("https://klasma.github.io/Logging_0581/klagomål/A 31264-2026 FSC-klagomål.docx", "A 31264-2026")</f>
        <v/>
      </c>
      <c r="AB97">
        <f>HYPERLINK("https://klasma.github.io/Logging_0581/klagomålsmail/A 31264-2026 FSC-klagomål mail.docx", "A 31264-2026")</f>
        <v/>
      </c>
      <c r="AC97">
        <f>HYPERLINK("https://klasma.github.io/Logging_0581/tillsyn/A 31264-2026 tillsynsbegäran.docx", "A 31264-2026")</f>
        <v/>
      </c>
      <c r="AD97">
        <f>HYPERLINK("https://klasma.github.io/Logging_0581/tillsynsmail/A 31264-2026 tillsynsbegäran mail.docx", "A 31264-2026")</f>
        <v/>
      </c>
    </row>
    <row r="98" ht="15" customHeight="1">
      <c r="A98" t="inlineStr">
        <is>
          <t>A 31335-2026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46219</v>
      </c>
      <c r="E98" s="1" t="n">
        <v>46253</v>
      </c>
      <c r="F98" t="inlineStr">
        <is>
          <t>ÖSTERGÖTLANDS LÄN</t>
        </is>
      </c>
      <c r="G98" t="inlineStr">
        <is>
          <t>NORRKÖPING</t>
        </is>
      </c>
      <c r="I98" t="n">
        <v>1.1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Bredbrämad bastardsvärmare
Älg</t>
        </is>
      </c>
      <c r="W98">
        <f>HYPERLINK("https://klasma.github.io/Logging_0581/artfynd/A 31335-2026 artfynd.xlsx", "A 31335-2026")</f>
        <v/>
      </c>
      <c r="X98">
        <f>HYPERLINK("https://klasma.github.io/Logging_0581/kartor/A 31335-2026 karta.png", "A 31335-2026")</f>
        <v/>
      </c>
      <c r="Y98">
        <f>HYPERLINK("https://klasma.github.io/Logging_0581/kartor_geotiff/A 31335-2026 georefererad karta.tif", "A 31335-2026")</f>
        <v/>
      </c>
      <c r="AA98">
        <f>HYPERLINK("https://klasma.github.io/Logging_0581/klagomål/A 31335-2026 FSC-klagomål.docx", "A 31335-2026")</f>
        <v/>
      </c>
      <c r="AB98">
        <f>HYPERLINK("https://klasma.github.io/Logging_0581/klagomålsmail/A 31335-2026 FSC-klagomål mail.docx", "A 31335-2026")</f>
        <v/>
      </c>
      <c r="AC98">
        <f>HYPERLINK("https://klasma.github.io/Logging_0581/tillsyn/A 31335-2026 tillsynsbegäran.docx", "A 31335-2026")</f>
        <v/>
      </c>
      <c r="AD98">
        <f>HYPERLINK("https://klasma.github.io/Logging_0581/tillsynsmail/A 31335-2026 tillsynsbegäran mail.docx", "A 31335-2026")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46253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9746-2025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46253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1.6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Ask
Blåsippa</t>
        </is>
      </c>
      <c r="W100">
        <f>HYPERLINK("https://klasma.github.io/Logging_0581/artfynd/A 9746-2025 artfynd.xlsx", "A 9746-2025")</f>
        <v/>
      </c>
      <c r="X100">
        <f>HYPERLINK("https://klasma.github.io/Logging_0581/kartor/A 9746-2025 karta.png", "A 9746-2025")</f>
        <v/>
      </c>
      <c r="Y100">
        <f>HYPERLINK("https://klasma.github.io/Logging_0581/kartor_geotiff/A 9746-2025 georefererad karta.tif", "A 9746-2025")</f>
        <v/>
      </c>
      <c r="AA100">
        <f>HYPERLINK("https://klasma.github.io/Logging_0581/klagomål/A 9746-2025 FSC-klagomål.docx", "A 9746-2025")</f>
        <v/>
      </c>
      <c r="AB100">
        <f>HYPERLINK("https://klasma.github.io/Logging_0581/klagomålsmail/A 9746-2025 FSC-klagomål mail.docx", "A 9746-2025")</f>
        <v/>
      </c>
      <c r="AC100">
        <f>HYPERLINK("https://klasma.github.io/Logging_0581/tillsyn/A 9746-2025 tillsynsbegäran.docx", "A 9746-2025")</f>
        <v/>
      </c>
      <c r="AD100">
        <f>HYPERLINK("https://klasma.github.io/Logging_0581/tillsynsmail/A 9746-2025 tillsynsbegäran mail.docx", "A 9746-2025")</f>
        <v/>
      </c>
    </row>
    <row r="101" ht="15" customHeight="1">
      <c r="A101" t="inlineStr">
        <is>
          <t>A 19182-2025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46253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1.9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Knärot
Ullticka</t>
        </is>
      </c>
      <c r="W101">
        <f>HYPERLINK("https://klasma.github.io/Logging_0581/artfynd/A 19182-2025 artfynd.xlsx", "A 19182-2025")</f>
        <v/>
      </c>
      <c r="X101">
        <f>HYPERLINK("https://klasma.github.io/Logging_0581/kartor/A 19182-2025 karta.png", "A 19182-2025")</f>
        <v/>
      </c>
      <c r="Y101">
        <f>HYPERLINK("https://klasma.github.io/Logging_0581/kartor_geotiff/A 19182-2025 georefererad karta.tif", "A 19182-2025")</f>
        <v/>
      </c>
      <c r="Z101">
        <f>HYPERLINK("https://klasma.github.io/Logging_0581/knärot/A 19182-2025 karta knärot.png", "A 19182-2025")</f>
        <v/>
      </c>
      <c r="AA101">
        <f>HYPERLINK("https://klasma.github.io/Logging_0581/klagomål/A 19182-2025 FSC-klagomål.docx", "A 19182-2025")</f>
        <v/>
      </c>
      <c r="AB101">
        <f>HYPERLINK("https://klasma.github.io/Logging_0581/klagomålsmail/A 19182-2025 FSC-klagomål mail.docx", "A 19182-2025")</f>
        <v/>
      </c>
      <c r="AC101">
        <f>HYPERLINK("https://klasma.github.io/Logging_0581/tillsyn/A 19182-2025 tillsynsbegäran.docx", "A 19182-2025")</f>
        <v/>
      </c>
      <c r="AD101">
        <f>HYPERLINK("https://klasma.github.io/Logging_0581/tillsynsmail/A 19182-2025 tillsynsbegäran mail.docx", "A 19182-2025")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46253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28796-2026 artfynd.xlsx", "A 28796-2026")</f>
        <v/>
      </c>
      <c r="X102">
        <f>HYPERLINK("https://klasma.github.io/Logging_0581/kartor/A 28796-2026 karta.png", "A 28796-2026")</f>
        <v/>
      </c>
      <c r="Y102">
        <f>HYPERLINK("https://klasma.github.io/Logging_0581/kartor_geotiff/A 28796-2026 georefererad karta.tif", "A 28796-2026")</f>
        <v/>
      </c>
      <c r="AA102">
        <f>HYPERLINK("https://klasma.github.io/Logging_0581/klagomål/A 28796-2026 FSC-klagomål.docx", "A 28796-2026")</f>
        <v/>
      </c>
      <c r="AB102">
        <f>HYPERLINK("https://klasma.github.io/Logging_0581/klagomålsmail/A 28796-2026 FSC-klagomål mail.docx", "A 28796-2026")</f>
        <v/>
      </c>
      <c r="AC102">
        <f>HYPERLINK("https://klasma.github.io/Logging_0581/tillsyn/A 28796-2026 tillsynsbegäran.docx", "A 28796-2026")</f>
        <v/>
      </c>
      <c r="AD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46253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28895-2026 artfynd.xlsx", "A 28895-2026")</f>
        <v/>
      </c>
      <c r="X103">
        <f>HYPERLINK("https://klasma.github.io/Logging_0581/kartor/A 28895-2026 karta.png", "A 28895-2026")</f>
        <v/>
      </c>
      <c r="Y103">
        <f>HYPERLINK("https://klasma.github.io/Logging_0581/kartor_geotiff/A 28895-2026 georefererad karta.tif", "A 28895-2026")</f>
        <v/>
      </c>
      <c r="AA103">
        <f>HYPERLINK("https://klasma.github.io/Logging_0581/klagomål/A 28895-2026 FSC-klagomål.docx", "A 28895-2026")</f>
        <v/>
      </c>
      <c r="AB103">
        <f>HYPERLINK("https://klasma.github.io/Logging_0581/klagomålsmail/A 28895-2026 FSC-klagomål mail.docx", "A 28895-2026")</f>
        <v/>
      </c>
      <c r="AC103">
        <f>HYPERLINK("https://klasma.github.io/Logging_0581/tillsyn/A 28895-2026 tillsynsbegäran.docx", "A 28895-2026")</f>
        <v/>
      </c>
      <c r="AD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46253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4826-2023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46253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Bårdlav
Havsörn</t>
        </is>
      </c>
      <c r="W105">
        <f>HYPERLINK("https://klasma.github.io/Logging_0581/artfynd/A 4826-2023 artfynd.xlsx", "A 4826-2023")</f>
        <v/>
      </c>
      <c r="X105">
        <f>HYPERLINK("https://klasma.github.io/Logging_0581/kartor/A 4826-2023 karta.png", "A 4826-2023")</f>
        <v/>
      </c>
      <c r="Y105">
        <f>HYPERLINK("https://klasma.github.io/Logging_0581/kartor_geotiff/A 4826-2023 georefererad karta.tif", "A 4826-2023")</f>
        <v/>
      </c>
      <c r="AA105">
        <f>HYPERLINK("https://klasma.github.io/Logging_0581/klagomål/A 4826-2023 FSC-klagomål.docx", "A 4826-2023")</f>
        <v/>
      </c>
      <c r="AB105">
        <f>HYPERLINK("https://klasma.github.io/Logging_0581/klagomålsmail/A 4826-2023 FSC-klagomål mail.docx", "A 4826-2023")</f>
        <v/>
      </c>
      <c r="AC105">
        <f>HYPERLINK("https://klasma.github.io/Logging_0581/tillsyn/A 4826-2023 tillsynsbegäran.docx", "A 4826-2023")</f>
        <v/>
      </c>
      <c r="AD105">
        <f>HYPERLINK("https://klasma.github.io/Logging_0581/tillsynsmail/A 4826-2023 tillsynsbegäran mail.docx", "A 4826-2023")</f>
        <v/>
      </c>
      <c r="AE105">
        <f>HYPERLINK("https://klasma.github.io/Logging_0581/fåglar/A 4826-2023 prioriterade fågelarter.docx", "A 4826-2023")</f>
        <v/>
      </c>
    </row>
    <row r="106" ht="15" customHeight="1">
      <c r="A106" t="inlineStr">
        <is>
          <t>A 20377-2023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46253</v>
      </c>
      <c r="F106" t="inlineStr">
        <is>
          <t>ÖSTERGÖTLANDS LÄN</t>
        </is>
      </c>
      <c r="G106" t="inlineStr">
        <is>
          <t>NORRKÖPING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Tallticka
Kungsfågel</t>
        </is>
      </c>
      <c r="W106">
        <f>HYPERLINK("https://klasma.github.io/Logging_0581/artfynd/A 20377-2023 artfynd.xlsx", "A 20377-2023")</f>
        <v/>
      </c>
      <c r="X106">
        <f>HYPERLINK("https://klasma.github.io/Logging_0581/kartor/A 20377-2023 karta.png", "A 20377-2023")</f>
        <v/>
      </c>
      <c r="Y106">
        <f>HYPERLINK("https://klasma.github.io/Logging_0581/kartor_geotiff/A 20377-2023 georefererad karta.tif", "A 20377-2023")</f>
        <v/>
      </c>
      <c r="AA106">
        <f>HYPERLINK("https://klasma.github.io/Logging_0581/klagomål/A 20377-2023 FSC-klagomål.docx", "A 20377-2023")</f>
        <v/>
      </c>
      <c r="AB106">
        <f>HYPERLINK("https://klasma.github.io/Logging_0581/klagomålsmail/A 20377-2023 FSC-klagomål mail.docx", "A 20377-2023")</f>
        <v/>
      </c>
      <c r="AC106">
        <f>HYPERLINK("https://klasma.github.io/Logging_0581/tillsyn/A 20377-2023 tillsynsbegäran.docx", "A 20377-2023")</f>
        <v/>
      </c>
      <c r="AD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49366-2021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46253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7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Knärot
Sårläka</t>
        </is>
      </c>
      <c r="W107">
        <f>HYPERLINK("https://klasma.github.io/Logging_0581/artfynd/A 49366-2021 artfynd.xlsx", "A 49366-2021")</f>
        <v/>
      </c>
      <c r="X107">
        <f>HYPERLINK("https://klasma.github.io/Logging_0581/kartor/A 49366-2021 karta.png", "A 49366-2021")</f>
        <v/>
      </c>
      <c r="Y107">
        <f>HYPERLINK("https://klasma.github.io/Logging_0581/kartor_geotiff/A 49366-2021 georefererad karta.tif", "A 49366-2021")</f>
        <v/>
      </c>
      <c r="Z107">
        <f>HYPERLINK("https://klasma.github.io/Logging_0581/knärot/A 49366-2021 karta knärot.png", "A 49366-2021")</f>
        <v/>
      </c>
      <c r="AA107">
        <f>HYPERLINK("https://klasma.github.io/Logging_0581/klagomål/A 49366-2021 FSC-klagomål.docx", "A 49366-2021")</f>
        <v/>
      </c>
      <c r="AB107">
        <f>HYPERLINK("https://klasma.github.io/Logging_0581/klagomålsmail/A 49366-2021 FSC-klagomål mail.docx", "A 49366-2021")</f>
        <v/>
      </c>
      <c r="AC107">
        <f>HYPERLINK("https://klasma.github.io/Logging_0581/tillsyn/A 49366-2021 tillsynsbegäran.docx", "A 49366-2021")</f>
        <v/>
      </c>
      <c r="AD107">
        <f>HYPERLINK("https://klasma.github.io/Logging_0581/tillsynsmail/A 49366-2021 tillsynsbegäran mail.docx", "A 49366-2021")</f>
        <v/>
      </c>
    </row>
    <row r="108" ht="15" customHeight="1">
      <c r="A108" t="inlineStr">
        <is>
          <t>A 25291-2023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46253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Slåtterfibbla
Svartvit flugsnappare</t>
        </is>
      </c>
      <c r="W108">
        <f>HYPERLINK("https://klasma.github.io/Logging_0581/artfynd/A 25291-2023 artfynd.xlsx", "A 25291-2023")</f>
        <v/>
      </c>
      <c r="X108">
        <f>HYPERLINK("https://klasma.github.io/Logging_0581/kartor/A 25291-2023 karta.png", "A 25291-2023")</f>
        <v/>
      </c>
      <c r="Y108">
        <f>HYPERLINK("https://klasma.github.io/Logging_0581/kartor_geotiff/A 25291-2023 georefererad karta.tif", "A 25291-2023")</f>
        <v/>
      </c>
      <c r="AA108">
        <f>HYPERLINK("https://klasma.github.io/Logging_0581/klagomål/A 25291-2023 FSC-klagomål.docx", "A 25291-2023")</f>
        <v/>
      </c>
      <c r="AB108">
        <f>HYPERLINK("https://klasma.github.io/Logging_0581/klagomålsmail/A 25291-2023 FSC-klagomål mail.docx", "A 25291-2023")</f>
        <v/>
      </c>
      <c r="AC108">
        <f>HYPERLINK("https://klasma.github.io/Logging_0581/tillsyn/A 25291-2023 tillsynsbegäran.docx", "A 25291-2023")</f>
        <v/>
      </c>
      <c r="AD108">
        <f>HYPERLINK("https://klasma.github.io/Logging_0581/tillsynsmail/A 25291-2023 tillsynsbegäran mail.docx", "A 25291-2023")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46253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46253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46253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46253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46253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46253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46253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46253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46253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46253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46253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46253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46253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46253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46671-2024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46253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Kattfotslav</t>
        </is>
      </c>
      <c r="W124">
        <f>HYPERLINK("https://klasma.github.io/Logging_0581/artfynd/A 46671-2024 artfynd.xlsx", "A 46671-2024")</f>
        <v/>
      </c>
      <c r="X124">
        <f>HYPERLINK("https://klasma.github.io/Logging_0581/kartor/A 46671-2024 karta.png", "A 46671-2024")</f>
        <v/>
      </c>
      <c r="Y124">
        <f>HYPERLINK("https://klasma.github.io/Logging_0581/kartor_geotiff/A 46671-2024 georefererad karta.tif", "A 46671-2024")</f>
        <v/>
      </c>
      <c r="AA124">
        <f>HYPERLINK("https://klasma.github.io/Logging_0581/klagomål/A 46671-2024 FSC-klagomål.docx", "A 46671-2024")</f>
        <v/>
      </c>
      <c r="AB124">
        <f>HYPERLINK("https://klasma.github.io/Logging_0581/klagomålsmail/A 46671-2024 FSC-klagomål mail.docx", "A 46671-2024")</f>
        <v/>
      </c>
      <c r="AC124">
        <f>HYPERLINK("https://klasma.github.io/Logging_0581/tillsyn/A 46671-2024 tillsynsbegäran.docx", "A 46671-2024")</f>
        <v/>
      </c>
      <c r="AD124">
        <f>HYPERLINK("https://klasma.github.io/Logging_0581/tillsynsmail/A 46671-2024 tillsynsbegäran mail.docx", "A 46671-2024")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46253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46253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31320-2025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46253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HYPERLINK("https://klasma.github.io/Logging_0581/artfynd/A 31320-2025 artfynd.xlsx", "A 31320-2025")</f>
        <v/>
      </c>
      <c r="X127">
        <f>HYPERLINK("https://klasma.github.io/Logging_0581/kartor/A 31320-2025 karta.png", "A 31320-2025")</f>
        <v/>
      </c>
      <c r="Y127">
        <f>HYPERLINK("https://klasma.github.io/Logging_0581/kartor_geotiff/A 31320-2025 georefererad karta.tif", "A 31320-2025")</f>
        <v/>
      </c>
      <c r="AA127">
        <f>HYPERLINK("https://klasma.github.io/Logging_0581/klagomål/A 31320-2025 FSC-klagomål.docx", "A 31320-2025")</f>
        <v/>
      </c>
      <c r="AB127">
        <f>HYPERLINK("https://klasma.github.io/Logging_0581/klagomålsmail/A 31320-2025 FSC-klagomål mail.docx", "A 31320-2025")</f>
        <v/>
      </c>
      <c r="AC127">
        <f>HYPERLINK("https://klasma.github.io/Logging_0581/tillsyn/A 31320-2025 tillsynsbegäran.docx", "A 31320-2025")</f>
        <v/>
      </c>
      <c r="AD127">
        <f>HYPERLINK("https://klasma.github.io/Logging_0581/tillsynsmail/A 31320-2025 tillsynsbegäran mail.docx", "A 31320-2025")</f>
        <v/>
      </c>
    </row>
    <row r="128" ht="15" customHeight="1">
      <c r="A128" t="inlineStr">
        <is>
          <t>A 2545-2023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46253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Hasselticka</t>
        </is>
      </c>
      <c r="W128">
        <f>HYPERLINK("https://klasma.github.io/Logging_0581/artfynd/A 2545-2023 artfynd.xlsx", "A 2545-2023")</f>
        <v/>
      </c>
      <c r="X128">
        <f>HYPERLINK("https://klasma.github.io/Logging_0581/kartor/A 2545-2023 karta.png", "A 2545-2023")</f>
        <v/>
      </c>
      <c r="Y128">
        <f>HYPERLINK("https://klasma.github.io/Logging_0581/kartor_geotiff/A 2545-2023 georefererad karta.tif", "A 2545-2023")</f>
        <v/>
      </c>
      <c r="AA128">
        <f>HYPERLINK("https://klasma.github.io/Logging_0581/klagomål/A 2545-2023 FSC-klagomål.docx", "A 2545-2023")</f>
        <v/>
      </c>
      <c r="AB128">
        <f>HYPERLINK("https://klasma.github.io/Logging_0581/klagomålsmail/A 2545-2023 FSC-klagomål mail.docx", "A 2545-2023")</f>
        <v/>
      </c>
      <c r="AC128">
        <f>HYPERLINK("https://klasma.github.io/Logging_0581/tillsyn/A 2545-2023 tillsynsbegäran.docx", "A 2545-2023")</f>
        <v/>
      </c>
      <c r="AD128">
        <f>HYPERLINK("https://klasma.github.io/Logging_0581/tillsynsmail/A 2545-2023 tillsynsbegäran mail.docx", "A 2545-2023")</f>
        <v/>
      </c>
    </row>
    <row r="129" ht="15" customHeight="1">
      <c r="A129" t="inlineStr">
        <is>
          <t>A 58711-2023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46253</v>
      </c>
      <c r="F129" t="inlineStr">
        <is>
          <t>ÖSTERGÖTLANDS LÄN</t>
        </is>
      </c>
      <c r="G129" t="inlineStr">
        <is>
          <t>NORRKÖPING</t>
        </is>
      </c>
      <c r="I129" t="n">
        <v>4.3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Ängsskära</t>
        </is>
      </c>
      <c r="W129">
        <f>HYPERLINK("https://klasma.github.io/Logging_0581/artfynd/A 58711-2023 artfynd.xlsx", "A 58711-2023")</f>
        <v/>
      </c>
      <c r="X129">
        <f>HYPERLINK("https://klasma.github.io/Logging_0581/kartor/A 58711-2023 karta.png", "A 58711-2023")</f>
        <v/>
      </c>
      <c r="Y129">
        <f>HYPERLINK("https://klasma.github.io/Logging_0581/kartor_geotiff/A 58711-2023 georefererad karta.tif", "A 58711-2023")</f>
        <v/>
      </c>
      <c r="AA129">
        <f>HYPERLINK("https://klasma.github.io/Logging_0581/klagomål/A 58711-2023 FSC-klagomål.docx", "A 58711-2023")</f>
        <v/>
      </c>
      <c r="AB129">
        <f>HYPERLINK("https://klasma.github.io/Logging_0581/klagomålsmail/A 58711-2023 FSC-klagomål mail.docx", "A 58711-2023")</f>
        <v/>
      </c>
      <c r="AC129">
        <f>HYPERLINK("https://klasma.github.io/Logging_0581/tillsyn/A 58711-2023 tillsynsbegäran.docx", "A 58711-2023")</f>
        <v/>
      </c>
      <c r="AD129">
        <f>HYPERLINK("https://klasma.github.io/Logging_0581/tillsynsmail/A 58711-2023 tillsynsbegäran mail.docx", "A 58711-2023")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46253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46253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46253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3247-2024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46253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HYPERLINK("https://klasma.github.io/Logging_0581/artfynd/A 3247-2024 artfynd.xlsx", "A 3247-2024")</f>
        <v/>
      </c>
      <c r="X133">
        <f>HYPERLINK("https://klasma.github.io/Logging_0581/kartor/A 3247-2024 karta.png", "A 3247-2024")</f>
        <v/>
      </c>
      <c r="Y133">
        <f>HYPERLINK("https://klasma.github.io/Logging_0581/kartor_geotiff/A 3247-2024 georefererad karta.tif", "A 3247-2024")</f>
        <v/>
      </c>
      <c r="AA133">
        <f>HYPERLINK("https://klasma.github.io/Logging_0581/klagomål/A 3247-2024 FSC-klagomål.docx", "A 3247-2024")</f>
        <v/>
      </c>
      <c r="AB133">
        <f>HYPERLINK("https://klasma.github.io/Logging_0581/klagomålsmail/A 3247-2024 FSC-klagomål mail.docx", "A 3247-2024")</f>
        <v/>
      </c>
      <c r="AC133">
        <f>HYPERLINK("https://klasma.github.io/Logging_0581/tillsyn/A 3247-2024 tillsynsbegäran.docx", "A 3247-2024")</f>
        <v/>
      </c>
      <c r="AD133">
        <f>HYPERLINK("https://klasma.github.io/Logging_0581/tillsynsmail/A 3247-2024 tillsynsbegäran mail.docx", "A 3247-2024")</f>
        <v/>
      </c>
      <c r="AE133">
        <f>HYPERLINK("https://klasma.github.io/Logging_0581/fåglar/A 3247-2024 prioriterade fågelarter.docx", "A 3247-2024")</f>
        <v/>
      </c>
    </row>
    <row r="134" ht="15" customHeight="1">
      <c r="A134" t="inlineStr">
        <is>
          <t>A 14044-2023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46253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14044-2023 artfynd.xlsx", "A 14044-2023")</f>
        <v/>
      </c>
      <c r="X134">
        <f>HYPERLINK("https://klasma.github.io/Logging_0581/kartor/A 14044-2023 karta.png", "A 14044-2023")</f>
        <v/>
      </c>
      <c r="Y134">
        <f>HYPERLINK("https://klasma.github.io/Logging_0581/kartor_geotiff/A 14044-2023 georefererad karta.tif", "A 14044-2023")</f>
        <v/>
      </c>
      <c r="AA134">
        <f>HYPERLINK("https://klasma.github.io/Logging_0581/klagomål/A 14044-2023 FSC-klagomål.docx", "A 14044-2023")</f>
        <v/>
      </c>
      <c r="AB134">
        <f>HYPERLINK("https://klasma.github.io/Logging_0581/klagomålsmail/A 14044-2023 FSC-klagomål mail.docx", "A 14044-2023")</f>
        <v/>
      </c>
      <c r="AC134">
        <f>HYPERLINK("https://klasma.github.io/Logging_0581/tillsyn/A 14044-2023 tillsynsbegäran.docx", "A 14044-2023")</f>
        <v/>
      </c>
      <c r="AD134">
        <f>HYPERLINK("https://klasma.github.io/Logging_0581/tillsynsmail/A 14044-2023 tillsynsbegäran mail.docx", "A 14044-2023")</f>
        <v/>
      </c>
      <c r="AE134">
        <f>HYPERLINK("https://klasma.github.io/Logging_0581/fåglar/A 14044-2023 prioriterade fågelarter.docx", "A 14044-2023")</f>
        <v/>
      </c>
    </row>
    <row r="135" ht="15" customHeight="1">
      <c r="A135" t="inlineStr">
        <is>
          <t>A 46806-2024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46253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Vedskivlav</t>
        </is>
      </c>
      <c r="W135">
        <f>HYPERLINK("https://klasma.github.io/Logging_0581/artfynd/A 46806-2024 artfynd.xlsx", "A 46806-2024")</f>
        <v/>
      </c>
      <c r="X135">
        <f>HYPERLINK("https://klasma.github.io/Logging_0581/kartor/A 46806-2024 karta.png", "A 46806-2024")</f>
        <v/>
      </c>
      <c r="Y135">
        <f>HYPERLINK("https://klasma.github.io/Logging_0581/kartor_geotiff/A 46806-2024 georefererad karta.tif", "A 46806-2024")</f>
        <v/>
      </c>
      <c r="AA135">
        <f>HYPERLINK("https://klasma.github.io/Logging_0581/klagomål/A 46806-2024 FSC-klagomål.docx", "A 46806-2024")</f>
        <v/>
      </c>
      <c r="AB135">
        <f>HYPERLINK("https://klasma.github.io/Logging_0581/klagomålsmail/A 46806-2024 FSC-klagomål mail.docx", "A 46806-2024")</f>
        <v/>
      </c>
      <c r="AC135">
        <f>HYPERLINK("https://klasma.github.io/Logging_0581/tillsyn/A 46806-2024 tillsynsbegäran.docx", "A 46806-2024")</f>
        <v/>
      </c>
      <c r="AD135">
        <f>HYPERLINK("https://klasma.github.io/Logging_0581/tillsynsmail/A 46806-2024 tillsynsbegäran mail.docx", "A 46806-2024")</f>
        <v/>
      </c>
    </row>
    <row r="136" ht="15" customHeight="1">
      <c r="A136" t="inlineStr">
        <is>
          <t>A 45953-2024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45580</v>
      </c>
      <c r="E136" s="1" t="n">
        <v>46253</v>
      </c>
      <c r="F136" t="inlineStr">
        <is>
          <t>ÖSTERGÖTLANDS LÄN</t>
        </is>
      </c>
      <c r="G136" t="inlineStr">
        <is>
          <t>NORRKÖPING</t>
        </is>
      </c>
      <c r="I136" t="n">
        <v>1.9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Ekoxe</t>
        </is>
      </c>
      <c r="W136">
        <f>HYPERLINK("https://klasma.github.io/Logging_0581/artfynd/A 45953-2024 artfynd.xlsx", "A 45953-2024")</f>
        <v/>
      </c>
      <c r="X136">
        <f>HYPERLINK("https://klasma.github.io/Logging_0581/kartor/A 45953-2024 karta.png", "A 45953-2024")</f>
        <v/>
      </c>
      <c r="Y136">
        <f>HYPERLINK("https://klasma.github.io/Logging_0581/kartor_geotiff/A 45953-2024 georefererad karta.tif", "A 45953-2024")</f>
        <v/>
      </c>
      <c r="AA136">
        <f>HYPERLINK("https://klasma.github.io/Logging_0581/klagomål/A 45953-2024 FSC-klagomål.docx", "A 45953-2024")</f>
        <v/>
      </c>
      <c r="AB136">
        <f>HYPERLINK("https://klasma.github.io/Logging_0581/klagomålsmail/A 45953-2024 FSC-klagomål mail.docx", "A 45953-2024")</f>
        <v/>
      </c>
      <c r="AC136">
        <f>HYPERLINK("https://klasma.github.io/Logging_0581/tillsyn/A 45953-2024 tillsynsbegäran.docx", "A 45953-2024")</f>
        <v/>
      </c>
      <c r="AD136">
        <f>HYPERLINK("https://klasma.github.io/Logging_0581/tillsynsmail/A 45953-2024 tillsynsbegäran mail.docx", "A 45953-2024")</f>
        <v/>
      </c>
    </row>
    <row r="137" ht="15" customHeight="1">
      <c r="A137" t="inlineStr">
        <is>
          <t>A 11714-2026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46253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2.9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Gulsparv</t>
        </is>
      </c>
      <c r="W137">
        <f>HYPERLINK("https://klasma.github.io/Logging_0581/artfynd/A 11714-2026 artfynd.xlsx", "A 11714-2026")</f>
        <v/>
      </c>
      <c r="X137">
        <f>HYPERLINK("https://klasma.github.io/Logging_0581/kartor/A 11714-2026 karta.png", "A 11714-2026")</f>
        <v/>
      </c>
      <c r="Y137">
        <f>HYPERLINK("https://klasma.github.io/Logging_0581/kartor_geotiff/A 11714-2026 georefererad karta.tif", "A 11714-2026")</f>
        <v/>
      </c>
      <c r="AA137">
        <f>HYPERLINK("https://klasma.github.io/Logging_0581/klagomål/A 11714-2026 FSC-klagomål.docx", "A 11714-2026")</f>
        <v/>
      </c>
      <c r="AB137">
        <f>HYPERLINK("https://klasma.github.io/Logging_0581/klagomålsmail/A 11714-2026 FSC-klagomål mail.docx", "A 11714-2026")</f>
        <v/>
      </c>
      <c r="AC137">
        <f>HYPERLINK("https://klasma.github.io/Logging_0581/tillsyn/A 11714-2026 tillsynsbegäran.docx", "A 11714-2026")</f>
        <v/>
      </c>
      <c r="AD137">
        <f>HYPERLINK("https://klasma.github.io/Logging_0581/tillsynsmail/A 11714-2026 tillsynsbegäran mail.docx", "A 11714-2026")</f>
        <v/>
      </c>
      <c r="AE137">
        <f>HYPERLINK("https://klasma.github.io/Logging_0581/fåglar/A 11714-2026 prioriterade fågelarter.docx", "A 11714-2026")</f>
        <v/>
      </c>
    </row>
    <row r="138" ht="15" customHeight="1">
      <c r="A138" t="inlineStr">
        <is>
          <t>A 12279-2026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46253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6.9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Lopplummer (aggregat)</t>
        </is>
      </c>
      <c r="W138">
        <f>HYPERLINK("https://klasma.github.io/Logging_0581/artfynd/A 12279-2026 artfynd.xlsx", "A 12279-2026")</f>
        <v/>
      </c>
      <c r="X138">
        <f>HYPERLINK("https://klasma.github.io/Logging_0581/kartor/A 12279-2026 karta.png", "A 12279-2026")</f>
        <v/>
      </c>
      <c r="Y138">
        <f>HYPERLINK("https://klasma.github.io/Logging_0581/kartor_geotiff/A 12279-2026 georefererad karta.tif", "A 12279-2026")</f>
        <v/>
      </c>
      <c r="AA138">
        <f>HYPERLINK("https://klasma.github.io/Logging_0581/klagomål/A 12279-2026 FSC-klagomål.docx", "A 12279-2026")</f>
        <v/>
      </c>
      <c r="AB138">
        <f>HYPERLINK("https://klasma.github.io/Logging_0581/klagomålsmail/A 12279-2026 FSC-klagomål mail.docx", "A 12279-2026")</f>
        <v/>
      </c>
      <c r="AC138">
        <f>HYPERLINK("https://klasma.github.io/Logging_0581/tillsyn/A 12279-2026 tillsynsbegäran.docx", "A 12279-2026")</f>
        <v/>
      </c>
      <c r="AD138">
        <f>HYPERLINK("https://klasma.github.io/Logging_0581/tillsynsmail/A 12279-2026 tillsynsbegäran mail.docx", "A 12279-2026")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46253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46253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46253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46253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27236-2023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46253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HYPERLINK("https://klasma.github.io/Logging_0581/artfynd/A 27236-2023 artfynd.xlsx", "A 27236-2023")</f>
        <v/>
      </c>
      <c r="X143">
        <f>HYPERLINK("https://klasma.github.io/Logging_0581/kartor/A 27236-2023 karta.png", "A 27236-2023")</f>
        <v/>
      </c>
      <c r="Y143">
        <f>HYPERLINK("https://klasma.github.io/Logging_0581/kartor_geotiff/A 27236-2023 georefererad karta.tif", "A 27236-2023")</f>
        <v/>
      </c>
      <c r="AA143">
        <f>HYPERLINK("https://klasma.github.io/Logging_0581/klagomål/A 27236-2023 FSC-klagomål.docx", "A 27236-2023")</f>
        <v/>
      </c>
      <c r="AB143">
        <f>HYPERLINK("https://klasma.github.io/Logging_0581/klagomålsmail/A 27236-2023 FSC-klagomål mail.docx", "A 27236-2023")</f>
        <v/>
      </c>
      <c r="AC143">
        <f>HYPERLINK("https://klasma.github.io/Logging_0581/tillsyn/A 27236-2023 tillsynsbegäran.docx", "A 27236-2023")</f>
        <v/>
      </c>
      <c r="AD143">
        <f>HYPERLINK("https://klasma.github.io/Logging_0581/tillsynsmail/A 27236-2023 tillsynsbegäran mail.docx", "A 27236-2023")</f>
        <v/>
      </c>
    </row>
    <row r="144" ht="15" customHeight="1">
      <c r="A144" t="inlineStr">
        <is>
          <t>A 31659-2023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46253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HYPERLINK("https://klasma.github.io/Logging_0581/artfynd/A 31659-2023 artfynd.xlsx", "A 31659-2023")</f>
        <v/>
      </c>
      <c r="X144">
        <f>HYPERLINK("https://klasma.github.io/Logging_0581/kartor/A 31659-2023 karta.png", "A 31659-2023")</f>
        <v/>
      </c>
      <c r="Y144">
        <f>HYPERLINK("https://klasma.github.io/Logging_0581/kartor_geotiff/A 31659-2023 georefererad karta.tif", "A 31659-2023")</f>
        <v/>
      </c>
      <c r="AA144">
        <f>HYPERLINK("https://klasma.github.io/Logging_0581/klagomål/A 31659-2023 FSC-klagomål.docx", "A 31659-2023")</f>
        <v/>
      </c>
      <c r="AB144">
        <f>HYPERLINK("https://klasma.github.io/Logging_0581/klagomålsmail/A 31659-2023 FSC-klagomål mail.docx", "A 31659-2023")</f>
        <v/>
      </c>
      <c r="AC144">
        <f>HYPERLINK("https://klasma.github.io/Logging_0581/tillsyn/A 31659-2023 tillsynsbegäran.docx", "A 31659-2023")</f>
        <v/>
      </c>
      <c r="AD144">
        <f>HYPERLINK("https://klasma.github.io/Logging_0581/tillsynsmail/A 31659-2023 tillsynsbegäran mail.docx", "A 31659-2023")</f>
        <v/>
      </c>
      <c r="AE144">
        <f>HYPERLINK("https://klasma.github.io/Logging_0581/fåglar/A 31659-2023 prioriterade fågelarter.docx", "A 31659-2023")</f>
        <v/>
      </c>
    </row>
    <row r="145" ht="15" customHeight="1">
      <c r="A145" t="inlineStr">
        <is>
          <t>A 7317-2025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46253</v>
      </c>
      <c r="F145" t="inlineStr">
        <is>
          <t>ÖSTERGÖTLANDS LÄN</t>
        </is>
      </c>
      <c r="G145" t="inlineStr">
        <is>
          <t>NORRKÖPING</t>
        </is>
      </c>
      <c r="I145" t="n">
        <v>1.4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Backklöver</t>
        </is>
      </c>
      <c r="W145">
        <f>HYPERLINK("https://klasma.github.io/Logging_0581/artfynd/A 7317-2025 artfynd.xlsx", "A 7317-2025")</f>
        <v/>
      </c>
      <c r="X145">
        <f>HYPERLINK("https://klasma.github.io/Logging_0581/kartor/A 7317-2025 karta.png", "A 7317-2025")</f>
        <v/>
      </c>
      <c r="Y145">
        <f>HYPERLINK("https://klasma.github.io/Logging_0581/kartor_geotiff/A 7317-2025 georefererad karta.tif", "A 7317-2025")</f>
        <v/>
      </c>
      <c r="AA145">
        <f>HYPERLINK("https://klasma.github.io/Logging_0581/klagomål/A 7317-2025 FSC-klagomål.docx", "A 7317-2025")</f>
        <v/>
      </c>
      <c r="AB145">
        <f>HYPERLINK("https://klasma.github.io/Logging_0581/klagomålsmail/A 7317-2025 FSC-klagomål mail.docx", "A 7317-2025")</f>
        <v/>
      </c>
      <c r="AC145">
        <f>HYPERLINK("https://klasma.github.io/Logging_0581/tillsyn/A 7317-2025 tillsynsbegäran.docx", "A 7317-2025")</f>
        <v/>
      </c>
      <c r="AD145">
        <f>HYPERLINK("https://klasma.github.io/Logging_0581/tillsynsmail/A 7317-2025 tillsynsbegäran mail.docx", "A 7317-2025")</f>
        <v/>
      </c>
    </row>
    <row r="146" ht="15" customHeight="1">
      <c r="A146" t="inlineStr">
        <is>
          <t>A 12682-2025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46253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2.3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HYPERLINK("https://klasma.github.io/Logging_0581/artfynd/A 12682-2025 artfynd.xlsx", "A 12682-2025")</f>
        <v/>
      </c>
      <c r="X146">
        <f>HYPERLINK("https://klasma.github.io/Logging_0581/kartor/A 12682-2025 karta.png", "A 12682-2025")</f>
        <v/>
      </c>
      <c r="Y146">
        <f>HYPERLINK("https://klasma.github.io/Logging_0581/kartor_geotiff/A 12682-2025 georefererad karta.tif", "A 12682-2025")</f>
        <v/>
      </c>
      <c r="Z146">
        <f>HYPERLINK("https://klasma.github.io/Logging_0581/knärot/A 12682-2025 karta knärot.png", "A 12682-2025")</f>
        <v/>
      </c>
      <c r="AA146">
        <f>HYPERLINK("https://klasma.github.io/Logging_0581/klagomål/A 12682-2025 FSC-klagomål.docx", "A 12682-2025")</f>
        <v/>
      </c>
      <c r="AB146">
        <f>HYPERLINK("https://klasma.github.io/Logging_0581/klagomålsmail/A 12682-2025 FSC-klagomål mail.docx", "A 12682-2025")</f>
        <v/>
      </c>
      <c r="AC146">
        <f>HYPERLINK("https://klasma.github.io/Logging_0581/tillsyn/A 12682-2025 tillsynsbegäran.docx", "A 12682-2025")</f>
        <v/>
      </c>
      <c r="AD146">
        <f>HYPERLINK("https://klasma.github.io/Logging_0581/tillsynsmail/A 12682-2025 tillsynsbegäran mail.docx", "A 12682-2025")</f>
        <v/>
      </c>
      <c r="AE146">
        <f>HYPERLINK("https://klasma.github.io/Logging_0581/fåglar/A 12682-2025 prioriterade fågelarter.docx", "A 12682-2025")</f>
        <v/>
      </c>
    </row>
    <row r="147" ht="15" customHeight="1">
      <c r="A147" t="inlineStr">
        <is>
          <t>A 24629-2025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45798</v>
      </c>
      <c r="E147" s="1" t="n">
        <v>46253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Kråka</t>
        </is>
      </c>
      <c r="W147">
        <f>HYPERLINK("https://klasma.github.io/Logging_0581/artfynd/A 24629-2025 artfynd.xlsx", "A 24629-2025")</f>
        <v/>
      </c>
      <c r="X147">
        <f>HYPERLINK("https://klasma.github.io/Logging_0581/kartor/A 24629-2025 karta.png", "A 24629-2025")</f>
        <v/>
      </c>
      <c r="Y147">
        <f>HYPERLINK("https://klasma.github.io/Logging_0581/kartor_geotiff/A 24629-2025 georefererad karta.tif", "A 24629-2025")</f>
        <v/>
      </c>
      <c r="AA147">
        <f>HYPERLINK("https://klasma.github.io/Logging_0581/klagomål/A 24629-2025 FSC-klagomål.docx", "A 24629-2025")</f>
        <v/>
      </c>
      <c r="AB147">
        <f>HYPERLINK("https://klasma.github.io/Logging_0581/klagomålsmail/A 24629-2025 FSC-klagomål mail.docx", "A 24629-2025")</f>
        <v/>
      </c>
      <c r="AC147">
        <f>HYPERLINK("https://klasma.github.io/Logging_0581/tillsyn/A 24629-2025 tillsynsbegäran.docx", "A 24629-2025")</f>
        <v/>
      </c>
      <c r="AD147">
        <f>HYPERLINK("https://klasma.github.io/Logging_0581/tillsynsmail/A 24629-2025 tillsynsbegäran mail.docx", "A 24629-2025")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46253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46253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20170-2026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46139</v>
      </c>
      <c r="E150" s="1" t="n">
        <v>46253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Igelkott</t>
        </is>
      </c>
      <c r="W150">
        <f>HYPERLINK("https://klasma.github.io/Logging_0581/artfynd/A 20170-2026 artfynd.xlsx", "A 20170-2026")</f>
        <v/>
      </c>
      <c r="X150">
        <f>HYPERLINK("https://klasma.github.io/Logging_0581/kartor/A 20170-2026 karta.png", "A 20170-2026")</f>
        <v/>
      </c>
      <c r="Y150">
        <f>HYPERLINK("https://klasma.github.io/Logging_0581/kartor_geotiff/A 20170-2026 georefererad karta.tif", "A 20170-2026")</f>
        <v/>
      </c>
      <c r="AA150">
        <f>HYPERLINK("https://klasma.github.io/Logging_0581/klagomål/A 20170-2026 FSC-klagomål.docx", "A 20170-2026")</f>
        <v/>
      </c>
      <c r="AB150">
        <f>HYPERLINK("https://klasma.github.io/Logging_0581/klagomålsmail/A 20170-2026 FSC-klagomål mail.docx", "A 20170-2026")</f>
        <v/>
      </c>
      <c r="AC150">
        <f>HYPERLINK("https://klasma.github.io/Logging_0581/tillsyn/A 20170-2026 tillsynsbegäran.docx", "A 20170-2026")</f>
        <v/>
      </c>
      <c r="AD150">
        <f>HYPERLINK("https://klasma.github.io/Logging_0581/tillsynsmail/A 20170-2026 tillsynsbegäran mail.docx", "A 20170-2026")</f>
        <v/>
      </c>
    </row>
    <row r="151" ht="15" customHeight="1">
      <c r="A151" t="inlineStr">
        <is>
          <t>A 12145-2024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46253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10.4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Gullgröppa</t>
        </is>
      </c>
      <c r="W151">
        <f>HYPERLINK("https://klasma.github.io/Logging_0581/artfynd/A 12145-2024 artfynd.xlsx", "A 12145-2024")</f>
        <v/>
      </c>
      <c r="X151">
        <f>HYPERLINK("https://klasma.github.io/Logging_0581/kartor/A 12145-2024 karta.png", "A 12145-2024")</f>
        <v/>
      </c>
      <c r="Y151">
        <f>HYPERLINK("https://klasma.github.io/Logging_0581/kartor_geotiff/A 12145-2024 georefererad karta.tif", "A 12145-2024")</f>
        <v/>
      </c>
      <c r="AA151">
        <f>HYPERLINK("https://klasma.github.io/Logging_0581/klagomål/A 12145-2024 FSC-klagomål.docx", "A 12145-2024")</f>
        <v/>
      </c>
      <c r="AB151">
        <f>HYPERLINK("https://klasma.github.io/Logging_0581/klagomålsmail/A 12145-2024 FSC-klagomål mail.docx", "A 12145-2024")</f>
        <v/>
      </c>
      <c r="AC151">
        <f>HYPERLINK("https://klasma.github.io/Logging_0581/tillsyn/A 12145-2024 tillsynsbegäran.docx", "A 12145-2024")</f>
        <v/>
      </c>
      <c r="AD151">
        <f>HYPERLINK("https://klasma.github.io/Logging_0581/tillsynsmail/A 12145-2024 tillsynsbegäran mail.docx", "A 12145-2024")</f>
        <v/>
      </c>
    </row>
    <row r="152" ht="15" customHeight="1">
      <c r="A152" t="inlineStr">
        <is>
          <t>A 9790-2024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46253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HYPERLINK("https://klasma.github.io/Logging_0581/artfynd/A 9790-2024 artfynd.xlsx", "A 9790-2024")</f>
        <v/>
      </c>
      <c r="X152">
        <f>HYPERLINK("https://klasma.github.io/Logging_0581/kartor/A 9790-2024 karta.png", "A 9790-2024")</f>
        <v/>
      </c>
      <c r="Y152">
        <f>HYPERLINK("https://klasma.github.io/Logging_0581/kartor_geotiff/A 9790-2024 georefererad karta.tif", "A 9790-2024")</f>
        <v/>
      </c>
      <c r="AA152">
        <f>HYPERLINK("https://klasma.github.io/Logging_0581/klagomål/A 9790-2024 FSC-klagomål.docx", "A 9790-2024")</f>
        <v/>
      </c>
      <c r="AB152">
        <f>HYPERLINK("https://klasma.github.io/Logging_0581/klagomålsmail/A 9790-2024 FSC-klagomål mail.docx", "A 9790-2024")</f>
        <v/>
      </c>
      <c r="AC152">
        <f>HYPERLINK("https://klasma.github.io/Logging_0581/tillsyn/A 9790-2024 tillsynsbegäran.docx", "A 9790-2024")</f>
        <v/>
      </c>
      <c r="AD152">
        <f>HYPERLINK("https://klasma.github.io/Logging_0581/tillsynsmail/A 9790-2024 tillsynsbegäran mail.docx", "A 9790-2024")</f>
        <v/>
      </c>
    </row>
    <row r="153" ht="15" customHeight="1">
      <c r="A153" t="inlineStr">
        <is>
          <t>A 2832-2026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46253</v>
      </c>
      <c r="F153" t="inlineStr">
        <is>
          <t>ÖSTERGÖTLANDS LÄN</t>
        </is>
      </c>
      <c r="G153" t="inlineStr">
        <is>
          <t>NORRKÖPING</t>
        </is>
      </c>
      <c r="I153" t="n">
        <v>5.5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Grönpyrola</t>
        </is>
      </c>
      <c r="W153">
        <f>HYPERLINK("https://klasma.github.io/Logging_0581/artfynd/A 2832-2026 artfynd.xlsx", "A 2832-2026")</f>
        <v/>
      </c>
      <c r="X153">
        <f>HYPERLINK("https://klasma.github.io/Logging_0581/kartor/A 2832-2026 karta.png", "A 2832-2026")</f>
        <v/>
      </c>
      <c r="Y153">
        <f>HYPERLINK("https://klasma.github.io/Logging_0581/kartor_geotiff/A 2832-2026 georefererad karta.tif", "A 2832-2026")</f>
        <v/>
      </c>
      <c r="AA153">
        <f>HYPERLINK("https://klasma.github.io/Logging_0581/klagomål/A 2832-2026 FSC-klagomål.docx", "A 2832-2026")</f>
        <v/>
      </c>
      <c r="AB153">
        <f>HYPERLINK("https://klasma.github.io/Logging_0581/klagomålsmail/A 2832-2026 FSC-klagomål mail.docx", "A 2832-2026")</f>
        <v/>
      </c>
      <c r="AC153">
        <f>HYPERLINK("https://klasma.github.io/Logging_0581/tillsyn/A 2832-2026 tillsynsbegäran.docx", "A 2832-2026")</f>
        <v/>
      </c>
      <c r="AD153">
        <f>HYPERLINK("https://klasma.github.io/Logging_0581/tillsynsmail/A 2832-2026 tillsynsbegäran mail.docx", "A 2832-2026")</f>
        <v/>
      </c>
    </row>
    <row r="154" ht="15" customHeight="1">
      <c r="A154" t="inlineStr">
        <is>
          <t>A 23627-2026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46253</v>
      </c>
      <c r="F154" t="inlineStr">
        <is>
          <t>ÖSTERGÖTLANDS LÄN</t>
        </is>
      </c>
      <c r="G154" t="inlineStr">
        <is>
          <t>NORRKÖPING</t>
        </is>
      </c>
      <c r="I154" t="n">
        <v>4.1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Ekoxe</t>
        </is>
      </c>
      <c r="W154">
        <f>HYPERLINK("https://klasma.github.io/Logging_0581/artfynd/A 23627-2026 artfynd.xlsx", "A 23627-2026")</f>
        <v/>
      </c>
      <c r="X154">
        <f>HYPERLINK("https://klasma.github.io/Logging_0581/kartor/A 23627-2026 karta.png", "A 23627-2026")</f>
        <v/>
      </c>
      <c r="Y154">
        <f>HYPERLINK("https://klasma.github.io/Logging_0581/kartor_geotiff/A 23627-2026 georefererad karta.tif", "A 23627-2026")</f>
        <v/>
      </c>
      <c r="AA154">
        <f>HYPERLINK("https://klasma.github.io/Logging_0581/klagomål/A 23627-2026 FSC-klagomål.docx", "A 23627-2026")</f>
        <v/>
      </c>
      <c r="AB154">
        <f>HYPERLINK("https://klasma.github.io/Logging_0581/klagomålsmail/A 23627-2026 FSC-klagomål mail.docx", "A 23627-2026")</f>
        <v/>
      </c>
      <c r="AC154">
        <f>HYPERLINK("https://klasma.github.io/Logging_0581/tillsyn/A 23627-2026 tillsynsbegäran.docx", "A 23627-2026")</f>
        <v/>
      </c>
      <c r="AD154">
        <f>HYPERLINK("https://klasma.github.io/Logging_0581/tillsynsmail/A 23627-2026 tillsynsbegäran mail.docx", "A 23627-2026")</f>
        <v/>
      </c>
    </row>
    <row r="155" ht="15" customHeight="1">
      <c r="A155" t="inlineStr">
        <is>
          <t>A 46957-2023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46253</v>
      </c>
      <c r="F155" t="inlineStr">
        <is>
          <t>ÖSTERGÖTLANDS LÄN</t>
        </is>
      </c>
      <c r="G155" t="inlineStr">
        <is>
          <t>NORRKÖPING</t>
        </is>
      </c>
      <c r="I155" t="n">
        <v>1.8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Vedskivlav</t>
        </is>
      </c>
      <c r="W155">
        <f>HYPERLINK("https://klasma.github.io/Logging_0581/artfynd/A 46957-2023 artfynd.xlsx", "A 46957-2023")</f>
        <v/>
      </c>
      <c r="X155">
        <f>HYPERLINK("https://klasma.github.io/Logging_0581/kartor/A 46957-2023 karta.png", "A 46957-2023")</f>
        <v/>
      </c>
      <c r="Y155">
        <f>HYPERLINK("https://klasma.github.io/Logging_0581/kartor_geotiff/A 46957-2023 georefererad karta.tif", "A 46957-2023")</f>
        <v/>
      </c>
      <c r="AA155">
        <f>HYPERLINK("https://klasma.github.io/Logging_0581/klagomål/A 46957-2023 FSC-klagomål.docx", "A 46957-2023")</f>
        <v/>
      </c>
      <c r="AB155">
        <f>HYPERLINK("https://klasma.github.io/Logging_0581/klagomålsmail/A 46957-2023 FSC-klagomål mail.docx", "A 46957-2023")</f>
        <v/>
      </c>
      <c r="AC155">
        <f>HYPERLINK("https://klasma.github.io/Logging_0581/tillsyn/A 46957-2023 tillsynsbegäran.docx", "A 46957-2023")</f>
        <v/>
      </c>
      <c r="AD155">
        <f>HYPERLINK("https://klasma.github.io/Logging_0581/tillsynsmail/A 46957-2023 tillsynsbegäran mail.docx", "A 46957-2023")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46253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Svartvit flugsnappare</t>
        </is>
      </c>
      <c r="W156">
        <f>HYPERLINK("https://klasma.github.io/Logging_0581/artfynd/A 27107-2023 artfynd.xlsx", "A 27107-2023")</f>
        <v/>
      </c>
      <c r="X156">
        <f>HYPERLINK("https://klasma.github.io/Logging_0581/kartor/A 27107-2023 karta.png", "A 27107-2023")</f>
        <v/>
      </c>
      <c r="Y156">
        <f>HYPERLINK("https://klasma.github.io/Logging_0581/kartor_geotiff/A 27107-2023 georefererad karta.tif", "A 27107-2023")</f>
        <v/>
      </c>
      <c r="AA156">
        <f>HYPERLINK("https://klasma.github.io/Logging_0581/klagomål/A 27107-2023 FSC-klagomål.docx", "A 27107-2023")</f>
        <v/>
      </c>
      <c r="AB156">
        <f>HYPERLINK("https://klasma.github.io/Logging_0581/klagomålsmail/A 27107-2023 FSC-klagomål mail.docx", "A 27107-2023")</f>
        <v/>
      </c>
      <c r="AC156">
        <f>HYPERLINK("https://klasma.github.io/Logging_0581/tillsyn/A 27107-2023 tillsynsbegäran.docx", "A 27107-2023")</f>
        <v/>
      </c>
      <c r="AD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31254-2026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46218</v>
      </c>
      <c r="E157" s="1" t="n">
        <v>46253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Raggbock</t>
        </is>
      </c>
      <c r="W157">
        <f>HYPERLINK("https://klasma.github.io/Logging_0581/artfynd/A 31254-2026 artfynd.xlsx", "A 31254-2026")</f>
        <v/>
      </c>
      <c r="X157">
        <f>HYPERLINK("https://klasma.github.io/Logging_0581/kartor/A 31254-2026 karta.png", "A 31254-2026")</f>
        <v/>
      </c>
      <c r="Y157">
        <f>HYPERLINK("https://klasma.github.io/Logging_0581/kartor_geotiff/A 31254-2026 georefererad karta.tif", "A 31254-2026")</f>
        <v/>
      </c>
      <c r="AA157">
        <f>HYPERLINK("https://klasma.github.io/Logging_0581/klagomål/A 31254-2026 FSC-klagomål.docx", "A 31254-2026")</f>
        <v/>
      </c>
      <c r="AB157">
        <f>HYPERLINK("https://klasma.github.io/Logging_0581/klagomålsmail/A 31254-2026 FSC-klagomål mail.docx", "A 31254-2026")</f>
        <v/>
      </c>
      <c r="AC157">
        <f>HYPERLINK("https://klasma.github.io/Logging_0581/tillsyn/A 31254-2026 tillsynsbegäran.docx", "A 31254-2026")</f>
        <v/>
      </c>
      <c r="AD157">
        <f>HYPERLINK("https://klasma.github.io/Logging_0581/tillsynsmail/A 31254-2026 tillsynsbegäran mail.docx", "A 31254-2026")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46253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31325-2026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46219</v>
      </c>
      <c r="E159" s="1" t="n">
        <v>46253</v>
      </c>
      <c r="F159" t="inlineStr">
        <is>
          <t>ÖSTERGÖTLANDS LÄN</t>
        </is>
      </c>
      <c r="G159" t="inlineStr">
        <is>
          <t>NORRKÖPING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Bergsslok</t>
        </is>
      </c>
      <c r="W159">
        <f>HYPERLINK("https://klasma.github.io/Logging_0581/artfynd/A 31325-2026 artfynd.xlsx", "A 31325-2026")</f>
        <v/>
      </c>
      <c r="X159">
        <f>HYPERLINK("https://klasma.github.io/Logging_0581/kartor/A 31325-2026 karta.png", "A 31325-2026")</f>
        <v/>
      </c>
      <c r="Y159">
        <f>HYPERLINK("https://klasma.github.io/Logging_0581/kartor_geotiff/A 31325-2026 georefererad karta.tif", "A 31325-2026")</f>
        <v/>
      </c>
      <c r="AA159">
        <f>HYPERLINK("https://klasma.github.io/Logging_0581/klagomål/A 31325-2026 FSC-klagomål.docx", "A 31325-2026")</f>
        <v/>
      </c>
      <c r="AB159">
        <f>HYPERLINK("https://klasma.github.io/Logging_0581/klagomålsmail/A 31325-2026 FSC-klagomål mail.docx", "A 31325-2026")</f>
        <v/>
      </c>
      <c r="AC159">
        <f>HYPERLINK("https://klasma.github.io/Logging_0581/tillsyn/A 31325-2026 tillsynsbegäran.docx", "A 31325-2026")</f>
        <v/>
      </c>
      <c r="AD159">
        <f>HYPERLINK("https://klasma.github.io/Logging_0581/tillsynsmail/A 31325-2026 tillsynsbegäran mail.docx", "A 31325-2026")</f>
        <v/>
      </c>
    </row>
    <row r="160" ht="15" customHeight="1">
      <c r="A160" t="inlineStr">
        <is>
          <t>A 25707-2026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46253</v>
      </c>
      <c r="F160" t="inlineStr">
        <is>
          <t>ÖSTERGÖTLANDS LÄN</t>
        </is>
      </c>
      <c r="G160" t="inlineStr">
        <is>
          <t>NORRKÖPING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Tallticka</t>
        </is>
      </c>
      <c r="W160">
        <f>HYPERLINK("https://klasma.github.io/Logging_0581/artfynd/A 25707-2026 artfynd.xlsx", "A 25707-2026")</f>
        <v/>
      </c>
      <c r="X160">
        <f>HYPERLINK("https://klasma.github.io/Logging_0581/kartor/A 25707-2026 karta.png", "A 25707-2026")</f>
        <v/>
      </c>
      <c r="Y160">
        <f>HYPERLINK("https://klasma.github.io/Logging_0581/kartor_geotiff/A 25707-2026 georefererad karta.tif", "A 25707-2026")</f>
        <v/>
      </c>
      <c r="AA160">
        <f>HYPERLINK("https://klasma.github.io/Logging_0581/klagomål/A 25707-2026 FSC-klagomål.docx", "A 25707-2026")</f>
        <v/>
      </c>
      <c r="AB160">
        <f>HYPERLINK("https://klasma.github.io/Logging_0581/klagomålsmail/A 25707-2026 FSC-klagomål mail.docx", "A 25707-2026")</f>
        <v/>
      </c>
      <c r="AC160">
        <f>HYPERLINK("https://klasma.github.io/Logging_0581/tillsyn/A 25707-2026 tillsynsbegäran.docx", "A 25707-2026")</f>
        <v/>
      </c>
      <c r="AD160">
        <f>HYPERLINK("https://klasma.github.io/Logging_0581/tillsynsmail/A 25707-2026 tillsynsbegäran mail.docx", "A 25707-2026")</f>
        <v/>
      </c>
    </row>
    <row r="161" ht="15" customHeight="1">
      <c r="A161" t="inlineStr">
        <is>
          <t>A 31660-2026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46225</v>
      </c>
      <c r="E161" s="1" t="n">
        <v>46253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8.199999999999999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Ängsskära</t>
        </is>
      </c>
      <c r="W161">
        <f>HYPERLINK("https://klasma.github.io/Logging_0581/artfynd/A 31660-2026 artfynd.xlsx", "A 31660-2026")</f>
        <v/>
      </c>
      <c r="X161">
        <f>HYPERLINK("https://klasma.github.io/Logging_0581/kartor/A 31660-2026 karta.png", "A 31660-2026")</f>
        <v/>
      </c>
      <c r="Y161">
        <f>HYPERLINK("https://klasma.github.io/Logging_0581/kartor_geotiff/A 31660-2026 georefererad karta.tif", "A 31660-2026")</f>
        <v/>
      </c>
      <c r="AA161">
        <f>HYPERLINK("https://klasma.github.io/Logging_0581/klagomål/A 31660-2026 FSC-klagomål.docx", "A 31660-2026")</f>
        <v/>
      </c>
      <c r="AB161">
        <f>HYPERLINK("https://klasma.github.io/Logging_0581/klagomålsmail/A 31660-2026 FSC-klagomål mail.docx", "A 31660-2026")</f>
        <v/>
      </c>
      <c r="AC161">
        <f>HYPERLINK("https://klasma.github.io/Logging_0581/tillsyn/A 31660-2026 tillsynsbegäran.docx", "A 31660-2026")</f>
        <v/>
      </c>
      <c r="AD161">
        <f>HYPERLINK("https://klasma.github.io/Logging_0581/tillsynsmail/A 31660-2026 tillsynsbegäran mail.docx", "A 31660-2026")</f>
        <v/>
      </c>
    </row>
    <row r="162" ht="15" customHeight="1">
      <c r="A162" t="inlineStr">
        <is>
          <t>A 31892-2026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46253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HYPERLINK("https://klasma.github.io/Logging_0581/artfynd/A 31892-2026 artfynd.xlsx", "A 31892-2026")</f>
        <v/>
      </c>
      <c r="X162">
        <f>HYPERLINK("https://klasma.github.io/Logging_0581/kartor/A 31892-2026 karta.png", "A 31892-2026")</f>
        <v/>
      </c>
      <c r="Y162">
        <f>HYPERLINK("https://klasma.github.io/Logging_0581/kartor_geotiff/A 31892-2026 georefererad karta.tif", "A 31892-2026")</f>
        <v/>
      </c>
      <c r="AA162">
        <f>HYPERLINK("https://klasma.github.io/Logging_0581/klagomål/A 31892-2026 FSC-klagomål.docx", "A 31892-2026")</f>
        <v/>
      </c>
      <c r="AB162">
        <f>HYPERLINK("https://klasma.github.io/Logging_0581/klagomålsmail/A 31892-2026 FSC-klagomål mail.docx", "A 31892-2026")</f>
        <v/>
      </c>
      <c r="AC162">
        <f>HYPERLINK("https://klasma.github.io/Logging_0581/tillsyn/A 31892-2026 tillsynsbegäran.docx", "A 31892-2026")</f>
        <v/>
      </c>
      <c r="AD162">
        <f>HYPERLINK("https://klasma.github.io/Logging_0581/tillsynsmail/A 31892-2026 tillsynsbegäran mail.docx", "A 31892-2026")</f>
        <v/>
      </c>
    </row>
    <row r="163" ht="15" customHeight="1">
      <c r="A163" t="inlineStr">
        <is>
          <t>A 8245-2023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46253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Svedjenäva</t>
        </is>
      </c>
      <c r="W163">
        <f>HYPERLINK("https://klasma.github.io/Logging_0581/artfynd/A 8245-2023 artfynd.xlsx", "A 8245-2023")</f>
        <v/>
      </c>
      <c r="X163">
        <f>HYPERLINK("https://klasma.github.io/Logging_0581/kartor/A 8245-2023 karta.png", "A 8245-2023")</f>
        <v/>
      </c>
      <c r="Y163">
        <f>HYPERLINK("https://klasma.github.io/Logging_0581/kartor_geotiff/A 8245-2023 georefererad karta.tif", "A 8245-2023")</f>
        <v/>
      </c>
      <c r="AA163">
        <f>HYPERLINK("https://klasma.github.io/Logging_0581/klagomål/A 8245-2023 FSC-klagomål.docx", "A 8245-2023")</f>
        <v/>
      </c>
      <c r="AB163">
        <f>HYPERLINK("https://klasma.github.io/Logging_0581/klagomålsmail/A 8245-2023 FSC-klagomål mail.docx", "A 8245-2023")</f>
        <v/>
      </c>
      <c r="AC163">
        <f>HYPERLINK("https://klasma.github.io/Logging_0581/tillsyn/A 8245-2023 tillsynsbegäran.docx", "A 8245-2023")</f>
        <v/>
      </c>
      <c r="AD163">
        <f>HYPERLINK("https://klasma.github.io/Logging_0581/tillsynsmail/A 8245-2023 tillsynsbegäran mail.docx", "A 8245-2023")</f>
        <v/>
      </c>
    </row>
    <row r="164" ht="15" customHeight="1">
      <c r="A164" t="inlineStr">
        <is>
          <t>A 31897-2022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44777</v>
      </c>
      <c r="E164" s="1" t="n">
        <v>46253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Kommuner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Grönpyrola</t>
        </is>
      </c>
      <c r="W164">
        <f>HYPERLINK("https://klasma.github.io/Logging_0581/artfynd/A 31897-2022 artfynd.xlsx", "A 31897-2022")</f>
        <v/>
      </c>
      <c r="X164">
        <f>HYPERLINK("https://klasma.github.io/Logging_0581/kartor/A 31897-2022 karta.png", "A 31897-2022")</f>
        <v/>
      </c>
      <c r="Y164">
        <f>HYPERLINK("https://klasma.github.io/Logging_0581/kartor_geotiff/A 31897-2022 georefererad karta.tif", "A 31897-2022")</f>
        <v/>
      </c>
      <c r="AA164">
        <f>HYPERLINK("https://klasma.github.io/Logging_0581/klagomål/A 31897-2022 FSC-klagomål.docx", "A 31897-2022")</f>
        <v/>
      </c>
      <c r="AB164">
        <f>HYPERLINK("https://klasma.github.io/Logging_0581/klagomålsmail/A 31897-2022 FSC-klagomål mail.docx", "A 31897-2022")</f>
        <v/>
      </c>
      <c r="AC164">
        <f>HYPERLINK("https://klasma.github.io/Logging_0581/tillsyn/A 31897-2022 tillsynsbegäran.docx", "A 31897-2022")</f>
        <v/>
      </c>
      <c r="AD164">
        <f>HYPERLINK("https://klasma.github.io/Logging_0581/tillsynsmail/A 31897-2022 tillsynsbegäran mail.docx", "A 31897-2022")</f>
        <v/>
      </c>
    </row>
    <row r="165" ht="15" customHeight="1">
      <c r="A165" t="inlineStr">
        <is>
          <t>A 32815-2026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46253</v>
      </c>
      <c r="F165" t="inlineStr">
        <is>
          <t>ÖSTERGÖTLANDS LÄN</t>
        </is>
      </c>
      <c r="G165" t="inlineStr">
        <is>
          <t>NORRKÖPING</t>
        </is>
      </c>
      <c r="I165" t="n">
        <v>2.2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Ärtsångare</t>
        </is>
      </c>
      <c r="W165">
        <f>HYPERLINK("https://klasma.github.io/Logging_0581/artfynd/A 32815-2026 artfynd.xlsx", "A 32815-2026")</f>
        <v/>
      </c>
      <c r="X165">
        <f>HYPERLINK("https://klasma.github.io/Logging_0581/kartor/A 32815-2026 karta.png", "A 32815-2026")</f>
        <v/>
      </c>
      <c r="Y165">
        <f>HYPERLINK("https://klasma.github.io/Logging_0581/kartor_geotiff/A 32815-2026 georefererad karta.tif", "A 32815-2026")</f>
        <v/>
      </c>
      <c r="AA165">
        <f>HYPERLINK("https://klasma.github.io/Logging_0581/klagomål/A 32815-2026 FSC-klagomål.docx", "A 32815-2026")</f>
        <v/>
      </c>
      <c r="AB165">
        <f>HYPERLINK("https://klasma.github.io/Logging_0581/klagomålsmail/A 32815-2026 FSC-klagomål mail.docx", "A 32815-2026")</f>
        <v/>
      </c>
      <c r="AC165">
        <f>HYPERLINK("https://klasma.github.io/Logging_0581/tillsyn/A 32815-2026 tillsynsbegäran.docx", "A 32815-2026")</f>
        <v/>
      </c>
      <c r="AD165">
        <f>HYPERLINK("https://klasma.github.io/Logging_0581/tillsynsmail/A 32815-2026 tillsynsbegäran mail.docx", "A 32815-2026")</f>
        <v/>
      </c>
    </row>
    <row r="166" ht="15" customHeight="1">
      <c r="A166" t="inlineStr">
        <is>
          <t>A 29202-2026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46253</v>
      </c>
      <c r="F166" t="inlineStr">
        <is>
          <t>ÖSTERGÖTLANDS LÄN</t>
        </is>
      </c>
      <c r="G166" t="inlineStr">
        <is>
          <t>NORRKÖPING</t>
        </is>
      </c>
      <c r="I166" t="n">
        <v>2.5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Tibast</t>
        </is>
      </c>
      <c r="W166">
        <f>HYPERLINK("https://klasma.github.io/Logging_0581/artfynd/A 29202-2026 artfynd.xlsx", "A 29202-2026")</f>
        <v/>
      </c>
      <c r="X166">
        <f>HYPERLINK("https://klasma.github.io/Logging_0581/kartor/A 29202-2026 karta.png", "A 29202-2026")</f>
        <v/>
      </c>
      <c r="Y166">
        <f>HYPERLINK("https://klasma.github.io/Logging_0581/kartor_geotiff/A 29202-2026 georefererad karta.tif", "A 29202-2026")</f>
        <v/>
      </c>
      <c r="AA166">
        <f>HYPERLINK("https://klasma.github.io/Logging_0581/klagomål/A 29202-2026 FSC-klagomål.docx", "A 29202-2026")</f>
        <v/>
      </c>
      <c r="AB166">
        <f>HYPERLINK("https://klasma.github.io/Logging_0581/klagomålsmail/A 29202-2026 FSC-klagomål mail.docx", "A 29202-2026")</f>
        <v/>
      </c>
      <c r="AC166">
        <f>HYPERLINK("https://klasma.github.io/Logging_0581/tillsyn/A 29202-2026 tillsynsbegäran.docx", "A 29202-2026")</f>
        <v/>
      </c>
      <c r="AD166">
        <f>HYPERLINK("https://klasma.github.io/Logging_0581/tillsynsmail/A 29202-2026 tillsynsbegäran mail.docx", "A 29202-2026")</f>
        <v/>
      </c>
    </row>
    <row r="167" ht="15" customHeight="1">
      <c r="A167" t="inlineStr">
        <is>
          <t>A 57772-2022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46253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Fällmossa</t>
        </is>
      </c>
      <c r="W167">
        <f>HYPERLINK("https://klasma.github.io/Logging_0581/artfynd/A 57772-2022 artfynd.xlsx", "A 57772-2022")</f>
        <v/>
      </c>
      <c r="X167">
        <f>HYPERLINK("https://klasma.github.io/Logging_0581/kartor/A 57772-2022 karta.png", "A 57772-2022")</f>
        <v/>
      </c>
      <c r="Y167">
        <f>HYPERLINK("https://klasma.github.io/Logging_0581/kartor_geotiff/A 57772-2022 georefererad karta.tif", "A 57772-2022")</f>
        <v/>
      </c>
      <c r="AA167">
        <f>HYPERLINK("https://klasma.github.io/Logging_0581/klagomål/A 57772-2022 FSC-klagomål.docx", "A 57772-2022")</f>
        <v/>
      </c>
      <c r="AB167">
        <f>HYPERLINK("https://klasma.github.io/Logging_0581/klagomålsmail/A 57772-2022 FSC-klagomål mail.docx", "A 57772-2022")</f>
        <v/>
      </c>
      <c r="AC167">
        <f>HYPERLINK("https://klasma.github.io/Logging_0581/tillsyn/A 57772-2022 tillsynsbegäran.docx", "A 57772-2022")</f>
        <v/>
      </c>
      <c r="AD167">
        <f>HYPERLINK("https://klasma.github.io/Logging_0581/tillsynsmail/A 57772-2022 tillsynsbegäran mail.docx", "A 57772-2022")</f>
        <v/>
      </c>
    </row>
    <row r="168" ht="15" customHeight="1">
      <c r="A168" t="inlineStr">
        <is>
          <t>A 41369-2023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46253</v>
      </c>
      <c r="F168" t="inlineStr">
        <is>
          <t>ÖSTERGÖTLANDS LÄN</t>
        </is>
      </c>
      <c r="G168" t="inlineStr">
        <is>
          <t>NORRKÖPING</t>
        </is>
      </c>
      <c r="I168" t="n">
        <v>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HYPERLINK("https://klasma.github.io/Logging_0581/artfynd/A 41369-2023 artfynd.xlsx", "A 41369-2023")</f>
        <v/>
      </c>
      <c r="X168">
        <f>HYPERLINK("https://klasma.github.io/Logging_0581/kartor/A 41369-2023 karta.png", "A 41369-2023")</f>
        <v/>
      </c>
      <c r="Y168">
        <f>HYPERLINK("https://klasma.github.io/Logging_0581/kartor_geotiff/A 41369-2023 georefererad karta.tif", "A 41369-2023")</f>
        <v/>
      </c>
      <c r="AA168">
        <f>HYPERLINK("https://klasma.github.io/Logging_0581/klagomål/A 41369-2023 FSC-klagomål.docx", "A 41369-2023")</f>
        <v/>
      </c>
      <c r="AB168">
        <f>HYPERLINK("https://klasma.github.io/Logging_0581/klagomålsmail/A 41369-2023 FSC-klagomål mail.docx", "A 41369-2023")</f>
        <v/>
      </c>
      <c r="AC168">
        <f>HYPERLINK("https://klasma.github.io/Logging_0581/tillsyn/A 41369-2023 tillsynsbegäran.docx", "A 41369-2023")</f>
        <v/>
      </c>
      <c r="AD168">
        <f>HYPERLINK("https://klasma.github.io/Logging_0581/tillsynsmail/A 41369-2023 tillsynsbegäran mail.docx", "A 41369-2023")</f>
        <v/>
      </c>
    </row>
    <row r="169" ht="15" customHeight="1">
      <c r="A169" t="inlineStr">
        <is>
          <t>A 14329-2022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46253</v>
      </c>
      <c r="F169" t="inlineStr">
        <is>
          <t>ÖSTERGÖTLANDS LÄN</t>
        </is>
      </c>
      <c r="G169" t="inlineStr">
        <is>
          <t>NORRKÖPING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Röd skogslilja</t>
        </is>
      </c>
      <c r="W169">
        <f>HYPERLINK("https://klasma.github.io/Logging_0581/artfynd/A 14329-2022 artfynd.xlsx", "A 14329-2022")</f>
        <v/>
      </c>
      <c r="X169">
        <f>HYPERLINK("https://klasma.github.io/Logging_0581/kartor/A 14329-2022 karta.png", "A 14329-2022")</f>
        <v/>
      </c>
      <c r="Y169">
        <f>HYPERLINK("https://klasma.github.io/Logging_0581/kartor_geotiff/A 14329-2022 georefererad karta.tif", "A 14329-2022")</f>
        <v/>
      </c>
      <c r="AA169">
        <f>HYPERLINK("https://klasma.github.io/Logging_0581/klagomål/A 14329-2022 FSC-klagomål.docx", "A 14329-2022")</f>
        <v/>
      </c>
      <c r="AB169">
        <f>HYPERLINK("https://klasma.github.io/Logging_0581/klagomålsmail/A 14329-2022 FSC-klagomål mail.docx", "A 14329-2022")</f>
        <v/>
      </c>
      <c r="AC169">
        <f>HYPERLINK("https://klasma.github.io/Logging_0581/tillsyn/A 14329-2022 tillsynsbegäran.docx", "A 14329-2022")</f>
        <v/>
      </c>
      <c r="AD169">
        <f>HYPERLINK("https://klasma.github.io/Logging_0581/tillsynsmail/A 14329-2022 tillsynsbegäran mail.docx", "A 14329-2022")</f>
        <v/>
      </c>
    </row>
    <row r="170" ht="15" customHeight="1">
      <c r="A170" t="inlineStr">
        <is>
          <t>A 15124-2025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46253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3.8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Vedskivlav</t>
        </is>
      </c>
      <c r="W170">
        <f>HYPERLINK("https://klasma.github.io/Logging_0581/artfynd/A 15124-2025 artfynd.xlsx", "A 15124-2025")</f>
        <v/>
      </c>
      <c r="X170">
        <f>HYPERLINK("https://klasma.github.io/Logging_0581/kartor/A 15124-2025 karta.png", "A 15124-2025")</f>
        <v/>
      </c>
      <c r="Y170">
        <f>HYPERLINK("https://klasma.github.io/Logging_0581/kartor_geotiff/A 15124-2025 georefererad karta.tif", "A 15124-2025")</f>
        <v/>
      </c>
      <c r="AA170">
        <f>HYPERLINK("https://klasma.github.io/Logging_0581/klagomål/A 15124-2025 FSC-klagomål.docx", "A 15124-2025")</f>
        <v/>
      </c>
      <c r="AB170">
        <f>HYPERLINK("https://klasma.github.io/Logging_0581/klagomålsmail/A 15124-2025 FSC-klagomål mail.docx", "A 15124-2025")</f>
        <v/>
      </c>
      <c r="AC170">
        <f>HYPERLINK("https://klasma.github.io/Logging_0581/tillsyn/A 15124-2025 tillsynsbegäran.docx", "A 15124-2025")</f>
        <v/>
      </c>
      <c r="AD170">
        <f>HYPERLINK("https://klasma.github.io/Logging_0581/tillsynsmail/A 15124-2025 tillsynsbegäran mail.docx", "A 15124-2025")</f>
        <v/>
      </c>
    </row>
    <row r="171" ht="15" customHeight="1">
      <c r="A171" t="inlineStr">
        <is>
          <t>A 15143-2025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46253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Vedskivlav</t>
        </is>
      </c>
      <c r="W171">
        <f>HYPERLINK("https://klasma.github.io/Logging_0581/artfynd/A 15143-2025 artfynd.xlsx", "A 15143-2025")</f>
        <v/>
      </c>
      <c r="X171">
        <f>HYPERLINK("https://klasma.github.io/Logging_0581/kartor/A 15143-2025 karta.png", "A 15143-2025")</f>
        <v/>
      </c>
      <c r="Y171">
        <f>HYPERLINK("https://klasma.github.io/Logging_0581/kartor_geotiff/A 15143-2025 georefererad karta.tif", "A 15143-2025")</f>
        <v/>
      </c>
      <c r="AA171">
        <f>HYPERLINK("https://klasma.github.io/Logging_0581/klagomål/A 15143-2025 FSC-klagomål.docx", "A 15143-2025")</f>
        <v/>
      </c>
      <c r="AB171">
        <f>HYPERLINK("https://klasma.github.io/Logging_0581/klagomålsmail/A 15143-2025 FSC-klagomål mail.docx", "A 15143-2025")</f>
        <v/>
      </c>
      <c r="AC171">
        <f>HYPERLINK("https://klasma.github.io/Logging_0581/tillsyn/A 15143-2025 tillsynsbegäran.docx", "A 15143-2025")</f>
        <v/>
      </c>
      <c r="AD171">
        <f>HYPERLINK("https://klasma.github.io/Logging_0581/tillsynsmail/A 15143-2025 tillsynsbegäran mail.docx", "A 15143-2025")</f>
        <v/>
      </c>
    </row>
    <row r="172" ht="15" customHeight="1">
      <c r="A172" t="inlineStr">
        <is>
          <t>A 1077-2023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46253</v>
      </c>
      <c r="F172" t="inlineStr">
        <is>
          <t>ÖSTERGÖTLANDS LÄN</t>
        </is>
      </c>
      <c r="G172" t="inlineStr">
        <is>
          <t>NORRKÖPING</t>
        </is>
      </c>
      <c r="I172" t="n">
        <v>3.4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Äkta lopplummer</t>
        </is>
      </c>
      <c r="W172">
        <f>HYPERLINK("https://klasma.github.io/Logging_0581/artfynd/A 1077-2023 artfynd.xlsx", "A 1077-2023")</f>
        <v/>
      </c>
      <c r="X172">
        <f>HYPERLINK("https://klasma.github.io/Logging_0581/kartor/A 1077-2023 karta.png", "A 1077-2023")</f>
        <v/>
      </c>
      <c r="Y172">
        <f>HYPERLINK("https://klasma.github.io/Logging_0581/kartor_geotiff/A 1077-2023 georefererad karta.tif", "A 1077-2023")</f>
        <v/>
      </c>
      <c r="AA172">
        <f>HYPERLINK("https://klasma.github.io/Logging_0581/klagomål/A 1077-2023 FSC-klagomål.docx", "A 1077-2023")</f>
        <v/>
      </c>
      <c r="AB172">
        <f>HYPERLINK("https://klasma.github.io/Logging_0581/klagomålsmail/A 1077-2023 FSC-klagomål mail.docx", "A 1077-2023")</f>
        <v/>
      </c>
      <c r="AC172">
        <f>HYPERLINK("https://klasma.github.io/Logging_0581/tillsyn/A 1077-2023 tillsynsbegäran.docx", "A 1077-2023")</f>
        <v/>
      </c>
      <c r="AD172">
        <f>HYPERLINK("https://klasma.github.io/Logging_0581/tillsynsmail/A 1077-2023 tillsynsbegäran mail.docx", "A 1077-2023")</f>
        <v/>
      </c>
    </row>
    <row r="173" ht="15" customHeight="1">
      <c r="A173" t="inlineStr">
        <is>
          <t>A 58318-2023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46253</v>
      </c>
      <c r="F173" t="inlineStr">
        <is>
          <t>ÖSTERGÖTLANDS LÄN</t>
        </is>
      </c>
      <c r="G173" t="inlineStr">
        <is>
          <t>NORRKÖPING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Havsörn</t>
        </is>
      </c>
      <c r="W173">
        <f>HYPERLINK("https://klasma.github.io/Logging_0581/artfynd/A 58318-2023 artfynd.xlsx", "A 58318-2023")</f>
        <v/>
      </c>
      <c r="X173">
        <f>HYPERLINK("https://klasma.github.io/Logging_0581/kartor/A 58318-2023 karta.png", "A 58318-2023")</f>
        <v/>
      </c>
      <c r="Y173">
        <f>HYPERLINK("https://klasma.github.io/Logging_0581/kartor_geotiff/A 58318-2023 georefererad karta.tif", "A 58318-2023")</f>
        <v/>
      </c>
      <c r="AA173">
        <f>HYPERLINK("https://klasma.github.io/Logging_0581/klagomål/A 58318-2023 FSC-klagomål.docx", "A 58318-2023")</f>
        <v/>
      </c>
      <c r="AB173">
        <f>HYPERLINK("https://klasma.github.io/Logging_0581/klagomålsmail/A 58318-2023 FSC-klagomål mail.docx", "A 58318-2023")</f>
        <v/>
      </c>
      <c r="AC173">
        <f>HYPERLINK("https://klasma.github.io/Logging_0581/tillsyn/A 58318-2023 tillsynsbegäran.docx", "A 58318-2023")</f>
        <v/>
      </c>
      <c r="AD173">
        <f>HYPERLINK("https://klasma.github.io/Logging_0581/tillsynsmail/A 58318-2023 tillsynsbegäran mail.docx", "A 58318-2023")</f>
        <v/>
      </c>
      <c r="AE173">
        <f>HYPERLINK("https://klasma.github.io/Logging_0581/fåglar/A 58318-2023 prioriterade fågelarter.docx", "A 58318-2023")</f>
        <v/>
      </c>
    </row>
    <row r="174" ht="15" customHeight="1">
      <c r="A174" t="inlineStr">
        <is>
          <t>A 15870-2024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46253</v>
      </c>
      <c r="F174" t="inlineStr">
        <is>
          <t>ÖSTERGÖTLANDS LÄN</t>
        </is>
      </c>
      <c r="G174" t="inlineStr">
        <is>
          <t>NORRKÖPING</t>
        </is>
      </c>
      <c r="I174" t="n">
        <v>1.3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Mörk dunört</t>
        </is>
      </c>
      <c r="W174">
        <f>HYPERLINK("https://klasma.github.io/Logging_0581/artfynd/A 15870-2024 artfynd.xlsx", "A 15870-2024")</f>
        <v/>
      </c>
      <c r="X174">
        <f>HYPERLINK("https://klasma.github.io/Logging_0581/kartor/A 15870-2024 karta.png", "A 15870-2024")</f>
        <v/>
      </c>
      <c r="Y174">
        <f>HYPERLINK("https://klasma.github.io/Logging_0581/kartor_geotiff/A 15870-2024 georefererad karta.tif", "A 15870-2024")</f>
        <v/>
      </c>
      <c r="AA174">
        <f>HYPERLINK("https://klasma.github.io/Logging_0581/klagomål/A 15870-2024 FSC-klagomål.docx", "A 15870-2024")</f>
        <v/>
      </c>
      <c r="AB174">
        <f>HYPERLINK("https://klasma.github.io/Logging_0581/klagomålsmail/A 15870-2024 FSC-klagomål mail.docx", "A 15870-2024")</f>
        <v/>
      </c>
      <c r="AC174">
        <f>HYPERLINK("https://klasma.github.io/Logging_0581/tillsyn/A 15870-2024 tillsynsbegäran.docx", "A 15870-2024")</f>
        <v/>
      </c>
      <c r="AD174">
        <f>HYPERLINK("https://klasma.github.io/Logging_0581/tillsynsmail/A 15870-2024 tillsynsbegäran mail.docx", "A 15870-2024")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46253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46253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46253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46253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46253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46253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46253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46253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46253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46253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46253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46253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46253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45956-2021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44441</v>
      </c>
      <c r="E188" s="1" t="n">
        <v>46253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Holmen skog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46253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46253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46253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46253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46253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46253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46253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46253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46253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46253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46253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46253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46253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46253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46253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46253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46253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46253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46253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46253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46253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46253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46253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46253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46253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46253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46253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46253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46253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46253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46253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46253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46253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46253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46253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46253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46253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46253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46253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46253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46253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46253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46253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46253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46253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46253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46253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46253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46253</v>
      </c>
      <c r="F237" t="inlineStr">
        <is>
          <t>ÖSTERGÖTLANDS LÄN</t>
        </is>
      </c>
      <c r="G237" t="inlineStr">
        <is>
          <t>NORRKÖPING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44445</v>
      </c>
      <c r="E238" s="1" t="n">
        <v>46253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46253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46253</v>
      </c>
      <c r="F240" t="inlineStr">
        <is>
          <t>ÖSTERGÖTLANDS LÄN</t>
        </is>
      </c>
      <c r="G240" t="inlineStr">
        <is>
          <t>NORRKÖPING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46253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46253</v>
      </c>
      <c r="F242" t="inlineStr">
        <is>
          <t>ÖSTERGÖTLANDS LÄN</t>
        </is>
      </c>
      <c r="G242" t="inlineStr">
        <is>
          <t>NORRKÖPING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46253</v>
      </c>
      <c r="F243" t="inlineStr">
        <is>
          <t>ÖSTERGÖTLANDS LÄN</t>
        </is>
      </c>
      <c r="G243" t="inlineStr">
        <is>
          <t>NORRKÖPING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46253</v>
      </c>
      <c r="F244" t="inlineStr">
        <is>
          <t>ÖSTERGÖTLANDS LÄN</t>
        </is>
      </c>
      <c r="G244" t="inlineStr">
        <is>
          <t>NORRKÖPING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50157-2022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44865</v>
      </c>
      <c r="E245" s="1" t="n">
        <v>46253</v>
      </c>
      <c r="F245" t="inlineStr">
        <is>
          <t>ÖSTERGÖTLANDS LÄN</t>
        </is>
      </c>
      <c r="G245" t="inlineStr">
        <is>
          <t>NORRKÖPING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46253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45532</v>
      </c>
      <c r="E247" s="1" t="n">
        <v>46253</v>
      </c>
      <c r="F247" t="inlineStr">
        <is>
          <t>ÖSTERGÖTLANDS LÄN</t>
        </is>
      </c>
      <c r="G247" t="inlineStr">
        <is>
          <t>NORRKÖPING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46253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46253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45043</v>
      </c>
      <c r="E250" s="1" t="n">
        <v>46253</v>
      </c>
      <c r="F250" t="inlineStr">
        <is>
          <t>ÖSTERGÖTLANDS LÄN</t>
        </is>
      </c>
      <c r="G250" t="inlineStr">
        <is>
          <t>NORRKÖPING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44805</v>
      </c>
      <c r="E251" s="1" t="n">
        <v>46253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Allmännings- och besparingsskogar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45118</v>
      </c>
      <c r="E252" s="1" t="n">
        <v>46253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45369</v>
      </c>
      <c r="E253" s="1" t="n">
        <v>46253</v>
      </c>
      <c r="F253" t="inlineStr">
        <is>
          <t>ÖSTERGÖTLANDS LÄN</t>
        </is>
      </c>
      <c r="G253" t="inlineStr">
        <is>
          <t>NORRKÖPING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45336</v>
      </c>
      <c r="E254" s="1" t="n">
        <v>46253</v>
      </c>
      <c r="F254" t="inlineStr">
        <is>
          <t>ÖSTERGÖTLANDS LÄN</t>
        </is>
      </c>
      <c r="G254" t="inlineStr">
        <is>
          <t>NORRKÖPING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46253</v>
      </c>
      <c r="F255" t="inlineStr">
        <is>
          <t>ÖSTERGÖTLANDS LÄN</t>
        </is>
      </c>
      <c r="G255" t="inlineStr">
        <is>
          <t>NORRKÖPING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46253</v>
      </c>
      <c r="F256" t="inlineStr">
        <is>
          <t>ÖSTERGÖTLANDS LÄN</t>
        </is>
      </c>
      <c r="G256" t="inlineStr">
        <is>
          <t>NORRKÖPING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49062-2022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46253</v>
      </c>
      <c r="F257" t="inlineStr">
        <is>
          <t>ÖSTERGÖTLANDS LÄN</t>
        </is>
      </c>
      <c r="G257" t="inlineStr">
        <is>
          <t>NORRKÖPING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46253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46253</v>
      </c>
      <c r="F259" t="inlineStr">
        <is>
          <t>ÖSTERGÖTLANDS LÄN</t>
        </is>
      </c>
      <c r="G259" t="inlineStr">
        <is>
          <t>NORRKÖPING</t>
        </is>
      </c>
      <c r="I259" t="n">
        <v>12.5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46253</v>
      </c>
      <c r="F260" t="inlineStr">
        <is>
          <t>ÖSTERGÖTLANDS LÄN</t>
        </is>
      </c>
      <c r="G260" t="inlineStr">
        <is>
          <t>NORRKÖPING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46253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44462</v>
      </c>
      <c r="E262" s="1" t="n">
        <v>46253</v>
      </c>
      <c r="F262" t="inlineStr">
        <is>
          <t>ÖSTERGÖTLANDS LÄN</t>
        </is>
      </c>
      <c r="G262" t="inlineStr">
        <is>
          <t>NORRKÖPING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45425</v>
      </c>
      <c r="E263" s="1" t="n">
        <v>46253</v>
      </c>
      <c r="F263" t="inlineStr">
        <is>
          <t>ÖSTERGÖTLANDS LÄN</t>
        </is>
      </c>
      <c r="G263" t="inlineStr">
        <is>
          <t>NORRKÖPING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46253</v>
      </c>
      <c r="F264" t="inlineStr">
        <is>
          <t>ÖSTERGÖTLANDS LÄN</t>
        </is>
      </c>
      <c r="G264" t="inlineStr">
        <is>
          <t>NORRKÖPING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46253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44880</v>
      </c>
      <c r="E266" s="1" t="n">
        <v>46253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46253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46253</v>
      </c>
      <c r="F268" t="inlineStr">
        <is>
          <t>ÖSTERGÖTLANDS LÄN</t>
        </is>
      </c>
      <c r="G268" t="inlineStr">
        <is>
          <t>NORRKÖPING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1914-2023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44939</v>
      </c>
      <c r="E269" s="1" t="n">
        <v>46253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Naturvårdsverket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63961-2023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46253</v>
      </c>
      <c r="F270" t="inlineStr">
        <is>
          <t>ÖSTERGÖTLANDS LÄN</t>
        </is>
      </c>
      <c r="G270" t="inlineStr">
        <is>
          <t>NORRKÖPING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46253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46253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46253</v>
      </c>
      <c r="F273" t="inlineStr">
        <is>
          <t>ÖSTERGÖTLANDS LÄN</t>
        </is>
      </c>
      <c r="G273" t="inlineStr">
        <is>
          <t>NORRKÖPING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46253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46253</v>
      </c>
      <c r="F275" t="inlineStr">
        <is>
          <t>ÖSTERGÖTLANDS LÄN</t>
        </is>
      </c>
      <c r="G275" t="inlineStr">
        <is>
          <t>NORRKÖPING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43773-2021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46253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45490</v>
      </c>
      <c r="E277" s="1" t="n">
        <v>46253</v>
      </c>
      <c r="F277" t="inlineStr">
        <is>
          <t>ÖSTERGÖTLANDS LÄN</t>
        </is>
      </c>
      <c r="G277" t="inlineStr">
        <is>
          <t>NORRKÖPING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46253</v>
      </c>
      <c r="F278" t="inlineStr">
        <is>
          <t>ÖSTERGÖTLANDS LÄN</t>
        </is>
      </c>
      <c r="G278" t="inlineStr">
        <is>
          <t>NORRKÖPING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46253</v>
      </c>
      <c r="F279" t="inlineStr">
        <is>
          <t>ÖSTERGÖTLANDS LÄN</t>
        </is>
      </c>
      <c r="G279" t="inlineStr">
        <is>
          <t>NORRKÖPING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46253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46253</v>
      </c>
      <c r="F281" t="inlineStr">
        <is>
          <t>ÖSTERGÖTLANDS LÄN</t>
        </is>
      </c>
      <c r="G281" t="inlineStr">
        <is>
          <t>NORRKÖPING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46253</v>
      </c>
      <c r="F282" t="inlineStr">
        <is>
          <t>ÖSTERGÖTLANDS LÄN</t>
        </is>
      </c>
      <c r="G282" t="inlineStr">
        <is>
          <t>NORRKÖPING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46253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47345-2023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45202</v>
      </c>
      <c r="E284" s="1" t="n">
        <v>46253</v>
      </c>
      <c r="F284" t="inlineStr">
        <is>
          <t>ÖSTERGÖTLANDS LÄN</t>
        </is>
      </c>
      <c r="G284" t="inlineStr">
        <is>
          <t>NORRKÖPING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10393-2024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45365</v>
      </c>
      <c r="E285" s="1" t="n">
        <v>46253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Kommuner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46253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44936</v>
      </c>
      <c r="E287" s="1" t="n">
        <v>46253</v>
      </c>
      <c r="F287" t="inlineStr">
        <is>
          <t>ÖSTERGÖTLANDS LÄN</t>
        </is>
      </c>
      <c r="G287" t="inlineStr">
        <is>
          <t>NORRKÖPING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45369</v>
      </c>
      <c r="E288" s="1" t="n">
        <v>46253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45030</v>
      </c>
      <c r="E289" s="1" t="n">
        <v>46253</v>
      </c>
      <c r="F289" t="inlineStr">
        <is>
          <t>ÖSTERGÖTLANDS LÄN</t>
        </is>
      </c>
      <c r="G289" t="inlineStr">
        <is>
          <t>NORRKÖPING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46253</v>
      </c>
      <c r="F290" t="inlineStr">
        <is>
          <t>ÖSTERGÖTLANDS LÄN</t>
        </is>
      </c>
      <c r="G290" t="inlineStr">
        <is>
          <t>NORRKÖPING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46253</v>
      </c>
      <c r="F291" t="inlineStr">
        <is>
          <t>ÖSTERGÖTLANDS LÄN</t>
        </is>
      </c>
      <c r="G291" t="inlineStr">
        <is>
          <t>NORRKÖPING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46253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46253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46253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46253</v>
      </c>
      <c r="F295" t="inlineStr">
        <is>
          <t>ÖSTERGÖTLANDS LÄN</t>
        </is>
      </c>
      <c r="G295" t="inlineStr">
        <is>
          <t>NORRKÖPING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46253</v>
      </c>
      <c r="F296" t="inlineStr">
        <is>
          <t>ÖSTERGÖTLANDS LÄN</t>
        </is>
      </c>
      <c r="G296" t="inlineStr">
        <is>
          <t>NORRKÖPING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46253</v>
      </c>
      <c r="F297" t="inlineStr">
        <is>
          <t>ÖSTERGÖTLANDS LÄN</t>
        </is>
      </c>
      <c r="G297" t="inlineStr">
        <is>
          <t>NORRKÖPING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46253</v>
      </c>
      <c r="F298" t="inlineStr">
        <is>
          <t>ÖSTERGÖTLANDS LÄN</t>
        </is>
      </c>
      <c r="G298" t="inlineStr">
        <is>
          <t>NORRKÖPING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46253</v>
      </c>
      <c r="F299" t="inlineStr">
        <is>
          <t>ÖSTERGÖTLANDS LÄN</t>
        </is>
      </c>
      <c r="G299" t="inlineStr">
        <is>
          <t>NORRKÖPING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46253</v>
      </c>
      <c r="F300" t="inlineStr">
        <is>
          <t>ÖSTERGÖTLANDS LÄN</t>
        </is>
      </c>
      <c r="G300" t="inlineStr">
        <is>
          <t>NORRKÖPING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46253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Kommuner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46253</v>
      </c>
      <c r="F302" t="inlineStr">
        <is>
          <t>ÖSTERGÖTLANDS LÄN</t>
        </is>
      </c>
      <c r="G302" t="inlineStr">
        <is>
          <t>NORRKÖPING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46253</v>
      </c>
      <c r="F303" t="inlineStr">
        <is>
          <t>ÖSTERGÖTLANDS LÄN</t>
        </is>
      </c>
      <c r="G303" t="inlineStr">
        <is>
          <t>NORRKÖPING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46253</v>
      </c>
      <c r="F304" t="inlineStr">
        <is>
          <t>ÖSTERGÖTLANDS LÄN</t>
        </is>
      </c>
      <c r="G304" t="inlineStr">
        <is>
          <t>NORRKÖPING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45201</v>
      </c>
      <c r="E305" s="1" t="n">
        <v>46253</v>
      </c>
      <c r="F305" t="inlineStr">
        <is>
          <t>ÖSTERGÖTLANDS LÄN</t>
        </is>
      </c>
      <c r="G305" t="inlineStr">
        <is>
          <t>NORRKÖPING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46253</v>
      </c>
      <c r="F306" t="inlineStr">
        <is>
          <t>ÖSTERGÖTLANDS LÄN</t>
        </is>
      </c>
      <c r="G306" t="inlineStr">
        <is>
          <t>NORRKÖPING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46253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42390-2021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44427</v>
      </c>
      <c r="E308" s="1" t="n">
        <v>46253</v>
      </c>
      <c r="F308" t="inlineStr">
        <is>
          <t>ÖSTERGÖTLANDS LÄN</t>
        </is>
      </c>
      <c r="G308" t="inlineStr">
        <is>
          <t>NORRKÖPING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46253</v>
      </c>
      <c r="F309" t="inlineStr">
        <is>
          <t>ÖSTERGÖTLANDS LÄN</t>
        </is>
      </c>
      <c r="G309" t="inlineStr">
        <is>
          <t>NORRKÖPING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46046</v>
      </c>
      <c r="E310" s="1" t="n">
        <v>46253</v>
      </c>
      <c r="F310" t="inlineStr">
        <is>
          <t>ÖSTERGÖTLANDS LÄN</t>
        </is>
      </c>
      <c r="G310" t="inlineStr">
        <is>
          <t>NORRKÖPING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46253</v>
      </c>
      <c r="F311" t="inlineStr">
        <is>
          <t>ÖSTERGÖTLANDS LÄN</t>
        </is>
      </c>
      <c r="G311" t="inlineStr">
        <is>
          <t>NORRKÖPING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46253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Allmännings- och besparingsskogar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46253</v>
      </c>
      <c r="F313" t="inlineStr">
        <is>
          <t>ÖSTERGÖTLANDS LÄN</t>
        </is>
      </c>
      <c r="G313" t="inlineStr">
        <is>
          <t>NORRKÖPING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46046</v>
      </c>
      <c r="E314" s="1" t="n">
        <v>46253</v>
      </c>
      <c r="F314" t="inlineStr">
        <is>
          <t>ÖSTERGÖTLANDS LÄN</t>
        </is>
      </c>
      <c r="G314" t="inlineStr">
        <is>
          <t>NORRKÖPING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46253</v>
      </c>
      <c r="F315" t="inlineStr">
        <is>
          <t>ÖSTERGÖTLANDS LÄN</t>
        </is>
      </c>
      <c r="G315" t="inlineStr">
        <is>
          <t>NORRKÖPING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46253</v>
      </c>
      <c r="F316" t="inlineStr">
        <is>
          <t>ÖSTERGÖTLANDS LÄN</t>
        </is>
      </c>
      <c r="G316" t="inlineStr">
        <is>
          <t>NORRKÖPING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46253</v>
      </c>
      <c r="F317" t="inlineStr">
        <is>
          <t>ÖSTERGÖTLANDS LÄN</t>
        </is>
      </c>
      <c r="G317" t="inlineStr">
        <is>
          <t>NORRKÖPING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44974</v>
      </c>
      <c r="E318" s="1" t="n">
        <v>46253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46253</v>
      </c>
      <c r="F319" t="inlineStr">
        <is>
          <t>ÖSTERGÖTLANDS LÄN</t>
        </is>
      </c>
      <c r="G319" t="inlineStr">
        <is>
          <t>NORRKÖPING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46253</v>
      </c>
      <c r="F320" t="inlineStr">
        <is>
          <t>ÖSTERGÖTLANDS LÄN</t>
        </is>
      </c>
      <c r="G320" t="inlineStr">
        <is>
          <t>NORRKÖPING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46253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46253</v>
      </c>
      <c r="F322" t="inlineStr">
        <is>
          <t>ÖSTERGÖTLANDS LÄN</t>
        </is>
      </c>
      <c r="G322" t="inlineStr">
        <is>
          <t>NORRKÖPING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44943</v>
      </c>
      <c r="E323" s="1" t="n">
        <v>46253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46253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46253</v>
      </c>
      <c r="F325" t="inlineStr">
        <is>
          <t>ÖSTERGÖTLANDS LÄN</t>
        </is>
      </c>
      <c r="G325" t="inlineStr">
        <is>
          <t>NORRKÖPING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46253</v>
      </c>
      <c r="F326" t="inlineStr">
        <is>
          <t>ÖSTERGÖTLANDS LÄN</t>
        </is>
      </c>
      <c r="G326" t="inlineStr">
        <is>
          <t>NORRKÖPING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46253</v>
      </c>
      <c r="F327" t="inlineStr">
        <is>
          <t>ÖSTERGÖTLANDS LÄN</t>
        </is>
      </c>
      <c r="G327" t="inlineStr">
        <is>
          <t>NORRKÖPING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46253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Kommuner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46253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46253</v>
      </c>
      <c r="F330" t="inlineStr">
        <is>
          <t>ÖSTERGÖTLANDS LÄN</t>
        </is>
      </c>
      <c r="G330" t="inlineStr">
        <is>
          <t>NORRKÖPING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47895-2021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44448</v>
      </c>
      <c r="E331" s="1" t="n">
        <v>46253</v>
      </c>
      <c r="F331" t="inlineStr">
        <is>
          <t>ÖSTERGÖTLANDS LÄN</t>
        </is>
      </c>
      <c r="G331" t="inlineStr">
        <is>
          <t>NORRKÖPING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46253</v>
      </c>
      <c r="F332" t="inlineStr">
        <is>
          <t>ÖSTERGÖTLANDS LÄN</t>
        </is>
      </c>
      <c r="G332" t="inlineStr">
        <is>
          <t>NORRKÖPING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46253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46253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46253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46253</v>
      </c>
      <c r="F336" t="inlineStr">
        <is>
          <t>ÖSTERGÖTLANDS LÄN</t>
        </is>
      </c>
      <c r="G336" t="inlineStr">
        <is>
          <t>NORRKÖPING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46253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46253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46253</v>
      </c>
      <c r="F339" t="inlineStr">
        <is>
          <t>ÖSTERGÖTLANDS LÄN</t>
        </is>
      </c>
      <c r="G339" t="inlineStr">
        <is>
          <t>NORRKÖPING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46253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46253</v>
      </c>
      <c r="F341" t="inlineStr">
        <is>
          <t>ÖSTERGÖTLANDS LÄN</t>
        </is>
      </c>
      <c r="G341" t="inlineStr">
        <is>
          <t>NORRKÖPING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46253</v>
      </c>
      <c r="F342" t="inlineStr">
        <is>
          <t>ÖSTERGÖTLANDS LÄN</t>
        </is>
      </c>
      <c r="G342" t="inlineStr">
        <is>
          <t>NORRKÖPING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45898</v>
      </c>
      <c r="E343" s="1" t="n">
        <v>46253</v>
      </c>
      <c r="F343" t="inlineStr">
        <is>
          <t>ÖSTERGÖTLANDS LÄN</t>
        </is>
      </c>
      <c r="G343" t="inlineStr">
        <is>
          <t>NORRKÖPING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46253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46253</v>
      </c>
      <c r="F345" t="inlineStr">
        <is>
          <t>ÖSTERGÖTLANDS LÄN</t>
        </is>
      </c>
      <c r="G345" t="inlineStr">
        <is>
          <t>NORRKÖPING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46253</v>
      </c>
      <c r="F346" t="inlineStr">
        <is>
          <t>ÖSTERGÖTLANDS LÄN</t>
        </is>
      </c>
      <c r="G346" t="inlineStr">
        <is>
          <t>NORRKÖPING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46253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17138-2022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44677</v>
      </c>
      <c r="E348" s="1" t="n">
        <v>46253</v>
      </c>
      <c r="F348" t="inlineStr">
        <is>
          <t>ÖSTERGÖTLANDS LÄN</t>
        </is>
      </c>
      <c r="G348" t="inlineStr">
        <is>
          <t>NORRKÖPING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46253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Kyrkan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46072</v>
      </c>
      <c r="E350" s="1" t="n">
        <v>46253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Kyrkan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46253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46253</v>
      </c>
      <c r="F352" t="inlineStr">
        <is>
          <t>ÖSTERGÖTLANDS LÄN</t>
        </is>
      </c>
      <c r="G352" t="inlineStr">
        <is>
          <t>NORRKÖPING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43322-2022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46253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10375-2026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46076</v>
      </c>
      <c r="E354" s="1" t="n">
        <v>46253</v>
      </c>
      <c r="F354" t="inlineStr">
        <is>
          <t>ÖSTERGÖTLANDS LÄN</t>
        </is>
      </c>
      <c r="G354" t="inlineStr">
        <is>
          <t>NORRKÖPING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46253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46253</v>
      </c>
      <c r="F356" t="inlineStr">
        <is>
          <t>ÖSTERGÖTLANDS LÄN</t>
        </is>
      </c>
      <c r="G356" t="inlineStr">
        <is>
          <t>NORRKÖPING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46253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46253</v>
      </c>
      <c r="F358" t="inlineStr">
        <is>
          <t>ÖSTERGÖTLANDS LÄN</t>
        </is>
      </c>
      <c r="G358" t="inlineStr">
        <is>
          <t>NORRKÖPING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46253</v>
      </c>
      <c r="F359" t="inlineStr">
        <is>
          <t>ÖSTERGÖTLANDS LÄN</t>
        </is>
      </c>
      <c r="G359" t="inlineStr">
        <is>
          <t>NORRKÖPING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46253</v>
      </c>
      <c r="F360" t="inlineStr">
        <is>
          <t>ÖSTERGÖTLANDS LÄN</t>
        </is>
      </c>
      <c r="G360" t="inlineStr">
        <is>
          <t>NORRKÖPING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46253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46253</v>
      </c>
      <c r="F362" t="inlineStr">
        <is>
          <t>ÖSTERGÖTLANDS LÄN</t>
        </is>
      </c>
      <c r="G362" t="inlineStr">
        <is>
          <t>NORRKÖPING</t>
        </is>
      </c>
      <c r="I362" t="n">
        <v>8.199999999999999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46253</v>
      </c>
      <c r="F363" t="inlineStr">
        <is>
          <t>ÖSTERGÖTLANDS LÄN</t>
        </is>
      </c>
      <c r="G363" t="inlineStr">
        <is>
          <t>NORRKÖPING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44965</v>
      </c>
      <c r="E364" s="1" t="n">
        <v>46253</v>
      </c>
      <c r="F364" t="inlineStr">
        <is>
          <t>ÖSTERGÖTLANDS LÄN</t>
        </is>
      </c>
      <c r="G364" t="inlineStr">
        <is>
          <t>NORRKÖPING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45014</v>
      </c>
      <c r="E365" s="1" t="n">
        <v>46253</v>
      </c>
      <c r="F365" t="inlineStr">
        <is>
          <t>ÖSTERGÖTLANDS LÄN</t>
        </is>
      </c>
      <c r="G365" t="inlineStr">
        <is>
          <t>NORRKÖPING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44956</v>
      </c>
      <c r="E366" s="1" t="n">
        <v>46253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45356</v>
      </c>
      <c r="E367" s="1" t="n">
        <v>46253</v>
      </c>
      <c r="F367" t="inlineStr">
        <is>
          <t>ÖSTERGÖTLANDS LÄN</t>
        </is>
      </c>
      <c r="G367" t="inlineStr">
        <is>
          <t>NORRKÖPING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46253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Allmännings- och besparingsskogar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46253</v>
      </c>
      <c r="F369" t="inlineStr">
        <is>
          <t>ÖSTERGÖTLANDS LÄN</t>
        </is>
      </c>
      <c r="G369" t="inlineStr">
        <is>
          <t>NORRKÖPING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44719</v>
      </c>
      <c r="E370" s="1" t="n">
        <v>46253</v>
      </c>
      <c r="F370" t="inlineStr">
        <is>
          <t>ÖSTERGÖTLANDS LÄN</t>
        </is>
      </c>
      <c r="G370" t="inlineStr">
        <is>
          <t>NORRKÖPING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46253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46253</v>
      </c>
      <c r="F372" t="inlineStr">
        <is>
          <t>ÖSTERGÖTLANDS LÄN</t>
        </is>
      </c>
      <c r="G372" t="inlineStr">
        <is>
          <t>NORRKÖPING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46253</v>
      </c>
      <c r="F373" t="inlineStr">
        <is>
          <t>ÖSTERGÖTLANDS LÄN</t>
        </is>
      </c>
      <c r="G373" t="inlineStr">
        <is>
          <t>NORRKÖPING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46253</v>
      </c>
      <c r="F374" t="inlineStr">
        <is>
          <t>ÖSTERGÖTLANDS LÄN</t>
        </is>
      </c>
      <c r="G374" t="inlineStr">
        <is>
          <t>NORRKÖPING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46253</v>
      </c>
      <c r="F375" t="inlineStr">
        <is>
          <t>ÖSTERGÖTLANDS LÄN</t>
        </is>
      </c>
      <c r="G375" t="inlineStr">
        <is>
          <t>NORRKÖPING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46253</v>
      </c>
      <c r="F376" t="inlineStr">
        <is>
          <t>ÖSTERGÖTLANDS LÄN</t>
        </is>
      </c>
      <c r="G376" t="inlineStr">
        <is>
          <t>NORRKÖPING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46253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46253</v>
      </c>
      <c r="F378" t="inlineStr">
        <is>
          <t>ÖSTERGÖTLANDS LÄN</t>
        </is>
      </c>
      <c r="G378" t="inlineStr">
        <is>
          <t>NORRKÖPING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46253</v>
      </c>
      <c r="F379" t="inlineStr">
        <is>
          <t>ÖSTERGÖTLANDS LÄN</t>
        </is>
      </c>
      <c r="G379" t="inlineStr">
        <is>
          <t>NORRKÖPING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64898-2021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44512</v>
      </c>
      <c r="E380" s="1" t="n">
        <v>46253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46253</v>
      </c>
      <c r="F381" t="inlineStr">
        <is>
          <t>ÖSTERGÖTLANDS LÄN</t>
        </is>
      </c>
      <c r="G381" t="inlineStr">
        <is>
          <t>NORRKÖPING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46253</v>
      </c>
      <c r="F382" t="inlineStr">
        <is>
          <t>ÖSTERGÖTLANDS LÄN</t>
        </is>
      </c>
      <c r="G382" t="inlineStr">
        <is>
          <t>NORRKÖPING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45922</v>
      </c>
      <c r="E383" s="1" t="n">
        <v>46253</v>
      </c>
      <c r="F383" t="inlineStr">
        <is>
          <t>ÖSTERGÖTLANDS LÄN</t>
        </is>
      </c>
      <c r="G383" t="inlineStr">
        <is>
          <t>NORRKÖPING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45922</v>
      </c>
      <c r="E384" s="1" t="n">
        <v>46253</v>
      </c>
      <c r="F384" t="inlineStr">
        <is>
          <t>ÖSTERGÖTLANDS LÄN</t>
        </is>
      </c>
      <c r="G384" t="inlineStr">
        <is>
          <t>NORRKÖPING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44980</v>
      </c>
      <c r="E385" s="1" t="n">
        <v>46253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46253</v>
      </c>
      <c r="F386" t="inlineStr">
        <is>
          <t>ÖSTERGÖTLANDS LÄN</t>
        </is>
      </c>
      <c r="G386" t="inlineStr">
        <is>
          <t>NORRKÖPING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46253</v>
      </c>
      <c r="F387" t="inlineStr">
        <is>
          <t>ÖSTERGÖTLANDS LÄN</t>
        </is>
      </c>
      <c r="G387" t="inlineStr">
        <is>
          <t>NORRKÖPING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46253</v>
      </c>
      <c r="F388" t="inlineStr">
        <is>
          <t>ÖSTERGÖTLANDS LÄN</t>
        </is>
      </c>
      <c r="G388" t="inlineStr">
        <is>
          <t>NORRKÖPING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46253</v>
      </c>
      <c r="F389" t="inlineStr">
        <is>
          <t>ÖSTERGÖTLANDS LÄN</t>
        </is>
      </c>
      <c r="G389" t="inlineStr">
        <is>
          <t>NORRKÖPING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45678</v>
      </c>
      <c r="E390" s="1" t="n">
        <v>46253</v>
      </c>
      <c r="F390" t="inlineStr">
        <is>
          <t>ÖSTERGÖTLANDS LÄN</t>
        </is>
      </c>
      <c r="G390" t="inlineStr">
        <is>
          <t>NORRKÖPING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46253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13253-2026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46253</v>
      </c>
      <c r="F392" t="inlineStr">
        <is>
          <t>ÖSTERGÖTLANDS LÄN</t>
        </is>
      </c>
      <c r="G392" t="inlineStr">
        <is>
          <t>NORRKÖPING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46253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46253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46253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46253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46253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23783-2022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44721</v>
      </c>
      <c r="E398" s="1" t="n">
        <v>46253</v>
      </c>
      <c r="F398" t="inlineStr">
        <is>
          <t>ÖSTERGÖTLANDS LÄN</t>
        </is>
      </c>
      <c r="G398" t="inlineStr">
        <is>
          <t>NORRKÖPING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45114</v>
      </c>
      <c r="E399" s="1" t="n">
        <v>46253</v>
      </c>
      <c r="F399" t="inlineStr">
        <is>
          <t>ÖSTERGÖTLANDS LÄN</t>
        </is>
      </c>
      <c r="G399" t="inlineStr">
        <is>
          <t>NORRKÖPING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46253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46253</v>
      </c>
      <c r="F401" t="inlineStr">
        <is>
          <t>ÖSTERGÖTLANDS LÄN</t>
        </is>
      </c>
      <c r="G401" t="inlineStr">
        <is>
          <t>NORRKÖPING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45930</v>
      </c>
      <c r="E402" s="1" t="n">
        <v>46253</v>
      </c>
      <c r="F402" t="inlineStr">
        <is>
          <t>ÖSTERGÖTLANDS LÄN</t>
        </is>
      </c>
      <c r="G402" t="inlineStr">
        <is>
          <t>NORRKÖPING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46253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45098</v>
      </c>
      <c r="E404" s="1" t="n">
        <v>46253</v>
      </c>
      <c r="F404" t="inlineStr">
        <is>
          <t>ÖSTERGÖTLANDS LÄN</t>
        </is>
      </c>
      <c r="G404" t="inlineStr">
        <is>
          <t>NORRKÖPING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44805</v>
      </c>
      <c r="E405" s="1" t="n">
        <v>46253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46253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45117</v>
      </c>
      <c r="E407" s="1" t="n">
        <v>46253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46610-2024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46253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46253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14645-2026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46101</v>
      </c>
      <c r="E410" s="1" t="n">
        <v>46253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49818-2024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46253</v>
      </c>
      <c r="F411" t="inlineStr">
        <is>
          <t>ÖSTERGÖTLANDS LÄN</t>
        </is>
      </c>
      <c r="G411" t="inlineStr">
        <is>
          <t>NORRKÖPING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46253</v>
      </c>
      <c r="F412" t="inlineStr">
        <is>
          <t>ÖSTERGÖTLANDS LÄN</t>
        </is>
      </c>
      <c r="G412" t="inlineStr">
        <is>
          <t>NORRKÖPING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46253</v>
      </c>
      <c r="F413" t="inlineStr">
        <is>
          <t>ÖSTERGÖTLANDS LÄN</t>
        </is>
      </c>
      <c r="G413" t="inlineStr">
        <is>
          <t>NORRKÖPING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22470-2022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46253</v>
      </c>
      <c r="F414" t="inlineStr">
        <is>
          <t>ÖSTERGÖTLANDS LÄN</t>
        </is>
      </c>
      <c r="G414" t="inlineStr">
        <is>
          <t>NORRKÖPING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46253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45747</v>
      </c>
      <c r="E416" s="1" t="n">
        <v>46253</v>
      </c>
      <c r="F416" t="inlineStr">
        <is>
          <t>ÖSTERGÖTLANDS LÄN</t>
        </is>
      </c>
      <c r="G416" t="inlineStr">
        <is>
          <t>NORRKÖPING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46253</v>
      </c>
      <c r="F417" t="inlineStr">
        <is>
          <t>ÖSTERGÖTLANDS LÄN</t>
        </is>
      </c>
      <c r="G417" t="inlineStr">
        <is>
          <t>NORRKÖPING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16696-2023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45030</v>
      </c>
      <c r="E418" s="1" t="n">
        <v>46253</v>
      </c>
      <c r="F418" t="inlineStr">
        <is>
          <t>ÖSTERGÖTLANDS LÄN</t>
        </is>
      </c>
      <c r="G418" t="inlineStr">
        <is>
          <t>NORRKÖPING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46253</v>
      </c>
      <c r="F419" t="inlineStr">
        <is>
          <t>ÖSTERGÖTLANDS LÄN</t>
        </is>
      </c>
      <c r="G419" t="inlineStr">
        <is>
          <t>NORRKÖPING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44853</v>
      </c>
      <c r="E420" s="1" t="n">
        <v>46253</v>
      </c>
      <c r="F420" t="inlineStr">
        <is>
          <t>ÖSTERGÖTLANDS LÄN</t>
        </is>
      </c>
      <c r="G420" t="inlineStr">
        <is>
          <t>NORRKÖPING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46253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48500-2025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45936</v>
      </c>
      <c r="E422" s="1" t="n">
        <v>46253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44999</v>
      </c>
      <c r="E423" s="1" t="n">
        <v>46253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46253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46253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45736</v>
      </c>
      <c r="E426" s="1" t="n">
        <v>46253</v>
      </c>
      <c r="F426" t="inlineStr">
        <is>
          <t>ÖSTERGÖTLANDS LÄN</t>
        </is>
      </c>
      <c r="G426" t="inlineStr">
        <is>
          <t>NORRKÖPING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45873</v>
      </c>
      <c r="E427" s="1" t="n">
        <v>46253</v>
      </c>
      <c r="F427" t="inlineStr">
        <is>
          <t>ÖSTERGÖTLANDS LÄN</t>
        </is>
      </c>
      <c r="G427" t="inlineStr">
        <is>
          <t>NORRKÖPING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44826</v>
      </c>
      <c r="E428" s="1" t="n">
        <v>46253</v>
      </c>
      <c r="F428" t="inlineStr">
        <is>
          <t>ÖSTERGÖTLANDS LÄN</t>
        </is>
      </c>
      <c r="G428" t="inlineStr">
        <is>
          <t>NORRKÖPING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21664-2024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45442</v>
      </c>
      <c r="E429" s="1" t="n">
        <v>46253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16083-2026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46253</v>
      </c>
      <c r="F430" t="inlineStr">
        <is>
          <t>ÖSTERGÖTLANDS LÄN</t>
        </is>
      </c>
      <c r="G430" t="inlineStr">
        <is>
          <t>NORRKÖPING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45442</v>
      </c>
      <c r="E431" s="1" t="n">
        <v>46253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46253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46253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46253</v>
      </c>
      <c r="F434" t="inlineStr">
        <is>
          <t>ÖSTERGÖTLANDS LÄN</t>
        </is>
      </c>
      <c r="G434" t="inlineStr">
        <is>
          <t>NORRKÖPING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46253</v>
      </c>
      <c r="F435" t="inlineStr">
        <is>
          <t>ÖSTERGÖTLANDS LÄN</t>
        </is>
      </c>
      <c r="G435" t="inlineStr">
        <is>
          <t>NORRKÖPING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45943</v>
      </c>
      <c r="E436" s="1" t="n">
        <v>46253</v>
      </c>
      <c r="F436" t="inlineStr">
        <is>
          <t>ÖSTERGÖTLANDS LÄN</t>
        </is>
      </c>
      <c r="G436" t="inlineStr">
        <is>
          <t>NORRKÖPING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46253</v>
      </c>
      <c r="F437" t="inlineStr">
        <is>
          <t>ÖSTERGÖTLANDS LÄN</t>
        </is>
      </c>
      <c r="G437" t="inlineStr">
        <is>
          <t>NORRKÖPING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46253</v>
      </c>
      <c r="F438" t="inlineStr">
        <is>
          <t>ÖSTERGÖTLANDS LÄN</t>
        </is>
      </c>
      <c r="G438" t="inlineStr">
        <is>
          <t>NORRKÖPING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9532-2025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45715</v>
      </c>
      <c r="E439" s="1" t="n">
        <v>46253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46253</v>
      </c>
      <c r="F440" t="inlineStr">
        <is>
          <t>ÖSTERGÖTLANDS LÄN</t>
        </is>
      </c>
      <c r="G440" t="inlineStr">
        <is>
          <t>NORRKÖPING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46253</v>
      </c>
      <c r="F441" t="inlineStr">
        <is>
          <t>ÖSTERGÖTLANDS LÄN</t>
        </is>
      </c>
      <c r="G441" t="inlineStr">
        <is>
          <t>NORRKÖPING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44575</v>
      </c>
      <c r="E442" s="1" t="n">
        <v>46253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44957</v>
      </c>
      <c r="E443" s="1" t="n">
        <v>46253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46253</v>
      </c>
      <c r="F444" t="inlineStr">
        <is>
          <t>ÖSTERGÖTLANDS LÄN</t>
        </is>
      </c>
      <c r="G444" t="inlineStr">
        <is>
          <t>NORRKÖPING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46253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46253</v>
      </c>
      <c r="F446" t="inlineStr">
        <is>
          <t>ÖSTERGÖTLANDS LÄN</t>
        </is>
      </c>
      <c r="G446" t="inlineStr">
        <is>
          <t>NORRKÖPING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46253</v>
      </c>
      <c r="F447" t="inlineStr">
        <is>
          <t>ÖSTERGÖTLANDS LÄN</t>
        </is>
      </c>
      <c r="G447" t="inlineStr">
        <is>
          <t>NORRKÖPING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46253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63349-2023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45274</v>
      </c>
      <c r="E449" s="1" t="n">
        <v>46253</v>
      </c>
      <c r="F449" t="inlineStr">
        <is>
          <t>ÖSTERGÖTLANDS LÄN</t>
        </is>
      </c>
      <c r="G449" t="inlineStr">
        <is>
          <t>NORRKÖPING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45254</v>
      </c>
      <c r="E450" s="1" t="n">
        <v>46253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45077</v>
      </c>
      <c r="E451" s="1" t="n">
        <v>46253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31801-2024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45509</v>
      </c>
      <c r="E452" s="1" t="n">
        <v>46253</v>
      </c>
      <c r="F452" t="inlineStr">
        <is>
          <t>ÖSTERGÖTLANDS LÄN</t>
        </is>
      </c>
      <c r="G452" t="inlineStr">
        <is>
          <t>NORRKÖPING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45043</v>
      </c>
      <c r="E453" s="1" t="n">
        <v>46253</v>
      </c>
      <c r="F453" t="inlineStr">
        <is>
          <t>ÖSTERGÖTLANDS LÄN</t>
        </is>
      </c>
      <c r="G453" t="inlineStr">
        <is>
          <t>NORRKÖPING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45183</v>
      </c>
      <c r="E454" s="1" t="n">
        <v>46253</v>
      </c>
      <c r="F454" t="inlineStr">
        <is>
          <t>ÖSTERGÖTLANDS LÄN</t>
        </is>
      </c>
      <c r="G454" t="inlineStr">
        <is>
          <t>NORRKÖPING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46253</v>
      </c>
      <c r="F455" t="inlineStr">
        <is>
          <t>ÖSTERGÖTLANDS LÄN</t>
        </is>
      </c>
      <c r="G455" t="inlineStr">
        <is>
          <t>NORRKÖPING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46253</v>
      </c>
      <c r="F456" t="inlineStr">
        <is>
          <t>ÖSTERGÖTLANDS LÄN</t>
        </is>
      </c>
      <c r="G456" t="inlineStr">
        <is>
          <t>NORRKÖPING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46253</v>
      </c>
      <c r="F457" t="inlineStr">
        <is>
          <t>ÖSTERGÖTLANDS LÄN</t>
        </is>
      </c>
      <c r="G457" t="inlineStr">
        <is>
          <t>NORRKÖPING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45049</v>
      </c>
      <c r="E458" s="1" t="n">
        <v>46253</v>
      </c>
      <c r="F458" t="inlineStr">
        <is>
          <t>ÖSTERGÖTLANDS LÄN</t>
        </is>
      </c>
      <c r="G458" t="inlineStr">
        <is>
          <t>NORRKÖPING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2021-2023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44939</v>
      </c>
      <c r="E459" s="1" t="n">
        <v>46253</v>
      </c>
      <c r="F459" t="inlineStr">
        <is>
          <t>ÖSTERGÖTLANDS LÄN</t>
        </is>
      </c>
      <c r="G459" t="inlineStr">
        <is>
          <t>NORRKÖPING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45012</v>
      </c>
      <c r="E460" s="1" t="n">
        <v>46253</v>
      </c>
      <c r="F460" t="inlineStr">
        <is>
          <t>ÖSTERGÖTLANDS LÄN</t>
        </is>
      </c>
      <c r="G460" t="inlineStr">
        <is>
          <t>NORRKÖPING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46253</v>
      </c>
      <c r="F461" t="inlineStr">
        <is>
          <t>ÖSTERGÖTLANDS LÄN</t>
        </is>
      </c>
      <c r="G461" t="inlineStr">
        <is>
          <t>NORRKÖPING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53694-2025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45960</v>
      </c>
      <c r="E462" s="1" t="n">
        <v>46253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53702-2025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45960</v>
      </c>
      <c r="E463" s="1" t="n">
        <v>46253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46253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Kyrkan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45769</v>
      </c>
      <c r="E465" s="1" t="n">
        <v>46253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46253</v>
      </c>
      <c r="F466" t="inlineStr">
        <is>
          <t>ÖSTERGÖTLANDS LÄN</t>
        </is>
      </c>
      <c r="G466" t="inlineStr">
        <is>
          <t>NORRKÖPING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45769</v>
      </c>
      <c r="E467" s="1" t="n">
        <v>46253</v>
      </c>
      <c r="F467" t="inlineStr">
        <is>
          <t>ÖSTERGÖTLANDS LÄN</t>
        </is>
      </c>
      <c r="G467" t="inlineStr">
        <is>
          <t>NORRKÖPING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49452-2021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44454</v>
      </c>
      <c r="E468" s="1" t="n">
        <v>46253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45961</v>
      </c>
      <c r="E469" s="1" t="n">
        <v>46253</v>
      </c>
      <c r="F469" t="inlineStr">
        <is>
          <t>ÖSTERGÖTLANDS LÄN</t>
        </is>
      </c>
      <c r="G469" t="inlineStr">
        <is>
          <t>NORRKÖPING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46253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49060-2022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44860</v>
      </c>
      <c r="E471" s="1" t="n">
        <v>46253</v>
      </c>
      <c r="F471" t="inlineStr">
        <is>
          <t>ÖSTERGÖTLANDS LÄN</t>
        </is>
      </c>
      <c r="G471" t="inlineStr">
        <is>
          <t>NORRKÖPING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45741</v>
      </c>
      <c r="E472" s="1" t="n">
        <v>46253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Allmännings- och besparingsskogar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45836</v>
      </c>
      <c r="E473" s="1" t="n">
        <v>46253</v>
      </c>
      <c r="F473" t="inlineStr">
        <is>
          <t>ÖSTERGÖTLANDS LÄN</t>
        </is>
      </c>
      <c r="G473" t="inlineStr">
        <is>
          <t>NORRKÖPING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45362-2021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44439</v>
      </c>
      <c r="E474" s="1" t="n">
        <v>46253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Allmännings- och besparingsskogar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45884</v>
      </c>
      <c r="E475" s="1" t="n">
        <v>46253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45889</v>
      </c>
      <c r="E476" s="1" t="n">
        <v>46253</v>
      </c>
      <c r="F476" t="inlineStr">
        <is>
          <t>ÖSTERGÖTLANDS LÄN</t>
        </is>
      </c>
      <c r="G476" t="inlineStr">
        <is>
          <t>NORRKÖPING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46253</v>
      </c>
      <c r="F477" t="inlineStr">
        <is>
          <t>ÖSTERGÖTLANDS LÄN</t>
        </is>
      </c>
      <c r="G477" t="inlineStr">
        <is>
          <t>NORRKÖPING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57413-2022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44896</v>
      </c>
      <c r="E478" s="1" t="n">
        <v>46253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20001-2026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46135</v>
      </c>
      <c r="E479" s="1" t="n">
        <v>46253</v>
      </c>
      <c r="F479" t="inlineStr">
        <is>
          <t>ÖSTERGÖTLANDS LÄN</t>
        </is>
      </c>
      <c r="G479" t="inlineStr">
        <is>
          <t>NORRKÖPING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46135</v>
      </c>
      <c r="E480" s="1" t="n">
        <v>46253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45657</v>
      </c>
      <c r="E481" s="1" t="n">
        <v>46253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46253</v>
      </c>
      <c r="F482" t="inlineStr">
        <is>
          <t>ÖSTERGÖTLANDS LÄN</t>
        </is>
      </c>
      <c r="G482" t="inlineStr">
        <is>
          <t>NORRKÖPING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44900</v>
      </c>
      <c r="E483" s="1" t="n">
        <v>46253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46253</v>
      </c>
      <c r="F484" t="inlineStr">
        <is>
          <t>ÖSTERGÖTLANDS LÄN</t>
        </is>
      </c>
      <c r="G484" t="inlineStr">
        <is>
          <t>NORRKÖPING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54851-2025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46253</v>
      </c>
      <c r="F485" t="inlineStr">
        <is>
          <t>ÖSTERGÖTLANDS LÄN</t>
        </is>
      </c>
      <c r="G485" t="inlineStr">
        <is>
          <t>NORRKÖPING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57733-2022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46253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44928</v>
      </c>
      <c r="E487" s="1" t="n">
        <v>46253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39861-2025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45891</v>
      </c>
      <c r="E488" s="1" t="n">
        <v>46253</v>
      </c>
      <c r="F488" t="inlineStr">
        <is>
          <t>ÖSTERGÖTLANDS LÄN</t>
        </is>
      </c>
      <c r="G488" t="inlineStr">
        <is>
          <t>NORRKÖPING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45891</v>
      </c>
      <c r="E489" s="1" t="n">
        <v>46253</v>
      </c>
      <c r="F489" t="inlineStr">
        <is>
          <t>ÖSTERGÖTLANDS LÄN</t>
        </is>
      </c>
      <c r="G489" t="inlineStr">
        <is>
          <t>NORRKÖPING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44923</v>
      </c>
      <c r="E490" s="1" t="n">
        <v>46253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45520</v>
      </c>
      <c r="E491" s="1" t="n">
        <v>46253</v>
      </c>
      <c r="F491" t="inlineStr">
        <is>
          <t>ÖSTERGÖTLANDS LÄN</t>
        </is>
      </c>
      <c r="G491" t="inlineStr">
        <is>
          <t>NORRKÖPING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59586-2022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44907</v>
      </c>
      <c r="E492" s="1" t="n">
        <v>46253</v>
      </c>
      <c r="F492" t="inlineStr">
        <is>
          <t>ÖSTERGÖTLANDS LÄN</t>
        </is>
      </c>
      <c r="G492" t="inlineStr">
        <is>
          <t>NORRKÖPING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44588</v>
      </c>
      <c r="E493" s="1" t="n">
        <v>46253</v>
      </c>
      <c r="F493" t="inlineStr">
        <is>
          <t>ÖSTERGÖTLANDS LÄN</t>
        </is>
      </c>
      <c r="G493" t="inlineStr">
        <is>
          <t>NORRKÖPING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46139</v>
      </c>
      <c r="E494" s="1" t="n">
        <v>46253</v>
      </c>
      <c r="F494" t="inlineStr">
        <is>
          <t>ÖSTERGÖTLANDS LÄN</t>
        </is>
      </c>
      <c r="G494" t="inlineStr">
        <is>
          <t>NORRKÖPING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38719-2025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45886</v>
      </c>
      <c r="E495" s="1" t="n">
        <v>46253</v>
      </c>
      <c r="F495" t="inlineStr">
        <is>
          <t>ÖSTERGÖTLANDS LÄN</t>
        </is>
      </c>
      <c r="G495" t="inlineStr">
        <is>
          <t>NORRKÖPING</t>
        </is>
      </c>
      <c r="I495" t="n">
        <v>14.3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45436</v>
      </c>
      <c r="E496" s="1" t="n">
        <v>46253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45975</v>
      </c>
      <c r="E497" s="1" t="n">
        <v>46253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45976</v>
      </c>
      <c r="E498" s="1" t="n">
        <v>46253</v>
      </c>
      <c r="F498" t="inlineStr">
        <is>
          <t>ÖSTERGÖTLANDS LÄN</t>
        </is>
      </c>
      <c r="G498" t="inlineStr">
        <is>
          <t>NORRKÖPING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45178</v>
      </c>
      <c r="E499" s="1" t="n">
        <v>46253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32630-2022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44783</v>
      </c>
      <c r="E500" s="1" t="n">
        <v>46253</v>
      </c>
      <c r="F500" t="inlineStr">
        <is>
          <t>ÖSTERGÖTLANDS LÄN</t>
        </is>
      </c>
      <c r="G500" t="inlineStr">
        <is>
          <t>NORRKÖPING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45716</v>
      </c>
      <c r="E501" s="1" t="n">
        <v>46253</v>
      </c>
      <c r="F501" t="inlineStr">
        <is>
          <t>ÖSTERGÖTLANDS LÄN</t>
        </is>
      </c>
      <c r="G501" t="inlineStr">
        <is>
          <t>NORRKÖPING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45796</v>
      </c>
      <c r="E502" s="1" t="n">
        <v>46253</v>
      </c>
      <c r="F502" t="inlineStr">
        <is>
          <t>ÖSTERGÖTLANDS LÄN</t>
        </is>
      </c>
      <c r="G502" t="inlineStr">
        <is>
          <t>NORRKÖPING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46253</v>
      </c>
      <c r="F503" t="inlineStr">
        <is>
          <t>ÖSTERGÖTLANDS LÄN</t>
        </is>
      </c>
      <c r="G503" t="inlineStr">
        <is>
          <t>NORRKÖPING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46253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45379</v>
      </c>
      <c r="E505" s="1" t="n">
        <v>46253</v>
      </c>
      <c r="F505" t="inlineStr">
        <is>
          <t>ÖSTERGÖTLANDS LÄN</t>
        </is>
      </c>
      <c r="G505" t="inlineStr">
        <is>
          <t>NORRKÖPING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45796</v>
      </c>
      <c r="E506" s="1" t="n">
        <v>46253</v>
      </c>
      <c r="F506" t="inlineStr">
        <is>
          <t>ÖSTERGÖTLANDS LÄN</t>
        </is>
      </c>
      <c r="G506" t="inlineStr">
        <is>
          <t>NORRKÖPING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56210-2023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45240</v>
      </c>
      <c r="E507" s="1" t="n">
        <v>46253</v>
      </c>
      <c r="F507" t="inlineStr">
        <is>
          <t>ÖSTERGÖTLANDS LÄN</t>
        </is>
      </c>
      <c r="G507" t="inlineStr">
        <is>
          <t>NORRKÖPING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46253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46253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46253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37876-2025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46253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45883</v>
      </c>
      <c r="E512" s="1" t="n">
        <v>46253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38463-2025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45883</v>
      </c>
      <c r="E513" s="1" t="n">
        <v>46253</v>
      </c>
      <c r="F513" t="inlineStr">
        <is>
          <t>ÖSTERGÖTLANDS LÄN</t>
        </is>
      </c>
      <c r="G513" t="inlineStr">
        <is>
          <t>NORRKÖPING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45339</v>
      </c>
      <c r="E514" s="1" t="n">
        <v>46253</v>
      </c>
      <c r="F514" t="inlineStr">
        <is>
          <t>ÖSTERGÖTLANDS LÄN</t>
        </is>
      </c>
      <c r="G514" t="inlineStr">
        <is>
          <t>NORRKÖPING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45362-2021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44439</v>
      </c>
      <c r="E515" s="1" t="n">
        <v>46253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Allmännings- och besparingsskogar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16590-2024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45408</v>
      </c>
      <c r="E516" s="1" t="n">
        <v>46253</v>
      </c>
      <c r="F516" t="inlineStr">
        <is>
          <t>ÖSTERGÖTLANDS LÄN</t>
        </is>
      </c>
      <c r="G516" t="inlineStr">
        <is>
          <t>NORRKÖPING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45254</v>
      </c>
      <c r="E517" s="1" t="n">
        <v>46253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BillerudKorsnäs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46253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45883</v>
      </c>
      <c r="E519" s="1" t="n">
        <v>46253</v>
      </c>
      <c r="F519" t="inlineStr">
        <is>
          <t>ÖSTERGÖTLANDS LÄN</t>
        </is>
      </c>
      <c r="G519" t="inlineStr">
        <is>
          <t>NORRKÖPING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46139</v>
      </c>
      <c r="E520" s="1" t="n">
        <v>46253</v>
      </c>
      <c r="F520" t="inlineStr">
        <is>
          <t>ÖSTERGÖTLANDS LÄN</t>
        </is>
      </c>
      <c r="G520" t="inlineStr">
        <is>
          <t>NORRKÖPING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45867</v>
      </c>
      <c r="E521" s="1" t="n">
        <v>46253</v>
      </c>
      <c r="F521" t="inlineStr">
        <is>
          <t>ÖSTERGÖTLANDS LÄN</t>
        </is>
      </c>
      <c r="G521" t="inlineStr">
        <is>
          <t>NORRKÖPING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7709-2022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44607</v>
      </c>
      <c r="E522" s="1" t="n">
        <v>46253</v>
      </c>
      <c r="F522" t="inlineStr">
        <is>
          <t>ÖSTERGÖTLANDS LÄN</t>
        </is>
      </c>
      <c r="G522" t="inlineStr">
        <is>
          <t>NORRKÖPING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44950</v>
      </c>
      <c r="E523" s="1" t="n">
        <v>46253</v>
      </c>
      <c r="F523" t="inlineStr">
        <is>
          <t>ÖSTERGÖTLANDS LÄN</t>
        </is>
      </c>
      <c r="G523" t="inlineStr">
        <is>
          <t>NORRKÖPING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46253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45006</v>
      </c>
      <c r="E525" s="1" t="n">
        <v>46253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46253</v>
      </c>
      <c r="F526" t="inlineStr">
        <is>
          <t>ÖSTERGÖTLANDS LÄN</t>
        </is>
      </c>
      <c r="G526" t="inlineStr">
        <is>
          <t>NORRKÖPING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46253</v>
      </c>
      <c r="F527" t="inlineStr">
        <is>
          <t>ÖSTERGÖTLANDS LÄN</t>
        </is>
      </c>
      <c r="G527" t="inlineStr">
        <is>
          <t>NORRKÖPING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46253</v>
      </c>
      <c r="F528" t="inlineStr">
        <is>
          <t>ÖSTERGÖTLANDS LÄN</t>
        </is>
      </c>
      <c r="G528" t="inlineStr">
        <is>
          <t>NORRKÖPING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46253</v>
      </c>
      <c r="F529" t="inlineStr">
        <is>
          <t>ÖSTERGÖTLANDS LÄN</t>
        </is>
      </c>
      <c r="G529" t="inlineStr">
        <is>
          <t>NORRKÖPING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46253</v>
      </c>
      <c r="F530" t="inlineStr">
        <is>
          <t>ÖSTERGÖTLANDS LÄN</t>
        </is>
      </c>
      <c r="G530" t="inlineStr">
        <is>
          <t>NORRKÖPING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46253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46253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46253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46253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46253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45478</v>
      </c>
      <c r="E536" s="1" t="n">
        <v>46253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45370</v>
      </c>
      <c r="E537" s="1" t="n">
        <v>46253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44957</v>
      </c>
      <c r="E538" s="1" t="n">
        <v>46253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46007</v>
      </c>
      <c r="E539" s="1" t="n">
        <v>46253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46007</v>
      </c>
      <c r="E540" s="1" t="n">
        <v>46253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59768-2021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44494</v>
      </c>
      <c r="E541" s="1" t="n">
        <v>46253</v>
      </c>
      <c r="F541" t="inlineStr">
        <is>
          <t>ÖSTERGÖTLANDS LÄN</t>
        </is>
      </c>
      <c r="G541" t="inlineStr">
        <is>
          <t>NORRKÖPING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46253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45771</v>
      </c>
      <c r="E543" s="1" t="n">
        <v>46253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46253</v>
      </c>
      <c r="F544" t="inlineStr">
        <is>
          <t>ÖSTERGÖTLANDS LÄN</t>
        </is>
      </c>
      <c r="G544" t="inlineStr">
        <is>
          <t>NORRKÖPING</t>
        </is>
      </c>
      <c r="I544" t="n">
        <v>7.2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46253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46253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63165-2025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46010</v>
      </c>
      <c r="E547" s="1" t="n">
        <v>46253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46010</v>
      </c>
      <c r="E548" s="1" t="n">
        <v>46253</v>
      </c>
      <c r="F548" t="inlineStr">
        <is>
          <t>ÖSTERGÖTLANDS LÄN</t>
        </is>
      </c>
      <c r="G548" t="inlineStr">
        <is>
          <t>NORRKÖPING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46010</v>
      </c>
      <c r="E549" s="1" t="n">
        <v>46253</v>
      </c>
      <c r="F549" t="inlineStr">
        <is>
          <t>ÖSTERGÖTLANDS LÄN</t>
        </is>
      </c>
      <c r="G549" t="inlineStr">
        <is>
          <t>NORRKÖPING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45637</v>
      </c>
      <c r="E550" s="1" t="n">
        <v>46253</v>
      </c>
      <c r="F550" t="inlineStr">
        <is>
          <t>ÖSTERGÖTLANDS LÄN</t>
        </is>
      </c>
      <c r="G550" t="inlineStr">
        <is>
          <t>NORRKÖPING</t>
        </is>
      </c>
      <c r="I550" t="n">
        <v>24.7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46253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46253</v>
      </c>
      <c r="F552" t="inlineStr">
        <is>
          <t>ÖSTERGÖTLANDS LÄN</t>
        </is>
      </c>
      <c r="G552" t="inlineStr">
        <is>
          <t>NORRKÖPING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33171-2023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46253</v>
      </c>
      <c r="F553" t="inlineStr">
        <is>
          <t>ÖSTERGÖTLANDS LÄN</t>
        </is>
      </c>
      <c r="G553" t="inlineStr">
        <is>
          <t>NORRKÖPING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45141</v>
      </c>
      <c r="E554" s="1" t="n">
        <v>46253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Allmännings- och besparingsskogar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45145</v>
      </c>
      <c r="E555" s="1" t="n">
        <v>46253</v>
      </c>
      <c r="F555" t="inlineStr">
        <is>
          <t>ÖSTERGÖTLANDS LÄN</t>
        </is>
      </c>
      <c r="G555" t="inlineStr">
        <is>
          <t>NORRKÖPING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46253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45403</v>
      </c>
      <c r="E557" s="1" t="n">
        <v>46253</v>
      </c>
      <c r="F557" t="inlineStr">
        <is>
          <t>ÖSTERGÖTLANDS LÄN</t>
        </is>
      </c>
      <c r="G557" t="inlineStr">
        <is>
          <t>NORRKÖPING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63944-2025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46010</v>
      </c>
      <c r="E558" s="1" t="n">
        <v>46253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11.6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44935</v>
      </c>
      <c r="E559" s="1" t="n">
        <v>46253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46253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45114</v>
      </c>
      <c r="E561" s="1" t="n">
        <v>46253</v>
      </c>
      <c r="F561" t="inlineStr">
        <is>
          <t>ÖSTERGÖTLANDS LÄN</t>
        </is>
      </c>
      <c r="G561" t="inlineStr">
        <is>
          <t>NORRKÖPING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46253</v>
      </c>
      <c r="F562" t="inlineStr">
        <is>
          <t>ÖSTERGÖTLANDS LÄN</t>
        </is>
      </c>
      <c r="G562" t="inlineStr">
        <is>
          <t>NORRKÖPING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46253</v>
      </c>
      <c r="F563" t="inlineStr">
        <is>
          <t>ÖSTERGÖTLANDS LÄN</t>
        </is>
      </c>
      <c r="G563" t="inlineStr">
        <is>
          <t>NORRKÖPING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46253</v>
      </c>
      <c r="F564" t="inlineStr">
        <is>
          <t>ÖSTERGÖTLANDS LÄN</t>
        </is>
      </c>
      <c r="G564" t="inlineStr">
        <is>
          <t>NORRKÖPING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38441-2024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46253</v>
      </c>
      <c r="F565" t="inlineStr">
        <is>
          <t>ÖSTERGÖTLANDS LÄN</t>
        </is>
      </c>
      <c r="G565" t="inlineStr">
        <is>
          <t>NORRKÖPING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45356</v>
      </c>
      <c r="E566" s="1" t="n">
        <v>46253</v>
      </c>
      <c r="F566" t="inlineStr">
        <is>
          <t>ÖSTERGÖTLANDS LÄN</t>
        </is>
      </c>
      <c r="G566" t="inlineStr">
        <is>
          <t>NORRKÖPING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46253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Allmännings- och besparingsskogar</t>
        </is>
      </c>
      <c r="I567" t="n">
        <v>12.4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46253</v>
      </c>
      <c r="F568" t="inlineStr">
        <is>
          <t>ÖSTERGÖTLANDS LÄN</t>
        </is>
      </c>
      <c r="G568" t="inlineStr">
        <is>
          <t>NORRKÖPING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46038</v>
      </c>
      <c r="E569" s="1" t="n">
        <v>46253</v>
      </c>
      <c r="F569" t="inlineStr">
        <is>
          <t>ÖSTERGÖTLANDS LÄN</t>
        </is>
      </c>
      <c r="G569" t="inlineStr">
        <is>
          <t>NORRKÖPING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46253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45033</v>
      </c>
      <c r="E571" s="1" t="n">
        <v>46253</v>
      </c>
      <c r="F571" t="inlineStr">
        <is>
          <t>ÖSTERGÖTLANDS LÄN</t>
        </is>
      </c>
      <c r="G571" t="inlineStr">
        <is>
          <t>NORRKÖPING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70378-2021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44536</v>
      </c>
      <c r="E572" s="1" t="n">
        <v>46253</v>
      </c>
      <c r="F572" t="inlineStr">
        <is>
          <t>ÖSTERGÖTLANDS LÄN</t>
        </is>
      </c>
      <c r="G572" t="inlineStr">
        <is>
          <t>NORRKÖPING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44596</v>
      </c>
      <c r="E573" s="1" t="n">
        <v>46253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Allmännings- och besparingsskogar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46253</v>
      </c>
      <c r="F574" t="inlineStr">
        <is>
          <t>ÖSTERGÖTLANDS LÄN</t>
        </is>
      </c>
      <c r="G574" t="inlineStr">
        <is>
          <t>NORRKÖPING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10791-2024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45369</v>
      </c>
      <c r="E575" s="1" t="n">
        <v>46253</v>
      </c>
      <c r="F575" t="inlineStr">
        <is>
          <t>ÖSTERGÖTLANDS LÄN</t>
        </is>
      </c>
      <c r="G575" t="inlineStr">
        <is>
          <t>NORRKÖPING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46253</v>
      </c>
      <c r="F576" t="inlineStr">
        <is>
          <t>ÖSTERGÖTLANDS LÄN</t>
        </is>
      </c>
      <c r="G576" t="inlineStr">
        <is>
          <t>NORRKÖPING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39232-2024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45550</v>
      </c>
      <c r="E577" s="1" t="n">
        <v>46253</v>
      </c>
      <c r="F577" t="inlineStr">
        <is>
          <t>ÖSTERGÖTLANDS LÄN</t>
        </is>
      </c>
      <c r="G577" t="inlineStr">
        <is>
          <t>NORRKÖPING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23625-2026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46253</v>
      </c>
      <c r="F578" t="inlineStr">
        <is>
          <t>ÖSTERGÖTLANDS LÄN</t>
        </is>
      </c>
      <c r="G578" t="inlineStr">
        <is>
          <t>NORRKÖPING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45727</v>
      </c>
      <c r="E579" s="1" t="n">
        <v>46253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Allmännings- och besparingsskogar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46253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46253</v>
      </c>
      <c r="F581" t="inlineStr">
        <is>
          <t>ÖSTERGÖTLANDS LÄN</t>
        </is>
      </c>
      <c r="G581" t="inlineStr">
        <is>
          <t>NORRKÖPING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46253</v>
      </c>
      <c r="F582" t="inlineStr">
        <is>
          <t>ÖSTERGÖTLANDS LÄN</t>
        </is>
      </c>
      <c r="G582" t="inlineStr">
        <is>
          <t>NORRKÖPING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46061</v>
      </c>
      <c r="E583" s="1" t="n">
        <v>46253</v>
      </c>
      <c r="F583" t="inlineStr">
        <is>
          <t>ÖSTERGÖTLANDS LÄN</t>
        </is>
      </c>
      <c r="G583" t="inlineStr">
        <is>
          <t>NORRKÖPING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45043</v>
      </c>
      <c r="E584" s="1" t="n">
        <v>46253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46253</v>
      </c>
      <c r="F585" t="inlineStr">
        <is>
          <t>ÖSTERGÖTLANDS LÄN</t>
        </is>
      </c>
      <c r="G585" t="inlineStr">
        <is>
          <t>NORRKÖPING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43344-2023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45183</v>
      </c>
      <c r="E586" s="1" t="n">
        <v>46253</v>
      </c>
      <c r="F586" t="inlineStr">
        <is>
          <t>ÖSTERGÖTLANDS LÄN</t>
        </is>
      </c>
      <c r="G586" t="inlineStr">
        <is>
          <t>NORRKÖPING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43346-2023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45183</v>
      </c>
      <c r="E587" s="1" t="n">
        <v>46253</v>
      </c>
      <c r="F587" t="inlineStr">
        <is>
          <t>ÖSTERGÖTLANDS LÄN</t>
        </is>
      </c>
      <c r="G587" t="inlineStr">
        <is>
          <t>NORRKÖPING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2287-2025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45673</v>
      </c>
      <c r="E588" s="1" t="n">
        <v>46253</v>
      </c>
      <c r="F588" t="inlineStr">
        <is>
          <t>ÖSTERGÖTLANDS LÄN</t>
        </is>
      </c>
      <c r="G588" t="inlineStr">
        <is>
          <t>NORRKÖPING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45053</v>
      </c>
      <c r="E589" s="1" t="n">
        <v>46253</v>
      </c>
      <c r="F589" t="inlineStr">
        <is>
          <t>ÖSTERGÖTLANDS LÄN</t>
        </is>
      </c>
      <c r="G589" t="inlineStr">
        <is>
          <t>NORRKÖPING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50678-2023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45217</v>
      </c>
      <c r="E590" s="1" t="n">
        <v>46253</v>
      </c>
      <c r="F590" t="inlineStr">
        <is>
          <t>ÖSTERGÖTLANDS LÄN</t>
        </is>
      </c>
      <c r="G590" t="inlineStr">
        <is>
          <t>NORRKÖPING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58901-2024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45636</v>
      </c>
      <c r="E591" s="1" t="n">
        <v>46253</v>
      </c>
      <c r="F591" t="inlineStr">
        <is>
          <t>ÖSTERGÖTLANDS LÄN</t>
        </is>
      </c>
      <c r="G591" t="inlineStr">
        <is>
          <t>NORRKÖPING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46253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45889</v>
      </c>
      <c r="E593" s="1" t="n">
        <v>46253</v>
      </c>
      <c r="F593" t="inlineStr">
        <is>
          <t>ÖSTERGÖTLANDS LÄN</t>
        </is>
      </c>
      <c r="G593" t="inlineStr">
        <is>
          <t>NORRKÖPING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45121</v>
      </c>
      <c r="E594" s="1" t="n">
        <v>46253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46213</v>
      </c>
      <c r="E595" s="1" t="n">
        <v>46253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46213</v>
      </c>
      <c r="E596" s="1" t="n">
        <v>46253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46213</v>
      </c>
      <c r="E597" s="1" t="n">
        <v>46253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46216</v>
      </c>
      <c r="E598" s="1" t="n">
        <v>46253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45205</v>
      </c>
      <c r="E599" s="1" t="n">
        <v>46253</v>
      </c>
      <c r="F599" t="inlineStr">
        <is>
          <t>ÖSTERGÖTLANDS LÄN</t>
        </is>
      </c>
      <c r="G599" t="inlineStr">
        <is>
          <t>NORRKÖPING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45205</v>
      </c>
      <c r="E600" s="1" t="n">
        <v>46253</v>
      </c>
      <c r="F600" t="inlineStr">
        <is>
          <t>ÖSTERGÖTLANDS LÄN</t>
        </is>
      </c>
      <c r="G600" t="inlineStr">
        <is>
          <t>NORRKÖPING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46217</v>
      </c>
      <c r="E601" s="1" t="n">
        <v>46253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46218</v>
      </c>
      <c r="E602" s="1" t="n">
        <v>46253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17503-2022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44679</v>
      </c>
      <c r="E603" s="1" t="n">
        <v>46253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46218</v>
      </c>
      <c r="E604" s="1" t="n">
        <v>46253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45761</v>
      </c>
      <c r="E605" s="1" t="n">
        <v>46253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11344-2022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44630</v>
      </c>
      <c r="E606" s="1" t="n">
        <v>46253</v>
      </c>
      <c r="F606" t="inlineStr">
        <is>
          <t>ÖSTERGÖTLANDS LÄN</t>
        </is>
      </c>
      <c r="G606" t="inlineStr">
        <is>
          <t>NORRKÖPING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49462-2023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46253</v>
      </c>
      <c r="F607" t="inlineStr">
        <is>
          <t>ÖSTERGÖTLANDS LÄN</t>
        </is>
      </c>
      <c r="G607" t="inlineStr">
        <is>
          <t>NORRKÖPING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46217</v>
      </c>
      <c r="E608" s="1" t="n">
        <v>46253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44651</v>
      </c>
      <c r="E609" s="1" t="n">
        <v>46253</v>
      </c>
      <c r="F609" t="inlineStr">
        <is>
          <t>ÖSTERGÖTLANDS LÄN</t>
        </is>
      </c>
      <c r="G609" t="inlineStr">
        <is>
          <t>NORRKÖPING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46253</v>
      </c>
      <c r="F610" t="inlineStr">
        <is>
          <t>ÖSTERGÖTLANDS LÄN</t>
        </is>
      </c>
      <c r="G610" t="inlineStr">
        <is>
          <t>NORRKÖPING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31373-2026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46213</v>
      </c>
      <c r="E611" s="1" t="n">
        <v>46253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Allmännings- och besparingsskogar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45446</v>
      </c>
      <c r="E612" s="1" t="n">
        <v>46253</v>
      </c>
      <c r="F612" t="inlineStr">
        <is>
          <t>ÖSTERGÖTLANDS LÄN</t>
        </is>
      </c>
      <c r="G612" t="inlineStr">
        <is>
          <t>NORRKÖPING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45446</v>
      </c>
      <c r="E613" s="1" t="n">
        <v>46253</v>
      </c>
      <c r="F613" t="inlineStr">
        <is>
          <t>ÖSTERGÖTLANDS LÄN</t>
        </is>
      </c>
      <c r="G613" t="inlineStr">
        <is>
          <t>NORRKÖPING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25687-2026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46178</v>
      </c>
      <c r="E614" s="1" t="n">
        <v>46253</v>
      </c>
      <c r="F614" t="inlineStr">
        <is>
          <t>ÖSTERGÖTLANDS LÄN</t>
        </is>
      </c>
      <c r="G614" t="inlineStr">
        <is>
          <t>NORRKÖPING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25693-2026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46253</v>
      </c>
      <c r="F615" t="inlineStr">
        <is>
          <t>ÖSTERGÖTLANDS LÄN</t>
        </is>
      </c>
      <c r="G615" t="inlineStr">
        <is>
          <t>NORRKÖPING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46253</v>
      </c>
      <c r="F616" t="inlineStr">
        <is>
          <t>ÖSTERGÖTLANDS LÄN</t>
        </is>
      </c>
      <c r="G616" t="inlineStr">
        <is>
          <t>NORRKÖPING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46253</v>
      </c>
      <c r="F617" t="inlineStr">
        <is>
          <t>ÖSTERGÖTLANDS LÄN</t>
        </is>
      </c>
      <c r="G617" t="inlineStr">
        <is>
          <t>NORRKÖPING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46253</v>
      </c>
      <c r="F618" t="inlineStr">
        <is>
          <t>ÖSTERGÖTLANDS LÄN</t>
        </is>
      </c>
      <c r="G618" t="inlineStr">
        <is>
          <t>NORRKÖPING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59544-2023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46253</v>
      </c>
      <c r="F619" t="inlineStr">
        <is>
          <t>ÖSTERGÖTLANDS LÄN</t>
        </is>
      </c>
      <c r="G619" t="inlineStr">
        <is>
          <t>NORRKÖPING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50092-2023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45215</v>
      </c>
      <c r="E620" s="1" t="n">
        <v>46253</v>
      </c>
      <c r="F620" t="inlineStr">
        <is>
          <t>ÖSTERGÖTLANDS LÄN</t>
        </is>
      </c>
      <c r="G620" t="inlineStr">
        <is>
          <t>NORRKÖPING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46253</v>
      </c>
      <c r="F621" t="inlineStr">
        <is>
          <t>ÖSTERGÖTLANDS LÄN</t>
        </is>
      </c>
      <c r="G621" t="inlineStr">
        <is>
          <t>NORRKÖPING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46253</v>
      </c>
      <c r="F622" t="inlineStr">
        <is>
          <t>ÖSTERGÖTLANDS LÄN</t>
        </is>
      </c>
      <c r="G622" t="inlineStr">
        <is>
          <t>NORRKÖPING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46253</v>
      </c>
      <c r="F623" t="inlineStr">
        <is>
          <t>ÖSTERGÖTLANDS LÄN</t>
        </is>
      </c>
      <c r="G623" t="inlineStr">
        <is>
          <t>NORRKÖPING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46253</v>
      </c>
      <c r="F624" t="inlineStr">
        <is>
          <t>ÖSTERGÖTLANDS LÄN</t>
        </is>
      </c>
      <c r="G624" t="inlineStr">
        <is>
          <t>NORRKÖPING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44197-2023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46253</v>
      </c>
      <c r="F625" t="inlineStr">
        <is>
          <t>ÖSTERGÖTLANDS LÄN</t>
        </is>
      </c>
      <c r="G625" t="inlineStr">
        <is>
          <t>NORRKÖPING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9542-2025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45715</v>
      </c>
      <c r="E626" s="1" t="n">
        <v>46253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26360-2026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46253</v>
      </c>
      <c r="F627" t="inlineStr">
        <is>
          <t>ÖSTERGÖTLANDS LÄN</t>
        </is>
      </c>
      <c r="G627" t="inlineStr">
        <is>
          <t>NORRKÖPING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26349-2026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46182</v>
      </c>
      <c r="E628" s="1" t="n">
        <v>46253</v>
      </c>
      <c r="F628" t="inlineStr">
        <is>
          <t>ÖSTERGÖTLANDS LÄN</t>
        </is>
      </c>
      <c r="G628" t="inlineStr">
        <is>
          <t>NORRKÖPING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11140-2025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45723</v>
      </c>
      <c r="E629" s="1" t="n">
        <v>46253</v>
      </c>
      <c r="F629" t="inlineStr">
        <is>
          <t>ÖSTERGÖTLANDS LÄN</t>
        </is>
      </c>
      <c r="G629" t="inlineStr">
        <is>
          <t>NORRKÖPING</t>
        </is>
      </c>
      <c r="I629" t="n">
        <v>13.9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45699</v>
      </c>
      <c r="E630" s="1" t="n">
        <v>46253</v>
      </c>
      <c r="F630" t="inlineStr">
        <is>
          <t>ÖSTERGÖTLANDS LÄN</t>
        </is>
      </c>
      <c r="G630" t="inlineStr">
        <is>
          <t>NORRKÖPING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46253</v>
      </c>
      <c r="F631" t="inlineStr">
        <is>
          <t>ÖSTERGÖTLANDS LÄN</t>
        </is>
      </c>
      <c r="G631" t="inlineStr">
        <is>
          <t>NORRKÖPING</t>
        </is>
      </c>
      <c r="I631" t="n">
        <v>6.8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31661-2026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46253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46253</v>
      </c>
      <c r="F633" t="inlineStr">
        <is>
          <t>ÖSTERGÖTLANDS LÄN</t>
        </is>
      </c>
      <c r="G633" t="inlineStr">
        <is>
          <t>NORRKÖPING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26999-2026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46253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47846-2023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45204</v>
      </c>
      <c r="E635" s="1" t="n">
        <v>46253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Naturvårdsverket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26294-2024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45468</v>
      </c>
      <c r="E636" s="1" t="n">
        <v>46253</v>
      </c>
      <c r="F636" t="inlineStr">
        <is>
          <t>ÖSTERGÖTLANDS LÄN</t>
        </is>
      </c>
      <c r="G636" t="inlineStr">
        <is>
          <t>NORRKÖPING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46253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15459-2024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45401</v>
      </c>
      <c r="E638" s="1" t="n">
        <v>46253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63417-2023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46253</v>
      </c>
      <c r="F639" t="inlineStr">
        <is>
          <t>ÖSTERGÖTLANDS LÄN</t>
        </is>
      </c>
      <c r="G639" t="inlineStr">
        <is>
          <t>NORRKÖPING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46231</v>
      </c>
      <c r="E640" s="1" t="n">
        <v>46253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58936-2023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45252</v>
      </c>
      <c r="E641" s="1" t="n">
        <v>46253</v>
      </c>
      <c r="F641" t="inlineStr">
        <is>
          <t>ÖSTERGÖTLANDS LÄN</t>
        </is>
      </c>
      <c r="G641" t="inlineStr">
        <is>
          <t>NORRKÖPING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45075-2023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45191</v>
      </c>
      <c r="E642" s="1" t="n">
        <v>46253</v>
      </c>
      <c r="F642" t="inlineStr">
        <is>
          <t>ÖSTERGÖTLANDS LÄN</t>
        </is>
      </c>
      <c r="G642" t="inlineStr">
        <is>
          <t>NORRKÖPING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45758</v>
      </c>
      <c r="E643" s="1" t="n">
        <v>46253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45254</v>
      </c>
      <c r="E644" s="1" t="n">
        <v>46253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46253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57492-2023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45246</v>
      </c>
      <c r="E646" s="1" t="n">
        <v>46253</v>
      </c>
      <c r="F646" t="inlineStr">
        <is>
          <t>ÖSTERGÖTLANDS LÄN</t>
        </is>
      </c>
      <c r="G646" t="inlineStr">
        <is>
          <t>NORRKÖPING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57496-2023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45246</v>
      </c>
      <c r="E647" s="1" t="n">
        <v>46253</v>
      </c>
      <c r="F647" t="inlineStr">
        <is>
          <t>ÖSTERGÖTLANDS LÄN</t>
        </is>
      </c>
      <c r="G647" t="inlineStr">
        <is>
          <t>NORRKÖPING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46253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49882-2021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44455</v>
      </c>
      <c r="E649" s="1" t="n">
        <v>46253</v>
      </c>
      <c r="F649" t="inlineStr">
        <is>
          <t>ÖSTERGÖTLANDS LÄN</t>
        </is>
      </c>
      <c r="G649" t="inlineStr">
        <is>
          <t>NORRKÖPING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44956</v>
      </c>
      <c r="E650" s="1" t="n">
        <v>46253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4546-2023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44956</v>
      </c>
      <c r="E651" s="1" t="n">
        <v>46253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46253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59077-2023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45252</v>
      </c>
      <c r="E653" s="1" t="n">
        <v>46253</v>
      </c>
      <c r="F653" t="inlineStr">
        <is>
          <t>ÖSTERGÖTLANDS LÄN</t>
        </is>
      </c>
      <c r="G653" t="inlineStr">
        <is>
          <t>NORRKÖPING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62875-2023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45272</v>
      </c>
      <c r="E654" s="1" t="n">
        <v>46253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46253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46253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46253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46253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46253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46253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46253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46253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46253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15082-2024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45399</v>
      </c>
      <c r="E664" s="1" t="n">
        <v>46253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45317</v>
      </c>
      <c r="E665" s="1" t="n">
        <v>46253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26085-2026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46253</v>
      </c>
      <c r="F666" t="inlineStr">
        <is>
          <t>ÖSTERGÖTLANDS LÄN</t>
        </is>
      </c>
      <c r="G666" t="inlineStr">
        <is>
          <t>NORRKÖPING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44862</v>
      </c>
      <c r="E667" s="1" t="n">
        <v>46253</v>
      </c>
      <c r="F667" t="inlineStr">
        <is>
          <t>ÖSTERGÖTLANDS LÄN</t>
        </is>
      </c>
      <c r="G667" t="inlineStr">
        <is>
          <t>NORRKÖPING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9696-2025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46253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62033-2023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45266</v>
      </c>
      <c r="E669" s="1" t="n">
        <v>46253</v>
      </c>
      <c r="F669" t="inlineStr">
        <is>
          <t>ÖSTERGÖTLANDS LÄN</t>
        </is>
      </c>
      <c r="G669" t="inlineStr">
        <is>
          <t>NORRKÖPING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48786-2022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44859</v>
      </c>
      <c r="E670" s="1" t="n">
        <v>46253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53899-2021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44469</v>
      </c>
      <c r="E671" s="1" t="n">
        <v>46253</v>
      </c>
      <c r="F671" t="inlineStr">
        <is>
          <t>ÖSTERGÖTLANDS LÄN</t>
        </is>
      </c>
      <c r="G671" t="inlineStr">
        <is>
          <t>NORRKÖPING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5118-2024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45330</v>
      </c>
      <c r="E672" s="1" t="n">
        <v>46253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62061-2023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45266</v>
      </c>
      <c r="E673" s="1" t="n">
        <v>46253</v>
      </c>
      <c r="F673" t="inlineStr">
        <is>
          <t>ÖSTERGÖTLANDS LÄN</t>
        </is>
      </c>
      <c r="G673" t="inlineStr">
        <is>
          <t>NORRKÖPING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46738-2022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44851</v>
      </c>
      <c r="E674" s="1" t="n">
        <v>46253</v>
      </c>
      <c r="F674" t="inlineStr">
        <is>
          <t>ÖSTERGÖTLANDS LÄN</t>
        </is>
      </c>
      <c r="G674" t="inlineStr">
        <is>
          <t>NORRKÖPING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24018-2025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46253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8.6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46196</v>
      </c>
      <c r="E676" s="1" t="n">
        <v>46253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46253</v>
      </c>
      <c r="F677" t="inlineStr">
        <is>
          <t>ÖSTERGÖTLANDS LÄN</t>
        </is>
      </c>
      <c r="G677" t="inlineStr">
        <is>
          <t>NORRKÖPING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18537-2025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45763</v>
      </c>
      <c r="E678" s="1" t="n">
        <v>46253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29285-2026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46253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7.9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46253</v>
      </c>
      <c r="F680" t="inlineStr">
        <is>
          <t>ÖSTERGÖTLANDS LÄN</t>
        </is>
      </c>
      <c r="G680" t="inlineStr">
        <is>
          <t>NORRKÖPING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28258-2026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46253</v>
      </c>
      <c r="F681" t="inlineStr">
        <is>
          <t>ÖSTERGÖTLANDS LÄN</t>
        </is>
      </c>
      <c r="G681" t="inlineStr">
        <is>
          <t>NORRKÖPING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18686-2023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45043</v>
      </c>
      <c r="E682" s="1" t="n">
        <v>46253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28271-2026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46253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28259-2026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46196</v>
      </c>
      <c r="E684" s="1" t="n">
        <v>46253</v>
      </c>
      <c r="F684" t="inlineStr">
        <is>
          <t>ÖSTERGÖTLANDS LÄN</t>
        </is>
      </c>
      <c r="G684" t="inlineStr">
        <is>
          <t>NORRKÖPING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30834-2022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44767</v>
      </c>
      <c r="E685" s="1" t="n">
        <v>46253</v>
      </c>
      <c r="F685" t="inlineStr">
        <is>
          <t>ÖSTERGÖTLANDS LÄN</t>
        </is>
      </c>
      <c r="G685" t="inlineStr">
        <is>
          <t>NORRKÖPING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33013-2026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46253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62529-2023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45268</v>
      </c>
      <c r="E687" s="1" t="n">
        <v>46253</v>
      </c>
      <c r="F687" t="inlineStr">
        <is>
          <t>ÖSTERGÖTLANDS LÄN</t>
        </is>
      </c>
      <c r="G687" t="inlineStr">
        <is>
          <t>NORRKÖPING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44599</v>
      </c>
      <c r="E688" s="1" t="n">
        <v>46253</v>
      </c>
      <c r="F688" t="inlineStr">
        <is>
          <t>ÖSTERGÖTLANDS LÄN</t>
        </is>
      </c>
      <c r="G688" t="inlineStr">
        <is>
          <t>NORRKÖPING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28835-2026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46253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46253</v>
      </c>
      <c r="F690" t="inlineStr">
        <is>
          <t>ÖSTERGÖTLANDS LÄN</t>
        </is>
      </c>
      <c r="G690" t="inlineStr">
        <is>
          <t>NORRKÖPING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46253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5976-2022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44597</v>
      </c>
      <c r="E692" s="1" t="n">
        <v>46253</v>
      </c>
      <c r="F692" t="inlineStr">
        <is>
          <t>ÖSTERGÖTLANDS LÄN</t>
        </is>
      </c>
      <c r="G692" t="inlineStr">
        <is>
          <t>NORRKÖPING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46253</v>
      </c>
      <c r="F693" t="inlineStr">
        <is>
          <t>ÖSTERGÖTLANDS LÄN</t>
        </is>
      </c>
      <c r="G693" t="inlineStr">
        <is>
          <t>NORRKÖPING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46253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32814-2026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46241</v>
      </c>
      <c r="E695" s="1" t="n">
        <v>46253</v>
      </c>
      <c r="F695" t="inlineStr">
        <is>
          <t>ÖSTERGÖTLANDS LÄN</t>
        </is>
      </c>
      <c r="G695" t="inlineStr">
        <is>
          <t>NORRKÖPING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32880-2026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46244</v>
      </c>
      <c r="E696" s="1" t="n">
        <v>46253</v>
      </c>
      <c r="F696" t="inlineStr">
        <is>
          <t>ÖSTERGÖTLANDS LÄN</t>
        </is>
      </c>
      <c r="G696" t="inlineStr">
        <is>
          <t>NORRKÖPING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28902-2026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46253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32813-2026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46241</v>
      </c>
      <c r="E698" s="1" t="n">
        <v>46253</v>
      </c>
      <c r="F698" t="inlineStr">
        <is>
          <t>ÖSTERGÖTLANDS LÄN</t>
        </is>
      </c>
      <c r="G698" t="inlineStr">
        <is>
          <t>NORRKÖPING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45678</v>
      </c>
      <c r="E699" s="1" t="n">
        <v>46253</v>
      </c>
      <c r="F699" t="inlineStr">
        <is>
          <t>ÖSTERGÖTLANDS LÄN</t>
        </is>
      </c>
      <c r="G699" t="inlineStr">
        <is>
          <t>NORRKÖPING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44754</v>
      </c>
      <c r="E700" s="1" t="n">
        <v>46253</v>
      </c>
      <c r="F700" t="inlineStr">
        <is>
          <t>ÖSTERGÖTLANDS LÄN</t>
        </is>
      </c>
      <c r="G700" t="inlineStr">
        <is>
          <t>NORRKÖPING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44739</v>
      </c>
      <c r="E701" s="1" t="n">
        <v>46253</v>
      </c>
      <c r="F701" t="inlineStr">
        <is>
          <t>ÖSTERGÖTLANDS LÄN</t>
        </is>
      </c>
      <c r="G701" t="inlineStr">
        <is>
          <t>NORRKÖPING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44970</v>
      </c>
      <c r="E702" s="1" t="n">
        <v>46253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29030-2026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46253</v>
      </c>
      <c r="F703" t="inlineStr">
        <is>
          <t>ÖSTERGÖTLANDS LÄN</t>
        </is>
      </c>
      <c r="G703" t="inlineStr">
        <is>
          <t>NORRKÖPING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32885-2026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46244</v>
      </c>
      <c r="E704" s="1" t="n">
        <v>46253</v>
      </c>
      <c r="F704" t="inlineStr">
        <is>
          <t>ÖSTERGÖTLANDS LÄN</t>
        </is>
      </c>
      <c r="G704" t="inlineStr">
        <is>
          <t>NORRKÖPING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32926-2026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46244</v>
      </c>
      <c r="E705" s="1" t="n">
        <v>46253</v>
      </c>
      <c r="F705" t="inlineStr">
        <is>
          <t>ÖSTERGÖTLANDS LÄN</t>
        </is>
      </c>
      <c r="G705" t="inlineStr">
        <is>
          <t>NORRKÖPING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32967-2026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46244</v>
      </c>
      <c r="E706" s="1" t="n">
        <v>46253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50119-2023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45215</v>
      </c>
      <c r="E707" s="1" t="n">
        <v>46253</v>
      </c>
      <c r="F707" t="inlineStr">
        <is>
          <t>ÖSTERGÖTLANDS LÄN</t>
        </is>
      </c>
      <c r="G707" t="inlineStr">
        <is>
          <t>NORRKÖPING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31834-2023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46253</v>
      </c>
      <c r="F708" t="inlineStr">
        <is>
          <t>ÖSTERGÖTLANDS LÄN</t>
        </is>
      </c>
      <c r="G708" t="inlineStr">
        <is>
          <t>NORRKÖPING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12727-2022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44641</v>
      </c>
      <c r="E709" s="1" t="n">
        <v>46253</v>
      </c>
      <c r="F709" t="inlineStr">
        <is>
          <t>ÖSTERGÖTLANDS LÄN</t>
        </is>
      </c>
      <c r="G709" t="inlineStr">
        <is>
          <t>NORRKÖPING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19853-2023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45053</v>
      </c>
      <c r="E710" s="1" t="n">
        <v>46253</v>
      </c>
      <c r="F710" t="inlineStr">
        <is>
          <t>ÖSTERGÖTLANDS LÄN</t>
        </is>
      </c>
      <c r="G710" t="inlineStr">
        <is>
          <t>NORRKÖPING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29180-2026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46253</v>
      </c>
      <c r="F711" t="inlineStr">
        <is>
          <t>ÖSTERGÖTLANDS LÄN</t>
        </is>
      </c>
      <c r="G711" t="inlineStr">
        <is>
          <t>NORRKÖPING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46245</v>
      </c>
      <c r="E712" s="1" t="n">
        <v>46253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18636-2023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46253</v>
      </c>
      <c r="F713" t="inlineStr">
        <is>
          <t>ÖSTERGÖTLANDS LÄN</t>
        </is>
      </c>
      <c r="G713" t="inlineStr">
        <is>
          <t>NORRKÖPING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46253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33124-2026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46245</v>
      </c>
      <c r="E715" s="1" t="n">
        <v>46253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29416-2026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46203</v>
      </c>
      <c r="E716" s="1" t="n">
        <v>46253</v>
      </c>
      <c r="F716" t="inlineStr">
        <is>
          <t>ÖSTERGÖTLANDS LÄN</t>
        </is>
      </c>
      <c r="G716" t="inlineStr">
        <is>
          <t>NORRKÖPING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12814-2025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46253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50960-2022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44867</v>
      </c>
      <c r="E719" s="1" t="n">
        <v>46253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10.3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18661-2023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45043</v>
      </c>
      <c r="E720" s="1" t="n">
        <v>46253</v>
      </c>
      <c r="F720" t="inlineStr">
        <is>
          <t>ÖSTERGÖTLANDS LÄN</t>
        </is>
      </c>
      <c r="G720" t="inlineStr">
        <is>
          <t>NORRKÖPING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49487-2022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44861</v>
      </c>
      <c r="E721" s="1" t="n">
        <v>46253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45008</v>
      </c>
      <c r="E722" s="1" t="n">
        <v>46253</v>
      </c>
      <c r="F722" t="inlineStr">
        <is>
          <t>ÖSTERGÖTLANDS LÄN</t>
        </is>
      </c>
      <c r="G722" t="inlineStr">
        <is>
          <t>NORRKÖPING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32623-2026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46253</v>
      </c>
      <c r="F723" t="inlineStr">
        <is>
          <t>ÖSTERGÖTLANDS LÄN</t>
        </is>
      </c>
      <c r="G723" t="inlineStr">
        <is>
          <t>NORRKÖPING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1277-2023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44936</v>
      </c>
      <c r="E724" s="1" t="n">
        <v>46253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44936</v>
      </c>
      <c r="E725" s="1" t="n">
        <v>46253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16700-2023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45030</v>
      </c>
      <c r="E726" s="1" t="n">
        <v>46253</v>
      </c>
      <c r="F726" t="inlineStr">
        <is>
          <t>ÖSTERGÖTLANDS LÄN</t>
        </is>
      </c>
      <c r="G726" t="inlineStr">
        <is>
          <t>NORRKÖPING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41367-2023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46253</v>
      </c>
      <c r="F727" t="inlineStr">
        <is>
          <t>ÖSTERGÖTLANDS LÄN</t>
        </is>
      </c>
      <c r="G727" t="inlineStr">
        <is>
          <t>NORRKÖPING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41375-2023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46253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46253</v>
      </c>
      <c r="F729" t="inlineStr">
        <is>
          <t>ÖSTERGÖTLANDS LÄN</t>
        </is>
      </c>
      <c r="G729" t="inlineStr">
        <is>
          <t>NORRKÖPING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11261-2023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44992</v>
      </c>
      <c r="E730" s="1" t="n">
        <v>46253</v>
      </c>
      <c r="F730" t="inlineStr">
        <is>
          <t>ÖSTERGÖTLANDS LÄN</t>
        </is>
      </c>
      <c r="G730" t="inlineStr">
        <is>
          <t>NORRKÖPING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24634-2025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45798</v>
      </c>
      <c r="E731" s="1" t="n">
        <v>46253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14901-2023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45014</v>
      </c>
      <c r="E732" s="1" t="n">
        <v>46253</v>
      </c>
      <c r="F732" t="inlineStr">
        <is>
          <t>ÖSTERGÖTLANDS LÄN</t>
        </is>
      </c>
      <c r="G732" t="inlineStr">
        <is>
          <t>NORRKÖPING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46050</v>
      </c>
      <c r="E733" s="1" t="n">
        <v>46253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Allmännings- och besparingsskogar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57495-2023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45246</v>
      </c>
      <c r="E734" s="1" t="n">
        <v>46253</v>
      </c>
      <c r="F734" t="inlineStr">
        <is>
          <t>ÖSTERGÖTLANDS LÄN</t>
        </is>
      </c>
      <c r="G734" t="inlineStr">
        <is>
          <t>NORRKÖPING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30164-2026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46253</v>
      </c>
      <c r="F735" t="inlineStr">
        <is>
          <t>ÖSTERGÖTLANDS LÄN</t>
        </is>
      </c>
      <c r="G735" t="inlineStr">
        <is>
          <t>NORRKÖPING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45022</v>
      </c>
      <c r="E736" s="1" t="n">
        <v>46253</v>
      </c>
      <c r="F736" t="inlineStr">
        <is>
          <t>ÖSTERGÖTLANDS LÄN</t>
        </is>
      </c>
      <c r="G736" t="inlineStr">
        <is>
          <t>NORRKÖPING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25981-2023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45090</v>
      </c>
      <c r="E737" s="1" t="n">
        <v>46253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32574-2022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44783</v>
      </c>
      <c r="E738" s="1" t="n">
        <v>46253</v>
      </c>
      <c r="F738" t="inlineStr">
        <is>
          <t>ÖSTERGÖTLANDS LÄN</t>
        </is>
      </c>
      <c r="G738" t="inlineStr">
        <is>
          <t>NORRKÖPING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8815-2024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45356</v>
      </c>
      <c r="E739" s="1" t="n">
        <v>46253</v>
      </c>
      <c r="F739" t="inlineStr">
        <is>
          <t>ÖSTERGÖTLANDS LÄN</t>
        </is>
      </c>
      <c r="G739" t="inlineStr">
        <is>
          <t>NORRKÖPING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18664-2023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45043</v>
      </c>
      <c r="E740" s="1" t="n">
        <v>46253</v>
      </c>
      <c r="F740" t="inlineStr">
        <is>
          <t>ÖSTERGÖTLANDS LÄN</t>
        </is>
      </c>
      <c r="G740" t="inlineStr">
        <is>
          <t>NORRKÖPING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45699</v>
      </c>
      <c r="E741" s="1" t="n">
        <v>46253</v>
      </c>
      <c r="F741" t="inlineStr">
        <is>
          <t>ÖSTERGÖTLANDS LÄN</t>
        </is>
      </c>
      <c r="G741" t="inlineStr">
        <is>
          <t>NORRKÖPING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45435</v>
      </c>
      <c r="E742" s="1" t="n">
        <v>46253</v>
      </c>
      <c r="F742" t="inlineStr">
        <is>
          <t>ÖSTERGÖTLANDS LÄN</t>
        </is>
      </c>
      <c r="G742" t="inlineStr">
        <is>
          <t>NORRKÖPING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38874-2024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46253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45678</v>
      </c>
      <c r="E744" s="1" t="n">
        <v>46253</v>
      </c>
      <c r="F744" t="inlineStr">
        <is>
          <t>ÖSTERGÖTLANDS LÄN</t>
        </is>
      </c>
      <c r="G744" t="inlineStr">
        <is>
          <t>NORRKÖPING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25287-2023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45086</v>
      </c>
      <c r="E745" s="1" t="n">
        <v>46253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58884-2024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45636</v>
      </c>
      <c r="E746" s="1" t="n">
        <v>46253</v>
      </c>
      <c r="F746" t="inlineStr">
        <is>
          <t>ÖSTERGÖTLANDS LÄN</t>
        </is>
      </c>
      <c r="G746" t="inlineStr">
        <is>
          <t>NORRKÖPING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22651-2023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45071</v>
      </c>
      <c r="E747" s="1" t="n">
        <v>46253</v>
      </c>
      <c r="F747" t="inlineStr">
        <is>
          <t>ÖSTERGÖTLANDS LÄN</t>
        </is>
      </c>
      <c r="G747" t="inlineStr">
        <is>
          <t>NORRKÖPING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29010-2023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45096</v>
      </c>
      <c r="E748" s="1" t="n">
        <v>46253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Allmännings- och besparingsskogar</t>
        </is>
      </c>
      <c r="I748" t="n">
        <v>12.3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46696-2024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45583</v>
      </c>
      <c r="E749" s="1" t="n">
        <v>46253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36542-2023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45153</v>
      </c>
      <c r="E750" s="1" t="n">
        <v>46253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31668-2023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45117</v>
      </c>
      <c r="E751" s="1" t="n">
        <v>46253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45757</v>
      </c>
      <c r="E752" s="1" t="n">
        <v>46253</v>
      </c>
      <c r="F752" t="inlineStr">
        <is>
          <t>ÖSTERGÖTLANDS LÄN</t>
        </is>
      </c>
      <c r="G752" t="inlineStr">
        <is>
          <t>NORRKÖPING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45093</v>
      </c>
      <c r="E753" s="1" t="n">
        <v>46253</v>
      </c>
      <c r="F753" t="inlineStr">
        <is>
          <t>ÖSTERGÖTLANDS LÄN</t>
        </is>
      </c>
      <c r="G753" t="inlineStr">
        <is>
          <t>NORRKÖPING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9206-2023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44980</v>
      </c>
      <c r="E754" s="1" t="n">
        <v>46253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6636-2023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44966</v>
      </c>
      <c r="E755" s="1" t="n">
        <v>46253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45030</v>
      </c>
      <c r="E756" s="1" t="n">
        <v>46253</v>
      </c>
      <c r="F756" t="inlineStr">
        <is>
          <t>ÖSTERGÖTLANDS LÄN</t>
        </is>
      </c>
      <c r="G756" t="inlineStr">
        <is>
          <t>NORRKÖPING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28601-2024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45478</v>
      </c>
      <c r="E757" s="1" t="n">
        <v>46253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8517-2023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44977</v>
      </c>
      <c r="E758" s="1" t="n">
        <v>46253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43559-2021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44433</v>
      </c>
      <c r="E759" s="1" t="n">
        <v>46253</v>
      </c>
      <c r="F759" t="inlineStr">
        <is>
          <t>ÖSTERGÖTLANDS LÄN</t>
        </is>
      </c>
      <c r="G759" t="inlineStr">
        <is>
          <t>NORRKÖPING</t>
        </is>
      </c>
      <c r="I759" t="n">
        <v>11.1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13173-2022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44644</v>
      </c>
      <c r="E760" s="1" t="n">
        <v>46253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Allmännings- och besparingsskogar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45012</v>
      </c>
      <c r="E761" s="1" t="n">
        <v>46253</v>
      </c>
      <c r="F761" t="inlineStr">
        <is>
          <t>ÖSTERGÖTLANDS LÄN</t>
        </is>
      </c>
      <c r="G761" t="inlineStr">
        <is>
          <t>NORRKÖPING</t>
        </is>
      </c>
      <c r="I761" t="n">
        <v>9.9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23462-2023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45076</v>
      </c>
      <c r="E762" s="1" t="n">
        <v>46253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7750-2025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45706</v>
      </c>
      <c r="E763" s="1" t="n">
        <v>46253</v>
      </c>
      <c r="F763" t="inlineStr">
        <is>
          <t>ÖSTERGÖTLANDS LÄN</t>
        </is>
      </c>
      <c r="G763" t="inlineStr">
        <is>
          <t>NORRKÖPING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19114-2023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45048</v>
      </c>
      <c r="E764" s="1" t="n">
        <v>46253</v>
      </c>
      <c r="F764" t="inlineStr">
        <is>
          <t>ÖSTERGÖTLANDS LÄN</t>
        </is>
      </c>
      <c r="G764" t="inlineStr">
        <is>
          <t>NORRKÖPING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32617-2023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45121</v>
      </c>
      <c r="E765" s="1" t="n">
        <v>46253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36258-2022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44803</v>
      </c>
      <c r="E766" s="1" t="n">
        <v>46253</v>
      </c>
      <c r="F766" t="inlineStr">
        <is>
          <t>ÖSTERGÖTLANDS LÄN</t>
        </is>
      </c>
      <c r="G766" t="inlineStr">
        <is>
          <t>NORRKÖPING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45769</v>
      </c>
      <c r="E767" s="1" t="n">
        <v>46253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56876-2024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45628</v>
      </c>
      <c r="E768" s="1" t="n">
        <v>46253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20583-2024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45436</v>
      </c>
      <c r="E769" s="1" t="n">
        <v>46253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17852-2025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46253</v>
      </c>
      <c r="F770" t="inlineStr">
        <is>
          <t>ÖSTERGÖTLANDS LÄN</t>
        </is>
      </c>
      <c r="G770" t="inlineStr">
        <is>
          <t>NORRKÖPING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26407-2023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45092</v>
      </c>
      <c r="E771" s="1" t="n">
        <v>46253</v>
      </c>
      <c r="F771" t="inlineStr">
        <is>
          <t>ÖSTERGÖTLANDS LÄN</t>
        </is>
      </c>
      <c r="G771" t="inlineStr">
        <is>
          <t>NORRKÖPING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36412-2024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45535</v>
      </c>
      <c r="E772" s="1" t="n">
        <v>46253</v>
      </c>
      <c r="F772" t="inlineStr">
        <is>
          <t>ÖSTERGÖTLANDS LÄN</t>
        </is>
      </c>
      <c r="G772" t="inlineStr">
        <is>
          <t>NORRKÖPING</t>
        </is>
      </c>
      <c r="I772" t="n">
        <v>12.8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11641-2024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46253</v>
      </c>
      <c r="F773" t="inlineStr">
        <is>
          <t>ÖSTERGÖTLANDS LÄN</t>
        </is>
      </c>
      <c r="G773" t="inlineStr">
        <is>
          <t>NORRKÖPING</t>
        </is>
      </c>
      <c r="I773" t="n">
        <v>8.6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51124-2023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45219</v>
      </c>
      <c r="E774" s="1" t="n">
        <v>46253</v>
      </c>
      <c r="F774" t="inlineStr">
        <is>
          <t>ÖSTERGÖTLANDS LÄN</t>
        </is>
      </c>
      <c r="G774" t="inlineStr">
        <is>
          <t>NORRKÖPING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45330</v>
      </c>
      <c r="E775" s="1" t="n">
        <v>46253</v>
      </c>
      <c r="F775" t="inlineStr">
        <is>
          <t>ÖSTERGÖTLANDS LÄN</t>
        </is>
      </c>
      <c r="G775" t="inlineStr">
        <is>
          <t>NORRKÖPING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13133-2024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46253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11144-2025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45723</v>
      </c>
      <c r="E777" s="1" t="n">
        <v>46253</v>
      </c>
      <c r="F777" t="inlineStr">
        <is>
          <t>ÖSTERGÖTLANDS LÄN</t>
        </is>
      </c>
      <c r="G777" t="inlineStr">
        <is>
          <t>NORRKÖPING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16594-2023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45027</v>
      </c>
      <c r="E778" s="1" t="n">
        <v>46253</v>
      </c>
      <c r="F778" t="inlineStr">
        <is>
          <t>ÖSTERGÖTLANDS LÄN</t>
        </is>
      </c>
      <c r="G778" t="inlineStr">
        <is>
          <t>NORRKÖPING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11737-2024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45373</v>
      </c>
      <c r="E779" s="1" t="n">
        <v>46253</v>
      </c>
      <c r="F779" t="inlineStr">
        <is>
          <t>ÖSTERGÖTLANDS LÄN</t>
        </is>
      </c>
      <c r="G779" t="inlineStr">
        <is>
          <t>NORRKÖPING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45558</v>
      </c>
      <c r="E780" s="1" t="n">
        <v>46253</v>
      </c>
      <c r="F780" t="inlineStr">
        <is>
          <t>ÖSTERGÖTLANDS LÄN</t>
        </is>
      </c>
      <c r="G780" t="inlineStr">
        <is>
          <t>NORRKÖPING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44935</v>
      </c>
      <c r="E781" s="1" t="n">
        <v>46253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28663-2024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45478</v>
      </c>
      <c r="E782" s="1" t="n">
        <v>46253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31883-2023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45118</v>
      </c>
      <c r="E783" s="1" t="n">
        <v>46253</v>
      </c>
      <c r="F783" t="inlineStr">
        <is>
          <t>ÖSTERGÖTLANDS LÄN</t>
        </is>
      </c>
      <c r="G783" t="inlineStr">
        <is>
          <t>NORRKÖPING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9201-2023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44980</v>
      </c>
      <c r="E784" s="1" t="n">
        <v>46253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8569-2023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44977</v>
      </c>
      <c r="E785" s="1" t="n">
        <v>46253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45678</v>
      </c>
      <c r="E786" s="1" t="n">
        <v>46253</v>
      </c>
      <c r="F786" t="inlineStr">
        <is>
          <t>ÖSTERGÖTLANDS LÄN</t>
        </is>
      </c>
      <c r="G786" t="inlineStr">
        <is>
          <t>NORRKÖPING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36571-2023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45153</v>
      </c>
      <c r="E787" s="1" t="n">
        <v>46253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51112-2024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45603</v>
      </c>
      <c r="E788" s="1" t="n">
        <v>46253</v>
      </c>
      <c r="F788" t="inlineStr">
        <is>
          <t>ÖSTERGÖTLANDS LÄN</t>
        </is>
      </c>
      <c r="G788" t="inlineStr">
        <is>
          <t>NORRKÖPING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44936</v>
      </c>
      <c r="E789" s="1" t="n">
        <v>46253</v>
      </c>
      <c r="F789" t="inlineStr">
        <is>
          <t>ÖSTERGÖTLANDS LÄN</t>
        </is>
      </c>
      <c r="G789" t="inlineStr">
        <is>
          <t>NORRKÖPING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14585-2025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45742</v>
      </c>
      <c r="E790" s="1" t="n">
        <v>46253</v>
      </c>
      <c r="F790" t="inlineStr">
        <is>
          <t>ÖSTERGÖTLANDS LÄN</t>
        </is>
      </c>
      <c r="G790" t="inlineStr">
        <is>
          <t>NORRKÖPING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36575-2023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45153</v>
      </c>
      <c r="E791" s="1" t="n">
        <v>46253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59580-2022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44907</v>
      </c>
      <c r="E792" s="1" t="n">
        <v>46253</v>
      </c>
      <c r="F792" t="inlineStr">
        <is>
          <t>ÖSTERGÖTLANDS LÄN</t>
        </is>
      </c>
      <c r="G792" t="inlineStr">
        <is>
          <t>NORRKÖPING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49465-2023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45211</v>
      </c>
      <c r="E793" s="1" t="n">
        <v>46253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44936</v>
      </c>
      <c r="E794" s="1" t="n">
        <v>46253</v>
      </c>
      <c r="F794" t="inlineStr">
        <is>
          <t>ÖSTERGÖTLANDS LÄN</t>
        </is>
      </c>
      <c r="G794" t="inlineStr">
        <is>
          <t>NORRKÖPING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15177-2023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45016</v>
      </c>
      <c r="E795" s="1" t="n">
        <v>46253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33446-2023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45129</v>
      </c>
      <c r="E796" s="1" t="n">
        <v>46253</v>
      </c>
      <c r="F796" t="inlineStr">
        <is>
          <t>ÖSTERGÖTLANDS LÄN</t>
        </is>
      </c>
      <c r="G796" t="inlineStr">
        <is>
          <t>NORRKÖPING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24354-2024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45457</v>
      </c>
      <c r="E797" s="1" t="n">
        <v>46253</v>
      </c>
      <c r="F797" t="inlineStr">
        <is>
          <t>ÖSTERGÖTLANDS LÄN</t>
        </is>
      </c>
      <c r="G797" t="inlineStr">
        <is>
          <t>NORRKÖPING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30865-2024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45497</v>
      </c>
      <c r="E798" s="1" t="n">
        <v>46253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7763-2025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45706</v>
      </c>
      <c r="E799" s="1" t="n">
        <v>46253</v>
      </c>
      <c r="F799" t="inlineStr">
        <is>
          <t>ÖSTERGÖTLANDS LÄN</t>
        </is>
      </c>
      <c r="G799" t="inlineStr">
        <is>
          <t>NORRKÖPING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45310</v>
      </c>
      <c r="E800" s="1" t="n">
        <v>46253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14587-2025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45742</v>
      </c>
      <c r="E801" s="1" t="n">
        <v>46253</v>
      </c>
      <c r="F801" t="inlineStr">
        <is>
          <t>ÖSTERGÖTLANDS LÄN</t>
        </is>
      </c>
      <c r="G801" t="inlineStr">
        <is>
          <t>NORRKÖPING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45758</v>
      </c>
      <c r="E802" s="1" t="n">
        <v>46253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8432-2025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45709</v>
      </c>
      <c r="E803" s="1" t="n">
        <v>46253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57405-2024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45629</v>
      </c>
      <c r="E804" s="1" t="n">
        <v>46253</v>
      </c>
      <c r="F804" t="inlineStr">
        <is>
          <t>ÖSTERGÖTLANDS LÄN</t>
        </is>
      </c>
      <c r="G804" t="inlineStr">
        <is>
          <t>NORRKÖPING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21093-2025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45777</v>
      </c>
      <c r="E805" s="1" t="n">
        <v>46253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21542-2025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45782</v>
      </c>
      <c r="E806" s="1" t="n">
        <v>46253</v>
      </c>
      <c r="F806" t="inlineStr">
        <is>
          <t>ÖSTERGÖTLANDS LÄN</t>
        </is>
      </c>
      <c r="G806" t="inlineStr">
        <is>
          <t>NORRKÖPING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21770-2025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46253</v>
      </c>
      <c r="F807" t="inlineStr">
        <is>
          <t>ÖSTERGÖTLANDS LÄN</t>
        </is>
      </c>
      <c r="G807" t="inlineStr">
        <is>
          <t>NORRKÖPING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21909-2025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45784</v>
      </c>
      <c r="E808" s="1" t="n">
        <v>46253</v>
      </c>
      <c r="F808" t="inlineStr">
        <is>
          <t>ÖSTERGÖTLANDS LÄN</t>
        </is>
      </c>
      <c r="G808" t="inlineStr">
        <is>
          <t>NORRKÖPING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21967-2025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45784</v>
      </c>
      <c r="E809" s="1" t="n">
        <v>46253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45092</v>
      </c>
      <c r="E810" s="1" t="n">
        <v>46253</v>
      </c>
      <c r="F810" t="inlineStr">
        <is>
          <t>ÖSTERGÖTLANDS LÄN</t>
        </is>
      </c>
      <c r="G810" t="inlineStr">
        <is>
          <t>NORRKÖPING</t>
        </is>
      </c>
      <c r="I810" t="n">
        <v>6.8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22307-2025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45786</v>
      </c>
      <c r="E811" s="1" t="n">
        <v>46253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45671</v>
      </c>
      <c r="E812" s="1" t="n">
        <v>46253</v>
      </c>
      <c r="F812" t="inlineStr">
        <is>
          <t>ÖSTERGÖTLANDS LÄN</t>
        </is>
      </c>
      <c r="G812" t="inlineStr">
        <is>
          <t>NORRKÖPING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45453</v>
      </c>
      <c r="E813" s="1" t="n">
        <v>46253</v>
      </c>
      <c r="F813" t="inlineStr">
        <is>
          <t>ÖSTERGÖTLANDS LÄN</t>
        </is>
      </c>
      <c r="G813" t="inlineStr">
        <is>
          <t>NORRKÖPING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45453</v>
      </c>
      <c r="E814" s="1" t="n">
        <v>46253</v>
      </c>
      <c r="F814" t="inlineStr">
        <is>
          <t>ÖSTERGÖTLANDS LÄN</t>
        </is>
      </c>
      <c r="G814" t="inlineStr">
        <is>
          <t>NORRKÖPING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22439-2025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46253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Naturvårdsverket</t>
        </is>
      </c>
      <c r="I815" t="n">
        <v>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44565</v>
      </c>
      <c r="E816" s="1" t="n">
        <v>46253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Allmännings- och besparingsskogar</t>
        </is>
      </c>
      <c r="I816" t="n">
        <v>9.300000000000001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2288-2024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45310</v>
      </c>
      <c r="E817" s="1" t="n">
        <v>46253</v>
      </c>
      <c r="F817" t="inlineStr">
        <is>
          <t>ÖSTERGÖTLANDS LÄN</t>
        </is>
      </c>
      <c r="G817" t="inlineStr">
        <is>
          <t>NORRKÖPING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22881-2025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45790</v>
      </c>
      <c r="E818" s="1" t="n">
        <v>46253</v>
      </c>
      <c r="F818" t="inlineStr">
        <is>
          <t>ÖSTERGÖTLANDS LÄN</t>
        </is>
      </c>
      <c r="G818" t="inlineStr">
        <is>
          <t>NORRKÖPING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3018-2025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45678</v>
      </c>
      <c r="E819" s="1" t="n">
        <v>46253</v>
      </c>
      <c r="F819" t="inlineStr">
        <is>
          <t>ÖSTERGÖTLANDS LÄN</t>
        </is>
      </c>
      <c r="G819" t="inlineStr">
        <is>
          <t>NORRKÖPING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24049-2025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46253</v>
      </c>
      <c r="F820" t="inlineStr">
        <is>
          <t>ÖSTERGÖTLANDS LÄN</t>
        </is>
      </c>
      <c r="G820" t="inlineStr">
        <is>
          <t>NORRKÖPING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23954-2025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45796</v>
      </c>
      <c r="E821" s="1" t="n">
        <v>46253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60800-2023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45259</v>
      </c>
      <c r="E822" s="1" t="n">
        <v>46253</v>
      </c>
      <c r="F822" t="inlineStr">
        <is>
          <t>ÖSTERGÖTLANDS LÄN</t>
        </is>
      </c>
      <c r="G822" t="inlineStr">
        <is>
          <t>NORRKÖPING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24684-2025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45798</v>
      </c>
      <c r="E823" s="1" t="n">
        <v>46253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24246-2025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45797</v>
      </c>
      <c r="E824" s="1" t="n">
        <v>46253</v>
      </c>
      <c r="F824" t="inlineStr">
        <is>
          <t>ÖSTERGÖTLANDS LÄN</t>
        </is>
      </c>
      <c r="G824" t="inlineStr">
        <is>
          <t>NORRKÖPING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24555-2025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45798</v>
      </c>
      <c r="E825" s="1" t="n">
        <v>46253</v>
      </c>
      <c r="F825" t="inlineStr">
        <is>
          <t>ÖSTERGÖTLANDS LÄN</t>
        </is>
      </c>
      <c r="G825" t="inlineStr">
        <is>
          <t>NORRKÖPING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42514-2024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45565</v>
      </c>
      <c r="E826" s="1" t="n">
        <v>46253</v>
      </c>
      <c r="F826" t="inlineStr">
        <is>
          <t>ÖSTERGÖTLANDS LÄN</t>
        </is>
      </c>
      <c r="G826" t="inlineStr">
        <is>
          <t>NORRKÖPING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16582-2024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45408</v>
      </c>
      <c r="E827" s="1" t="n">
        <v>46253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40068-2024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46253</v>
      </c>
      <c r="F828" t="inlineStr">
        <is>
          <t>ÖSTERGÖTLANDS LÄN</t>
        </is>
      </c>
      <c r="G828" t="inlineStr">
        <is>
          <t>NORRKÖPING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10770-2025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45722</v>
      </c>
      <c r="E829" s="1" t="n">
        <v>46253</v>
      </c>
      <c r="F829" t="inlineStr">
        <is>
          <t>ÖSTERGÖTLANDS LÄN</t>
        </is>
      </c>
      <c r="G829" t="inlineStr">
        <is>
          <t>NORRKÖPING</t>
        </is>
      </c>
      <c r="I829" t="n">
        <v>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45803</v>
      </c>
      <c r="E830" s="1" t="n">
        <v>46253</v>
      </c>
      <c r="F830" t="inlineStr">
        <is>
          <t>ÖSTERGÖTLANDS LÄN</t>
        </is>
      </c>
      <c r="G830" t="inlineStr">
        <is>
          <t>NORRKÖPING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25949-2025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45804</v>
      </c>
      <c r="E831" s="1" t="n">
        <v>46253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Kommuner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1519-2021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44313</v>
      </c>
      <c r="E832" s="1" t="n">
        <v>46253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2289-2020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44130</v>
      </c>
      <c r="E833" s="1" t="n">
        <v>46253</v>
      </c>
      <c r="F833" t="inlineStr">
        <is>
          <t>ÖSTERGÖTLANDS LÄN</t>
        </is>
      </c>
      <c r="G833" t="inlineStr">
        <is>
          <t>NORRKÖPING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161-2021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44230</v>
      </c>
      <c r="E834" s="1" t="n">
        <v>46253</v>
      </c>
      <c r="F834" t="inlineStr">
        <is>
          <t>ÖSTERGÖTLANDS LÄN</t>
        </is>
      </c>
      <c r="G834" t="inlineStr">
        <is>
          <t>NORRKÖPING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44638</v>
      </c>
      <c r="E835" s="1" t="n">
        <v>46253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1678-2022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44649</v>
      </c>
      <c r="E836" s="1" t="n">
        <v>46253</v>
      </c>
      <c r="F836" t="inlineStr">
        <is>
          <t>ÖSTERGÖTLANDS LÄN</t>
        </is>
      </c>
      <c r="G836" t="inlineStr">
        <is>
          <t>NORRKÖPING</t>
        </is>
      </c>
      <c r="H836" t="inlineStr">
        <is>
          <t>Holmen skog AB</t>
        </is>
      </c>
      <c r="I836" t="n">
        <v>11.1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10364-2021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44551</v>
      </c>
      <c r="E837" s="1" t="n">
        <v>46253</v>
      </c>
      <c r="F837" t="inlineStr">
        <is>
          <t>ÖSTERGÖTLANDS LÄN</t>
        </is>
      </c>
      <c r="G837" t="inlineStr">
        <is>
          <t>NORRKÖPING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2481-2022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44692</v>
      </c>
      <c r="E838" s="1" t="n">
        <v>46253</v>
      </c>
      <c r="F838" t="inlineStr">
        <is>
          <t>ÖSTERGÖTLANDS LÄN</t>
        </is>
      </c>
      <c r="G838" t="inlineStr">
        <is>
          <t>NORRKÖPING</t>
        </is>
      </c>
      <c r="I838" t="n">
        <v>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211-2024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45316</v>
      </c>
      <c r="E839" s="1" t="n">
        <v>46253</v>
      </c>
      <c r="F839" t="inlineStr">
        <is>
          <t>ÖSTERGÖTLANDS LÄN</t>
        </is>
      </c>
      <c r="G839" t="inlineStr">
        <is>
          <t>NORRKÖPING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4973-2024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45629</v>
      </c>
      <c r="E840" s="1" t="n">
        <v>46253</v>
      </c>
      <c r="F840" t="inlineStr">
        <is>
          <t>ÖSTERGÖTLANDS LÄN</t>
        </is>
      </c>
      <c r="G840" t="inlineStr">
        <is>
          <t>NORRKÖPING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46253</v>
      </c>
      <c r="F841" t="inlineStr">
        <is>
          <t>ÖSTERGÖTLANDS LÄN</t>
        </is>
      </c>
      <c r="G841" t="inlineStr">
        <is>
          <t>NORRKÖPING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1663-2024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45432</v>
      </c>
      <c r="E842" s="1" t="n">
        <v>46253</v>
      </c>
      <c r="F842" t="inlineStr">
        <is>
          <t>ÖSTERGÖTLANDS LÄN</t>
        </is>
      </c>
      <c r="G842" t="inlineStr">
        <is>
          <t>NORRKÖPING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4012-2024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46253</v>
      </c>
      <c r="F843" t="inlineStr">
        <is>
          <t>ÖSTERGÖTLANDS LÄN</t>
        </is>
      </c>
      <c r="G843" t="inlineStr">
        <is>
          <t>NORRKÖPING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1486-2025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45789</v>
      </c>
      <c r="E844" s="1" t="n">
        <v>46253</v>
      </c>
      <c r="F844" t="inlineStr">
        <is>
          <t>ÖSTERGÖTLANDS LÄN</t>
        </is>
      </c>
      <c r="G844" t="inlineStr">
        <is>
          <t>NORRKÖPING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1433-2025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45784</v>
      </c>
      <c r="E845" s="1" t="n">
        <v>46253</v>
      </c>
      <c r="F845" t="inlineStr">
        <is>
          <t>ÖSTERGÖTLANDS LÄN</t>
        </is>
      </c>
      <c r="G845" t="inlineStr">
        <is>
          <t>NORRKÖPING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2026-08-19T01:45:37Z</dcterms:created>
  <dcterms:modified xmlns:dcterms="http://purl.org/dc/terms/" xmlns:xsi="http://www.w3.org/2001/XMLSchema-instance" xsi:type="dcterms:W3CDTF">2026-08-19T01:45:38Z</dcterms:modified>
</cp:coreProperties>
</file>