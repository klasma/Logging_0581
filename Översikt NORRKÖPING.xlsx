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45750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45750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45750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45750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45750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45750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45750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45750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45750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45750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45750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12297-2025</t>
        </is>
      </c>
      <c r="B70" s="1" t="n">
        <v>45729</v>
      </c>
      <c r="C70" s="1" t="n">
        <v>45750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10.1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Tallticka
Vedskivlav</t>
        </is>
      </c>
      <c r="S70">
        <f>HYPERLINK("https://klasma.github.io/Logging_050581/artfynd/A 12297-2025 artfynd.xlsx", "A 12297-2025")</f>
        <v/>
      </c>
      <c r="T70">
        <f>HYPERLINK("https://klasma.github.io/Logging_050581/kartor/A 12297-2025 karta.png", "A 12297-2025")</f>
        <v/>
      </c>
      <c r="V70">
        <f>HYPERLINK("https://klasma.github.io/Logging_050581/klagomål/A 12297-2025 FSC-klagomål.docx", "A 12297-2025")</f>
        <v/>
      </c>
      <c r="W70">
        <f>HYPERLINK("https://klasma.github.io/Logging_050581/klagomålsmail/A 12297-2025 FSC-klagomål mail.docx", "A 12297-2025")</f>
        <v/>
      </c>
      <c r="X70">
        <f>HYPERLINK("https://klasma.github.io/Logging_050581/tillsyn/A 12297-2025 tillsynsbegäran.docx", "A 12297-2025")</f>
        <v/>
      </c>
      <c r="Y70">
        <f>HYPERLINK("https://klasma.github.io/Logging_050581/tillsynsmail/A 12297-2025 tillsynsbegäran mail.docx", "A 12297-2025")</f>
        <v/>
      </c>
    </row>
    <row r="71" ht="15" customHeight="1">
      <c r="A71" t="inlineStr">
        <is>
          <t>A 12692-2025</t>
        </is>
      </c>
      <c r="B71" s="1" t="n">
        <v>45733</v>
      </c>
      <c r="C71" s="1" t="n">
        <v>45750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Vedskivlav
Mattlummer</t>
        </is>
      </c>
      <c r="S71">
        <f>HYPERLINK("https://klasma.github.io/Logging_050581/artfynd/A 12692-2025 artfynd.xlsx", "A 12692-2025")</f>
        <v/>
      </c>
      <c r="T71">
        <f>HYPERLINK("https://klasma.github.io/Logging_050581/kartor/A 12692-2025 karta.png", "A 12692-2025")</f>
        <v/>
      </c>
      <c r="V71">
        <f>HYPERLINK("https://klasma.github.io/Logging_050581/klagomål/A 12692-2025 FSC-klagomål.docx", "A 12692-2025")</f>
        <v/>
      </c>
      <c r="W71">
        <f>HYPERLINK("https://klasma.github.io/Logging_050581/klagomålsmail/A 12692-2025 FSC-klagomål mail.docx", "A 12692-2025")</f>
        <v/>
      </c>
      <c r="X71">
        <f>HYPERLINK("https://klasma.github.io/Logging_050581/tillsyn/A 12692-2025 tillsynsbegäran.docx", "A 12692-2025")</f>
        <v/>
      </c>
      <c r="Y71">
        <f>HYPERLINK("https://klasma.github.io/Logging_050581/tillsynsmail/A 12692-2025 tillsynsbegäran mail.docx", "A 12692-2025")</f>
        <v/>
      </c>
    </row>
    <row r="72" ht="15" customHeight="1">
      <c r="A72" t="inlineStr">
        <is>
          <t>A 24668-2019</t>
        </is>
      </c>
      <c r="B72" s="1" t="n">
        <v>43601</v>
      </c>
      <c r="C72" s="1" t="n">
        <v>45750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9.4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24668-2019 artfynd.xlsx", "A 24668-2019")</f>
        <v/>
      </c>
      <c r="T72">
        <f>HYPERLINK("https://klasma.github.io/Logging_0581/kartor/A 24668-2019 karta.png", "A 24668-2019")</f>
        <v/>
      </c>
      <c r="V72">
        <f>HYPERLINK("https://klasma.github.io/Logging_0581/klagomål/A 24668-2019 FSC-klagomål.docx", "A 24668-2019")</f>
        <v/>
      </c>
      <c r="W72">
        <f>HYPERLINK("https://klasma.github.io/Logging_0581/klagomålsmail/A 24668-2019 FSC-klagomål mail.docx", "A 24668-2019")</f>
        <v/>
      </c>
      <c r="X72">
        <f>HYPERLINK("https://klasma.github.io/Logging_0581/tillsyn/A 24668-2019 tillsynsbegäran.docx", "A 24668-2019")</f>
        <v/>
      </c>
      <c r="Y72">
        <f>HYPERLINK("https://klasma.github.io/Logging_0581/tillsynsmail/A 24668-2019 tillsynsbegäran mail.docx", "A 24668-2019")</f>
        <v/>
      </c>
    </row>
    <row r="73" ht="15" customHeight="1">
      <c r="A73" t="inlineStr">
        <is>
          <t>A 24841-2019</t>
        </is>
      </c>
      <c r="B73" s="1" t="n">
        <v>43602</v>
      </c>
      <c r="C73" s="1" t="n">
        <v>45750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24841-2019 artfynd.xlsx", "A 24841-2019")</f>
        <v/>
      </c>
      <c r="T73">
        <f>HYPERLINK("https://klasma.github.io/Logging_0581/kartor/A 24841-2019 karta.png", "A 24841-2019")</f>
        <v/>
      </c>
      <c r="V73">
        <f>HYPERLINK("https://klasma.github.io/Logging_0581/klagomål/A 24841-2019 FSC-klagomål.docx", "A 24841-2019")</f>
        <v/>
      </c>
      <c r="W73">
        <f>HYPERLINK("https://klasma.github.io/Logging_0581/klagomålsmail/A 24841-2019 FSC-klagomål mail.docx", "A 24841-2019")</f>
        <v/>
      </c>
      <c r="X73">
        <f>HYPERLINK("https://klasma.github.io/Logging_0581/tillsyn/A 24841-2019 tillsynsbegäran.docx", "A 24841-2019")</f>
        <v/>
      </c>
      <c r="Y73">
        <f>HYPERLINK("https://klasma.github.io/Logging_0581/tillsynsmail/A 24841-2019 tillsynsbegäran mail.docx", "A 24841-2019")</f>
        <v/>
      </c>
    </row>
    <row r="74" ht="15" customHeight="1">
      <c r="A74" t="inlineStr">
        <is>
          <t>A 30987-2019</t>
        </is>
      </c>
      <c r="B74" s="1" t="n">
        <v>43640</v>
      </c>
      <c r="C74" s="1" t="n">
        <v>45750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30987-2019 artfynd.xlsx", "A 30987-2019")</f>
        <v/>
      </c>
      <c r="T74">
        <f>HYPERLINK("https://klasma.github.io/Logging_0581/kartor/A 30987-2019 karta.png", "A 30987-2019")</f>
        <v/>
      </c>
      <c r="V74">
        <f>HYPERLINK("https://klasma.github.io/Logging_0581/klagomål/A 30987-2019 FSC-klagomål.docx", "A 30987-2019")</f>
        <v/>
      </c>
      <c r="W74">
        <f>HYPERLINK("https://klasma.github.io/Logging_0581/klagomålsmail/A 30987-2019 FSC-klagomål mail.docx", "A 30987-2019")</f>
        <v/>
      </c>
      <c r="X74">
        <f>HYPERLINK("https://klasma.github.io/Logging_0581/tillsyn/A 30987-2019 tillsynsbegäran.docx", "A 30987-2019")</f>
        <v/>
      </c>
      <c r="Y74">
        <f>HYPERLINK("https://klasma.github.io/Logging_0581/tillsynsmail/A 30987-2019 tillsynsbegäran mail.docx", "A 30987-2019")</f>
        <v/>
      </c>
    </row>
    <row r="75" ht="15" customHeight="1">
      <c r="A75" t="inlineStr">
        <is>
          <t>A 46755-2019</t>
        </is>
      </c>
      <c r="B75" s="1" t="n">
        <v>43720</v>
      </c>
      <c r="C75" s="1" t="n">
        <v>45750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Näktergal</t>
        </is>
      </c>
      <c r="S75">
        <f>HYPERLINK("https://klasma.github.io/Logging_0581/artfynd/A 46755-2019 artfynd.xlsx", "A 46755-2019")</f>
        <v/>
      </c>
      <c r="T75">
        <f>HYPERLINK("https://klasma.github.io/Logging_0581/kartor/A 46755-2019 karta.png", "A 46755-2019")</f>
        <v/>
      </c>
      <c r="V75">
        <f>HYPERLINK("https://klasma.github.io/Logging_0581/klagomål/A 46755-2019 FSC-klagomål.docx", "A 46755-2019")</f>
        <v/>
      </c>
      <c r="W75">
        <f>HYPERLINK("https://klasma.github.io/Logging_0581/klagomålsmail/A 46755-2019 FSC-klagomål mail.docx", "A 46755-2019")</f>
        <v/>
      </c>
      <c r="X75">
        <f>HYPERLINK("https://klasma.github.io/Logging_0581/tillsyn/A 46755-2019 tillsynsbegäran.docx", "A 46755-2019")</f>
        <v/>
      </c>
      <c r="Y75">
        <f>HYPERLINK("https://klasma.github.io/Logging_0581/tillsynsmail/A 46755-2019 tillsynsbegäran mail.docx", "A 46755-2019")</f>
        <v/>
      </c>
      <c r="Z75">
        <f>HYPERLINK("https://klasma.github.io/Logging_0581/fåglar/A 46755-2019 prioriterade fågelarter.docx", "A 46755-2019")</f>
        <v/>
      </c>
    </row>
    <row r="76" ht="15" customHeight="1">
      <c r="A76" t="inlineStr">
        <is>
          <t>A 18902-2020</t>
        </is>
      </c>
      <c r="B76" s="1" t="n">
        <v>43935</v>
      </c>
      <c r="C76" s="1" t="n">
        <v>45750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18902-2020 artfynd.xlsx", "A 18902-2020")</f>
        <v/>
      </c>
      <c r="T76">
        <f>HYPERLINK("https://klasma.github.io/Logging_0581/kartor/A 18902-2020 karta.png", "A 18902-2020")</f>
        <v/>
      </c>
      <c r="V76">
        <f>HYPERLINK("https://klasma.github.io/Logging_0581/klagomål/A 18902-2020 FSC-klagomål.docx", "A 18902-2020")</f>
        <v/>
      </c>
      <c r="W76">
        <f>HYPERLINK("https://klasma.github.io/Logging_0581/klagomålsmail/A 18902-2020 FSC-klagomål mail.docx", "A 18902-2020")</f>
        <v/>
      </c>
      <c r="X76">
        <f>HYPERLINK("https://klasma.github.io/Logging_0581/tillsyn/A 18902-2020 tillsynsbegäran.docx", "A 18902-2020")</f>
        <v/>
      </c>
      <c r="Y76">
        <f>HYPERLINK("https://klasma.github.io/Logging_0581/tillsynsmail/A 18902-2020 tillsynsbegäran mail.docx", "A 18902-2020")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45750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55901-2020</t>
        </is>
      </c>
      <c r="B78" s="1" t="n">
        <v>44132</v>
      </c>
      <c r="C78" s="1" t="n">
        <v>45750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HYPERLINK("https://klasma.github.io/Logging_0581/artfynd/A 55901-2020 artfynd.xlsx", "A 55901-2020")</f>
        <v/>
      </c>
      <c r="T78">
        <f>HYPERLINK("https://klasma.github.io/Logging_0581/kartor/A 55901-2020 karta.png", "A 55901-2020")</f>
        <v/>
      </c>
      <c r="V78">
        <f>HYPERLINK("https://klasma.github.io/Logging_0581/klagomål/A 55901-2020 FSC-klagomål.docx", "A 55901-2020")</f>
        <v/>
      </c>
      <c r="W78">
        <f>HYPERLINK("https://klasma.github.io/Logging_0581/klagomålsmail/A 55901-2020 FSC-klagomål mail.docx", "A 55901-2020")</f>
        <v/>
      </c>
      <c r="X78">
        <f>HYPERLINK("https://klasma.github.io/Logging_0581/tillsyn/A 55901-2020 tillsynsbegäran.docx", "A 55901-2020")</f>
        <v/>
      </c>
      <c r="Y78">
        <f>HYPERLINK("https://klasma.github.io/Logging_0581/tillsynsmail/A 55901-2020 tillsynsbegäran mail.docx", "A 55901-2020")</f>
        <v/>
      </c>
    </row>
    <row r="79" ht="15" customHeight="1">
      <c r="A79" t="inlineStr">
        <is>
          <t>A 61872-2020</t>
        </is>
      </c>
      <c r="B79" s="1" t="n">
        <v>44159</v>
      </c>
      <c r="C79" s="1" t="n">
        <v>45750</v>
      </c>
      <c r="D79" t="inlineStr">
        <is>
          <t>ÖSTERGÖTLANDS LÄN</t>
        </is>
      </c>
      <c r="E79" t="inlineStr">
        <is>
          <t>NORRKÖPING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HYPERLINK("https://klasma.github.io/Logging_0581/artfynd/A 61872-2020 artfynd.xlsx", "A 61872-2020")</f>
        <v/>
      </c>
      <c r="T79">
        <f>HYPERLINK("https://klasma.github.io/Logging_0581/kartor/A 61872-2020 karta.png", "A 61872-2020")</f>
        <v/>
      </c>
      <c r="V79">
        <f>HYPERLINK("https://klasma.github.io/Logging_0581/klagomål/A 61872-2020 FSC-klagomål.docx", "A 61872-2020")</f>
        <v/>
      </c>
      <c r="W79">
        <f>HYPERLINK("https://klasma.github.io/Logging_0581/klagomålsmail/A 61872-2020 FSC-klagomål mail.docx", "A 61872-2020")</f>
        <v/>
      </c>
      <c r="X79">
        <f>HYPERLINK("https://klasma.github.io/Logging_0581/tillsyn/A 61872-2020 tillsynsbegäran.docx", "A 61872-2020")</f>
        <v/>
      </c>
      <c r="Y79">
        <f>HYPERLINK("https://klasma.github.io/Logging_0581/tillsynsmail/A 61872-2020 tillsynsbegäran mail.docx", "A 61872-2020")</f>
        <v/>
      </c>
      <c r="Z79">
        <f>HYPERLINK("https://klasma.github.io/Logging_0581/fåglar/A 61872-2020 prioriterade fågelarter.docx", "A 61872-2020")</f>
        <v/>
      </c>
    </row>
    <row r="80" ht="15" customHeight="1">
      <c r="A80" t="inlineStr">
        <is>
          <t>A 12457-2021</t>
        </is>
      </c>
      <c r="B80" s="1" t="n">
        <v>44267</v>
      </c>
      <c r="C80" s="1" t="n">
        <v>45750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HYPERLINK("https://klasma.github.io/Logging_0581/artfynd/A 12457-2021 artfynd.xlsx", "A 12457-2021")</f>
        <v/>
      </c>
      <c r="T80">
        <f>HYPERLINK("https://klasma.github.io/Logging_0581/kartor/A 12457-2021 karta.png", "A 12457-2021")</f>
        <v/>
      </c>
      <c r="V80">
        <f>HYPERLINK("https://klasma.github.io/Logging_0581/klagomål/A 12457-2021 FSC-klagomål.docx", "A 12457-2021")</f>
        <v/>
      </c>
      <c r="W80">
        <f>HYPERLINK("https://klasma.github.io/Logging_0581/klagomålsmail/A 12457-2021 FSC-klagomål mail.docx", "A 12457-2021")</f>
        <v/>
      </c>
      <c r="X80">
        <f>HYPERLINK("https://klasma.github.io/Logging_0581/tillsyn/A 12457-2021 tillsynsbegäran.docx", "A 12457-2021")</f>
        <v/>
      </c>
      <c r="Y80">
        <f>HYPERLINK("https://klasma.github.io/Logging_0581/tillsynsmail/A 12457-2021 tillsynsbegäran mail.docx", "A 12457-2021")</f>
        <v/>
      </c>
    </row>
    <row r="81" ht="15" customHeight="1">
      <c r="A81" t="inlineStr">
        <is>
          <t>A 19825-2021</t>
        </is>
      </c>
      <c r="B81" s="1" t="n">
        <v>44313</v>
      </c>
      <c r="C81" s="1" t="n">
        <v>45750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HYPERLINK("https://klasma.github.io/Logging_0581/artfynd/A 19825-2021 artfynd.xlsx", "A 19825-2021")</f>
        <v/>
      </c>
      <c r="T81">
        <f>HYPERLINK("https://klasma.github.io/Logging_0581/kartor/A 19825-2021 karta.png", "A 19825-2021")</f>
        <v/>
      </c>
      <c r="V81">
        <f>HYPERLINK("https://klasma.github.io/Logging_0581/klagomål/A 19825-2021 FSC-klagomål.docx", "A 19825-2021")</f>
        <v/>
      </c>
      <c r="W81">
        <f>HYPERLINK("https://klasma.github.io/Logging_0581/klagomålsmail/A 19825-2021 FSC-klagomål mail.docx", "A 19825-2021")</f>
        <v/>
      </c>
      <c r="X81">
        <f>HYPERLINK("https://klasma.github.io/Logging_0581/tillsyn/A 19825-2021 tillsynsbegäran.docx", "A 19825-2021")</f>
        <v/>
      </c>
      <c r="Y81">
        <f>HYPERLINK("https://klasma.github.io/Logging_0581/tillsynsmail/A 19825-2021 tillsynsbegäran mail.docx", "A 19825-2021")</f>
        <v/>
      </c>
    </row>
    <row r="82" ht="15" customHeight="1">
      <c r="A82" t="inlineStr">
        <is>
          <t>A 25392-2021</t>
        </is>
      </c>
      <c r="B82" s="1" t="n">
        <v>44342</v>
      </c>
      <c r="C82" s="1" t="n">
        <v>45750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25392-2021 artfynd.xlsx", "A 25392-2021")</f>
        <v/>
      </c>
      <c r="T82">
        <f>HYPERLINK("https://klasma.github.io/Logging_0581/kartor/A 25392-2021 karta.png", "A 25392-2021")</f>
        <v/>
      </c>
      <c r="V82">
        <f>HYPERLINK("https://klasma.github.io/Logging_0581/klagomål/A 25392-2021 FSC-klagomål.docx", "A 25392-2021")</f>
        <v/>
      </c>
      <c r="W82">
        <f>HYPERLINK("https://klasma.github.io/Logging_0581/klagomålsmail/A 25392-2021 FSC-klagomål mail.docx", "A 25392-2021")</f>
        <v/>
      </c>
      <c r="X82">
        <f>HYPERLINK("https://klasma.github.io/Logging_0581/tillsyn/A 25392-2021 tillsynsbegäran.docx", "A 25392-2021")</f>
        <v/>
      </c>
      <c r="Y82">
        <f>HYPERLINK("https://klasma.github.io/Logging_0581/tillsynsmail/A 25392-2021 tillsynsbegäran mail.docx", "A 25392-2021")</f>
        <v/>
      </c>
      <c r="Z82">
        <f>HYPERLINK("https://klasma.github.io/Logging_0581/fåglar/A 25392-2021 prioriterade fågelarter.docx", "A 25392-2021")</f>
        <v/>
      </c>
    </row>
    <row r="83" ht="15" customHeight="1">
      <c r="A83" t="inlineStr">
        <is>
          <t>A 25614-2021</t>
        </is>
      </c>
      <c r="B83" s="1" t="n">
        <v>44343</v>
      </c>
      <c r="C83" s="1" t="n">
        <v>45750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HYPERLINK("https://klasma.github.io/Logging_0581/artfynd/A 25614-2021 artfynd.xlsx", "A 25614-2021")</f>
        <v/>
      </c>
      <c r="T83">
        <f>HYPERLINK("https://klasma.github.io/Logging_0581/kartor/A 25614-2021 karta.png", "A 25614-2021")</f>
        <v/>
      </c>
      <c r="V83">
        <f>HYPERLINK("https://klasma.github.io/Logging_0581/klagomål/A 25614-2021 FSC-klagomål.docx", "A 25614-2021")</f>
        <v/>
      </c>
      <c r="W83">
        <f>HYPERLINK("https://klasma.github.io/Logging_0581/klagomålsmail/A 25614-2021 FSC-klagomål mail.docx", "A 25614-2021")</f>
        <v/>
      </c>
      <c r="X83">
        <f>HYPERLINK("https://klasma.github.io/Logging_0581/tillsyn/A 25614-2021 tillsynsbegäran.docx", "A 25614-2021")</f>
        <v/>
      </c>
      <c r="Y83">
        <f>HYPERLINK("https://klasma.github.io/Logging_0581/tillsynsmail/A 25614-2021 tillsynsbegäran mail.docx", "A 25614-2021")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45750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42188-2021</t>
        </is>
      </c>
      <c r="B85" s="1" t="n">
        <v>44426</v>
      </c>
      <c r="C85" s="1" t="n">
        <v>45750</v>
      </c>
      <c r="D85" t="inlineStr">
        <is>
          <t>ÖSTERGÖTLANDS LÄN</t>
        </is>
      </c>
      <c r="E85" t="inlineStr">
        <is>
          <t>NORRKÖPING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Ängsnycklar</t>
        </is>
      </c>
      <c r="S85">
        <f>HYPERLINK("https://klasma.github.io/Logging_0581/artfynd/A 42188-2021 artfynd.xlsx", "A 42188-2021")</f>
        <v/>
      </c>
      <c r="T85">
        <f>HYPERLINK("https://klasma.github.io/Logging_0581/kartor/A 42188-2021 karta.png", "A 42188-2021")</f>
        <v/>
      </c>
      <c r="V85">
        <f>HYPERLINK("https://klasma.github.io/Logging_0581/klagomål/A 42188-2021 FSC-klagomål.docx", "A 42188-2021")</f>
        <v/>
      </c>
      <c r="W85">
        <f>HYPERLINK("https://klasma.github.io/Logging_0581/klagomålsmail/A 42188-2021 FSC-klagomål mail.docx", "A 42188-2021")</f>
        <v/>
      </c>
      <c r="X85">
        <f>HYPERLINK("https://klasma.github.io/Logging_0581/tillsyn/A 42188-2021 tillsynsbegäran.docx", "A 42188-2021")</f>
        <v/>
      </c>
      <c r="Y85">
        <f>HYPERLINK("https://klasma.github.io/Logging_0581/tillsynsmail/A 42188-2021 tillsynsbegäran mail.docx", "A 42188-2021")</f>
        <v/>
      </c>
    </row>
    <row r="86" ht="15" customHeight="1">
      <c r="A86" t="inlineStr">
        <is>
          <t>A 48612-2021</t>
        </is>
      </c>
      <c r="B86" s="1" t="n">
        <v>44452</v>
      </c>
      <c r="C86" s="1" t="n">
        <v>45750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HYPERLINK("https://klasma.github.io/Logging_0581/artfynd/A 48612-2021 artfynd.xlsx", "A 48612-2021")</f>
        <v/>
      </c>
      <c r="T86">
        <f>HYPERLINK("https://klasma.github.io/Logging_0581/kartor/A 48612-2021 karta.png", "A 48612-2021")</f>
        <v/>
      </c>
      <c r="V86">
        <f>HYPERLINK("https://klasma.github.io/Logging_0581/klagomål/A 48612-2021 FSC-klagomål.docx", "A 48612-2021")</f>
        <v/>
      </c>
      <c r="W86">
        <f>HYPERLINK("https://klasma.github.io/Logging_0581/klagomålsmail/A 48612-2021 FSC-klagomål mail.docx", "A 48612-2021")</f>
        <v/>
      </c>
      <c r="X86">
        <f>HYPERLINK("https://klasma.github.io/Logging_0581/tillsyn/A 48612-2021 tillsynsbegäran.docx", "A 48612-2021")</f>
        <v/>
      </c>
      <c r="Y86">
        <f>HYPERLINK("https://klasma.github.io/Logging_0581/tillsynsmail/A 48612-2021 tillsynsbegäran mail.docx", "A 48612-2021")</f>
        <v/>
      </c>
    </row>
    <row r="87" ht="15" customHeight="1">
      <c r="A87" t="inlineStr">
        <is>
          <t>A 56584-2021</t>
        </is>
      </c>
      <c r="B87" s="1" t="n">
        <v>44480</v>
      </c>
      <c r="C87" s="1" t="n">
        <v>45750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Vätteros</t>
        </is>
      </c>
      <c r="S87">
        <f>HYPERLINK("https://klasma.github.io/Logging_0581/artfynd/A 56584-2021 artfynd.xlsx", "A 56584-2021")</f>
        <v/>
      </c>
      <c r="T87">
        <f>HYPERLINK("https://klasma.github.io/Logging_0581/kartor/A 56584-2021 karta.png", "A 56584-2021")</f>
        <v/>
      </c>
      <c r="V87">
        <f>HYPERLINK("https://klasma.github.io/Logging_0581/klagomål/A 56584-2021 FSC-klagomål.docx", "A 56584-2021")</f>
        <v/>
      </c>
      <c r="W87">
        <f>HYPERLINK("https://klasma.github.io/Logging_0581/klagomålsmail/A 56584-2021 FSC-klagomål mail.docx", "A 56584-2021")</f>
        <v/>
      </c>
      <c r="X87">
        <f>HYPERLINK("https://klasma.github.io/Logging_0581/tillsyn/A 56584-2021 tillsynsbegäran.docx", "A 56584-2021")</f>
        <v/>
      </c>
      <c r="Y87">
        <f>HYPERLINK("https://klasma.github.io/Logging_0581/tillsynsmail/A 56584-2021 tillsynsbegäran mail.docx", "A 56584-2021")</f>
        <v/>
      </c>
    </row>
    <row r="88" ht="15" customHeight="1">
      <c r="A88" t="inlineStr">
        <is>
          <t>A 59092-2021</t>
        </is>
      </c>
      <c r="B88" s="1" t="n">
        <v>44490</v>
      </c>
      <c r="C88" s="1" t="n">
        <v>45750</v>
      </c>
      <c r="D88" t="inlineStr">
        <is>
          <t>ÖSTERGÖTLANDS LÄN</t>
        </is>
      </c>
      <c r="E88" t="inlineStr">
        <is>
          <t>NORRKÖPING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59092-2021 artfynd.xlsx", "A 59092-2021")</f>
        <v/>
      </c>
      <c r="T88">
        <f>HYPERLINK("https://klasma.github.io/Logging_0581/kartor/A 59092-2021 karta.png", "A 59092-2021")</f>
        <v/>
      </c>
      <c r="V88">
        <f>HYPERLINK("https://klasma.github.io/Logging_0581/klagomål/A 59092-2021 FSC-klagomål.docx", "A 59092-2021")</f>
        <v/>
      </c>
      <c r="W88">
        <f>HYPERLINK("https://klasma.github.io/Logging_0581/klagomålsmail/A 59092-2021 FSC-klagomål mail.docx", "A 59092-2021")</f>
        <v/>
      </c>
      <c r="X88">
        <f>HYPERLINK("https://klasma.github.io/Logging_0581/tillsyn/A 59092-2021 tillsynsbegäran.docx", "A 59092-2021")</f>
        <v/>
      </c>
      <c r="Y88">
        <f>HYPERLINK("https://klasma.github.io/Logging_0581/tillsynsmail/A 59092-2021 tillsynsbegäran mail.docx", "A 59092-2021")</f>
        <v/>
      </c>
    </row>
    <row r="89" ht="15" customHeight="1">
      <c r="A89" t="inlineStr">
        <is>
          <t>A 59254-2021</t>
        </is>
      </c>
      <c r="B89" s="1" t="n">
        <v>44490</v>
      </c>
      <c r="C89" s="1" t="n">
        <v>45750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59254-2021 artfynd.xlsx", "A 59254-2021")</f>
        <v/>
      </c>
      <c r="T89">
        <f>HYPERLINK("https://klasma.github.io/Logging_0581/kartor/A 59254-2021 karta.png", "A 59254-2021")</f>
        <v/>
      </c>
      <c r="V89">
        <f>HYPERLINK("https://klasma.github.io/Logging_0581/klagomål/A 59254-2021 FSC-klagomål.docx", "A 59254-2021")</f>
        <v/>
      </c>
      <c r="W89">
        <f>HYPERLINK("https://klasma.github.io/Logging_0581/klagomålsmail/A 59254-2021 FSC-klagomål mail.docx", "A 59254-2021")</f>
        <v/>
      </c>
      <c r="X89">
        <f>HYPERLINK("https://klasma.github.io/Logging_0581/tillsyn/A 59254-2021 tillsynsbegäran.docx", "A 59254-2021")</f>
        <v/>
      </c>
      <c r="Y89">
        <f>HYPERLINK("https://klasma.github.io/Logging_0581/tillsynsmail/A 59254-2021 tillsynsbegäran mail.docx", "A 59254-2021")</f>
        <v/>
      </c>
    </row>
    <row r="90" ht="15" customHeight="1">
      <c r="A90" t="inlineStr">
        <is>
          <t>A 67652-2021</t>
        </is>
      </c>
      <c r="B90" s="1" t="n">
        <v>44524</v>
      </c>
      <c r="C90" s="1" t="n">
        <v>45750</v>
      </c>
      <c r="D90" t="inlineStr">
        <is>
          <t>ÖSTERGÖTLANDS LÄN</t>
        </is>
      </c>
      <c r="E90" t="inlineStr">
        <is>
          <t>NORRKÖPING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HYPERLINK("https://klasma.github.io/Logging_0581/artfynd/A 67652-2021 artfynd.xlsx", "A 67652-2021")</f>
        <v/>
      </c>
      <c r="T90">
        <f>HYPERLINK("https://klasma.github.io/Logging_0581/kartor/A 67652-2021 karta.png", "A 67652-2021")</f>
        <v/>
      </c>
      <c r="V90">
        <f>HYPERLINK("https://klasma.github.io/Logging_0581/klagomål/A 67652-2021 FSC-klagomål.docx", "A 67652-2021")</f>
        <v/>
      </c>
      <c r="W90">
        <f>HYPERLINK("https://klasma.github.io/Logging_0581/klagomålsmail/A 67652-2021 FSC-klagomål mail.docx", "A 67652-2021")</f>
        <v/>
      </c>
      <c r="X90">
        <f>HYPERLINK("https://klasma.github.io/Logging_0581/tillsyn/A 67652-2021 tillsynsbegäran.docx", "A 67652-2021")</f>
        <v/>
      </c>
      <c r="Y90">
        <f>HYPERLINK("https://klasma.github.io/Logging_0581/tillsynsmail/A 67652-2021 tillsynsbegäran mail.docx", "A 67652-2021")</f>
        <v/>
      </c>
    </row>
    <row r="91" ht="15" customHeight="1">
      <c r="A91" t="inlineStr">
        <is>
          <t>A 31897-2022</t>
        </is>
      </c>
      <c r="B91" s="1" t="n">
        <v>44777</v>
      </c>
      <c r="C91" s="1" t="n">
        <v>45750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31897-2022 artfynd.xlsx", "A 31897-2022")</f>
        <v/>
      </c>
      <c r="T91">
        <f>HYPERLINK("https://klasma.github.io/Logging_0581/kartor/A 31897-2022 karta.png", "A 31897-2022")</f>
        <v/>
      </c>
      <c r="V91">
        <f>HYPERLINK("https://klasma.github.io/Logging_0581/klagomål/A 31897-2022 FSC-klagomål.docx", "A 31897-2022")</f>
        <v/>
      </c>
      <c r="W91">
        <f>HYPERLINK("https://klasma.github.io/Logging_0581/klagomålsmail/A 31897-2022 FSC-klagomål mail.docx", "A 31897-2022")</f>
        <v/>
      </c>
      <c r="X91">
        <f>HYPERLINK("https://klasma.github.io/Logging_0581/tillsyn/A 31897-2022 tillsynsbegäran.docx", "A 31897-2022")</f>
        <v/>
      </c>
      <c r="Y91">
        <f>HYPERLINK("https://klasma.github.io/Logging_0581/tillsynsmail/A 31897-2022 tillsynsbegäran mail.docx", "A 31897-2022")</f>
        <v/>
      </c>
    </row>
    <row r="92" ht="15" customHeight="1">
      <c r="A92" t="inlineStr">
        <is>
          <t>A 55022-2022</t>
        </is>
      </c>
      <c r="B92" s="1" t="n">
        <v>44886</v>
      </c>
      <c r="C92" s="1" t="n">
        <v>45750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 taggsvamp</t>
        </is>
      </c>
      <c r="S92">
        <f>HYPERLINK("https://klasma.github.io/Logging_0581/artfynd/A 55022-2022 artfynd.xlsx", "A 55022-2022")</f>
        <v/>
      </c>
      <c r="T92">
        <f>HYPERLINK("https://klasma.github.io/Logging_0581/kartor/A 55022-2022 karta.png", "A 55022-2022")</f>
        <v/>
      </c>
      <c r="V92">
        <f>HYPERLINK("https://klasma.github.io/Logging_0581/klagomål/A 55022-2022 FSC-klagomål.docx", "A 55022-2022")</f>
        <v/>
      </c>
      <c r="W92">
        <f>HYPERLINK("https://klasma.github.io/Logging_0581/klagomålsmail/A 55022-2022 FSC-klagomål mail.docx", "A 55022-2022")</f>
        <v/>
      </c>
      <c r="X92">
        <f>HYPERLINK("https://klasma.github.io/Logging_0581/tillsyn/A 55022-2022 tillsynsbegäran.docx", "A 55022-2022")</f>
        <v/>
      </c>
      <c r="Y92">
        <f>HYPERLINK("https://klasma.github.io/Logging_0581/tillsynsmail/A 55022-2022 tillsynsbegäran mail.docx", "A 55022-2022")</f>
        <v/>
      </c>
    </row>
    <row r="93" ht="15" customHeight="1">
      <c r="A93" t="inlineStr">
        <is>
          <t>A 2457-2023</t>
        </is>
      </c>
      <c r="B93" s="1" t="n">
        <v>44943</v>
      </c>
      <c r="C93" s="1" t="n">
        <v>45750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2457-2023 artfynd.xlsx", "A 2457-2023")</f>
        <v/>
      </c>
      <c r="T93">
        <f>HYPERLINK("https://klasma.github.io/Logging_0581/kartor/A 2457-2023 karta.png", "A 2457-2023")</f>
        <v/>
      </c>
      <c r="V93">
        <f>HYPERLINK("https://klasma.github.io/Logging_0581/klagomål/A 2457-2023 FSC-klagomål.docx", "A 2457-2023")</f>
        <v/>
      </c>
      <c r="W93">
        <f>HYPERLINK("https://klasma.github.io/Logging_0581/klagomålsmail/A 2457-2023 FSC-klagomål mail.docx", "A 2457-2023")</f>
        <v/>
      </c>
      <c r="X93">
        <f>HYPERLINK("https://klasma.github.io/Logging_0581/tillsyn/A 2457-2023 tillsynsbegäran.docx", "A 2457-2023")</f>
        <v/>
      </c>
      <c r="Y93">
        <f>HYPERLINK("https://klasma.github.io/Logging_0581/tillsynsmail/A 2457-2023 tillsynsbegäran mail.docx", "A 2457-2023")</f>
        <v/>
      </c>
    </row>
    <row r="94" ht="15" customHeight="1">
      <c r="A94" t="inlineStr">
        <is>
          <t>A 7264-2023</t>
        </is>
      </c>
      <c r="B94" s="1" t="n">
        <v>44970</v>
      </c>
      <c r="C94" s="1" t="n">
        <v>45750</v>
      </c>
      <c r="D94" t="inlineStr">
        <is>
          <t>ÖSTERGÖTLANDS LÄN</t>
        </is>
      </c>
      <c r="E94" t="inlineStr">
        <is>
          <t>NORRKÖPING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HYPERLINK("https://klasma.github.io/Logging_0581/artfynd/A 7264-2023 artfynd.xlsx", "A 7264-2023")</f>
        <v/>
      </c>
      <c r="T94">
        <f>HYPERLINK("https://klasma.github.io/Logging_0581/kartor/A 7264-2023 karta.png", "A 7264-2023")</f>
        <v/>
      </c>
      <c r="V94">
        <f>HYPERLINK("https://klasma.github.io/Logging_0581/klagomål/A 7264-2023 FSC-klagomål.docx", "A 7264-2023")</f>
        <v/>
      </c>
      <c r="W94">
        <f>HYPERLINK("https://klasma.github.io/Logging_0581/klagomålsmail/A 7264-2023 FSC-klagomål mail.docx", "A 7264-2023")</f>
        <v/>
      </c>
      <c r="X94">
        <f>HYPERLINK("https://klasma.github.io/Logging_0581/tillsyn/A 7264-2023 tillsynsbegäran.docx", "A 7264-2023")</f>
        <v/>
      </c>
      <c r="Y94">
        <f>HYPERLINK("https://klasma.github.io/Logging_0581/tillsynsmail/A 7264-2023 tillsynsbegäran mail.docx", "A 7264-2023")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45750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45750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20668-2023</t>
        </is>
      </c>
      <c r="B97" s="1" t="n">
        <v>45058</v>
      </c>
      <c r="C97" s="1" t="n">
        <v>45750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20668-2023 artfynd.xlsx", "A 20668-2023")</f>
        <v/>
      </c>
      <c r="T97">
        <f>HYPERLINK("https://klasma.github.io/Logging_0581/kartor/A 20668-2023 karta.png", "A 20668-2023")</f>
        <v/>
      </c>
      <c r="V97">
        <f>HYPERLINK("https://klasma.github.io/Logging_0581/klagomål/A 20668-2023 FSC-klagomål.docx", "A 20668-2023")</f>
        <v/>
      </c>
      <c r="W97">
        <f>HYPERLINK("https://klasma.github.io/Logging_0581/klagomålsmail/A 20668-2023 FSC-klagomål mail.docx", "A 20668-2023")</f>
        <v/>
      </c>
      <c r="X97">
        <f>HYPERLINK("https://klasma.github.io/Logging_0581/tillsyn/A 20668-2023 tillsynsbegäran.docx", "A 20668-2023")</f>
        <v/>
      </c>
      <c r="Y97">
        <f>HYPERLINK("https://klasma.github.io/Logging_0581/tillsynsmail/A 20668-2023 tillsynsbegäran mail.docx", "A 20668-2023")</f>
        <v/>
      </c>
    </row>
    <row r="98" ht="15" customHeight="1">
      <c r="A98" t="inlineStr">
        <is>
          <t>A 21833-2023</t>
        </is>
      </c>
      <c r="B98" s="1" t="n">
        <v>45068</v>
      </c>
      <c r="C98" s="1" t="n">
        <v>45750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HYPERLINK("https://klasma.github.io/Logging_0581/artfynd/A 21833-2023 artfynd.xlsx", "A 21833-2023")</f>
        <v/>
      </c>
      <c r="T98">
        <f>HYPERLINK("https://klasma.github.io/Logging_0581/kartor/A 21833-2023 karta.png", "A 21833-2023")</f>
        <v/>
      </c>
      <c r="V98">
        <f>HYPERLINK("https://klasma.github.io/Logging_0581/klagomål/A 21833-2023 FSC-klagomål.docx", "A 21833-2023")</f>
        <v/>
      </c>
      <c r="W98">
        <f>HYPERLINK("https://klasma.github.io/Logging_0581/klagomålsmail/A 21833-2023 FSC-klagomål mail.docx", "A 21833-2023")</f>
        <v/>
      </c>
      <c r="X98">
        <f>HYPERLINK("https://klasma.github.io/Logging_0581/tillsyn/A 21833-2023 tillsynsbegäran.docx", "A 21833-2023")</f>
        <v/>
      </c>
      <c r="Y98">
        <f>HYPERLINK("https://klasma.github.io/Logging_0581/tillsynsmail/A 21833-2023 tillsynsbegäran mail.docx", "A 21833-2023")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45750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29236-2023</t>
        </is>
      </c>
      <c r="B100" s="1" t="n">
        <v>45105</v>
      </c>
      <c r="C100" s="1" t="n">
        <v>45750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14.5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HYPERLINK("https://klasma.github.io/Logging_0581/artfynd/A 29236-2023 artfynd.xlsx", "A 29236-2023")</f>
        <v/>
      </c>
      <c r="T100">
        <f>HYPERLINK("https://klasma.github.io/Logging_0581/kartor/A 29236-2023 karta.png", "A 29236-2023")</f>
        <v/>
      </c>
      <c r="V100">
        <f>HYPERLINK("https://klasma.github.io/Logging_0581/klagomål/A 29236-2023 FSC-klagomål.docx", "A 29236-2023")</f>
        <v/>
      </c>
      <c r="W100">
        <f>HYPERLINK("https://klasma.github.io/Logging_0581/klagomålsmail/A 29236-2023 FSC-klagomål mail.docx", "A 29236-2023")</f>
        <v/>
      </c>
      <c r="X100">
        <f>HYPERLINK("https://klasma.github.io/Logging_0581/tillsyn/A 29236-2023 tillsynsbegäran.docx", "A 29236-2023")</f>
        <v/>
      </c>
      <c r="Y100">
        <f>HYPERLINK("https://klasma.github.io/Logging_0581/tillsynsmail/A 29236-2023 tillsynsbegäran mail.docx", "A 29236-2023")</f>
        <v/>
      </c>
    </row>
    <row r="101" ht="15" customHeight="1">
      <c r="A101" t="inlineStr">
        <is>
          <t>A 31663-2023</t>
        </is>
      </c>
      <c r="B101" s="1" t="n">
        <v>45117</v>
      </c>
      <c r="C101" s="1" t="n">
        <v>45750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HYPERLINK("https://klasma.github.io/Logging_0581/artfynd/A 31663-2023 artfynd.xlsx", "A 31663-2023")</f>
        <v/>
      </c>
      <c r="T101">
        <f>HYPERLINK("https://klasma.github.io/Logging_0581/kartor/A 31663-2023 karta.png", "A 31663-2023")</f>
        <v/>
      </c>
      <c r="V101">
        <f>HYPERLINK("https://klasma.github.io/Logging_0581/klagomål/A 31663-2023 FSC-klagomål.docx", "A 31663-2023")</f>
        <v/>
      </c>
      <c r="W101">
        <f>HYPERLINK("https://klasma.github.io/Logging_0581/klagomålsmail/A 31663-2023 FSC-klagomål mail.docx", "A 31663-2023")</f>
        <v/>
      </c>
      <c r="X101">
        <f>HYPERLINK("https://klasma.github.io/Logging_0581/tillsyn/A 31663-2023 tillsynsbegäran.docx", "A 31663-2023")</f>
        <v/>
      </c>
      <c r="Y101">
        <f>HYPERLINK("https://klasma.github.io/Logging_0581/tillsynsmail/A 31663-2023 tillsynsbegäran mail.docx", "A 31663-2023")</f>
        <v/>
      </c>
    </row>
    <row r="102" ht="15" customHeight="1">
      <c r="A102" t="inlineStr">
        <is>
          <t>A 31659-2023</t>
        </is>
      </c>
      <c r="B102" s="1" t="n">
        <v>45117</v>
      </c>
      <c r="C102" s="1" t="n">
        <v>45750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HYPERLINK("https://klasma.github.io/Logging_0581/artfynd/A 31659-2023 artfynd.xlsx", "A 31659-2023")</f>
        <v/>
      </c>
      <c r="T102">
        <f>HYPERLINK("https://klasma.github.io/Logging_0581/kartor/A 31659-2023 karta.png", "A 31659-2023")</f>
        <v/>
      </c>
      <c r="V102">
        <f>HYPERLINK("https://klasma.github.io/Logging_0581/klagomål/A 31659-2023 FSC-klagomål.docx", "A 31659-2023")</f>
        <v/>
      </c>
      <c r="W102">
        <f>HYPERLINK("https://klasma.github.io/Logging_0581/klagomålsmail/A 31659-2023 FSC-klagomål mail.docx", "A 31659-2023")</f>
        <v/>
      </c>
      <c r="X102">
        <f>HYPERLINK("https://klasma.github.io/Logging_0581/tillsyn/A 31659-2023 tillsynsbegäran.docx", "A 31659-2023")</f>
        <v/>
      </c>
      <c r="Y102">
        <f>HYPERLINK("https://klasma.github.io/Logging_0581/tillsynsmail/A 31659-2023 tillsynsbegäran mail.docx", "A 31659-2023")</f>
        <v/>
      </c>
      <c r="Z102">
        <f>HYPERLINK("https://klasma.github.io/Logging_0581/fåglar/A 31659-2023 prioriterade fågelarter.docx", "A 31659-2023")</f>
        <v/>
      </c>
    </row>
    <row r="103" ht="15" customHeight="1">
      <c r="A103" t="inlineStr">
        <is>
          <t>A 32510-2023</t>
        </is>
      </c>
      <c r="B103" s="1" t="n">
        <v>45121</v>
      </c>
      <c r="C103" s="1" t="n">
        <v>45750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HYPERLINK("https://klasma.github.io/Logging_0581/artfynd/A 32510-2023 artfynd.xlsx", "A 32510-2023")</f>
        <v/>
      </c>
      <c r="T103">
        <f>HYPERLINK("https://klasma.github.io/Logging_0581/kartor/A 32510-2023 karta.png", "A 32510-2023")</f>
        <v/>
      </c>
      <c r="V103">
        <f>HYPERLINK("https://klasma.github.io/Logging_0581/klagomål/A 32510-2023 FSC-klagomål.docx", "A 32510-2023")</f>
        <v/>
      </c>
      <c r="W103">
        <f>HYPERLINK("https://klasma.github.io/Logging_0581/klagomålsmail/A 32510-2023 FSC-klagomål mail.docx", "A 32510-2023")</f>
        <v/>
      </c>
      <c r="X103">
        <f>HYPERLINK("https://klasma.github.io/Logging_0581/tillsyn/A 32510-2023 tillsynsbegäran.docx", "A 32510-2023")</f>
        <v/>
      </c>
      <c r="Y103">
        <f>HYPERLINK("https://klasma.github.io/Logging_0581/tillsynsmail/A 32510-2023 tillsynsbegäran mail.docx", "A 32510-2023")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45750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46955-2023</t>
        </is>
      </c>
      <c r="B105" s="1" t="n">
        <v>45201</v>
      </c>
      <c r="C105" s="1" t="n">
        <v>45750</v>
      </c>
      <c r="D105" t="inlineStr">
        <is>
          <t>ÖSTERGÖTLANDS LÄN</t>
        </is>
      </c>
      <c r="E105" t="inlineStr">
        <is>
          <t>NORRKÖPING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46955-2023 artfynd.xlsx", "A 46955-2023")</f>
        <v/>
      </c>
      <c r="T105">
        <f>HYPERLINK("https://klasma.github.io/Logging_0581/kartor/A 46955-2023 karta.png", "A 46955-2023")</f>
        <v/>
      </c>
      <c r="V105">
        <f>HYPERLINK("https://klasma.github.io/Logging_0581/klagomål/A 46955-2023 FSC-klagomål.docx", "A 46955-2023")</f>
        <v/>
      </c>
      <c r="W105">
        <f>HYPERLINK("https://klasma.github.io/Logging_0581/klagomålsmail/A 46955-2023 FSC-klagomål mail.docx", "A 46955-2023")</f>
        <v/>
      </c>
      <c r="X105">
        <f>HYPERLINK("https://klasma.github.io/Logging_0581/tillsyn/A 46955-2023 tillsynsbegäran.docx", "A 46955-2023")</f>
        <v/>
      </c>
      <c r="Y105">
        <f>HYPERLINK("https://klasma.github.io/Logging_0581/tillsynsmail/A 46955-2023 tillsynsbegäran mail.docx", "A 46955-2023")</f>
        <v/>
      </c>
    </row>
    <row r="106" ht="15" customHeight="1">
      <c r="A106" t="inlineStr">
        <is>
          <t>A 46957-2023</t>
        </is>
      </c>
      <c r="B106" s="1" t="n">
        <v>45201</v>
      </c>
      <c r="C106" s="1" t="n">
        <v>45750</v>
      </c>
      <c r="D106" t="inlineStr">
        <is>
          <t>ÖSTERGÖTLANDS LÄN</t>
        </is>
      </c>
      <c r="E106" t="inlineStr">
        <is>
          <t>NORRKÖPING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46957-2023 artfynd.xlsx", "A 46957-2023")</f>
        <v/>
      </c>
      <c r="T106">
        <f>HYPERLINK("https://klasma.github.io/Logging_0581/kartor/A 46957-2023 karta.png", "A 46957-2023")</f>
        <v/>
      </c>
      <c r="V106">
        <f>HYPERLINK("https://klasma.github.io/Logging_0581/klagomål/A 46957-2023 FSC-klagomål.docx", "A 46957-2023")</f>
        <v/>
      </c>
      <c r="W106">
        <f>HYPERLINK("https://klasma.github.io/Logging_0581/klagomålsmail/A 46957-2023 FSC-klagomål mail.docx", "A 46957-2023")</f>
        <v/>
      </c>
      <c r="X106">
        <f>HYPERLINK("https://klasma.github.io/Logging_0581/tillsyn/A 46957-2023 tillsynsbegäran.docx", "A 46957-2023")</f>
        <v/>
      </c>
      <c r="Y106">
        <f>HYPERLINK("https://klasma.github.io/Logging_0581/tillsynsmail/A 46957-2023 tillsynsbegäran mail.docx", "A 46957-2023")</f>
        <v/>
      </c>
    </row>
    <row r="107" ht="15" customHeight="1">
      <c r="A107" t="inlineStr">
        <is>
          <t>A 48586-2023</t>
        </is>
      </c>
      <c r="B107" s="1" t="n">
        <v>45208</v>
      </c>
      <c r="C107" s="1" t="n">
        <v>45750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48586-2023 artfynd.xlsx", "A 48586-2023")</f>
        <v/>
      </c>
      <c r="T107">
        <f>HYPERLINK("https://klasma.github.io/Logging_0581/kartor/A 48586-2023 karta.png", "A 48586-2023")</f>
        <v/>
      </c>
      <c r="V107">
        <f>HYPERLINK("https://klasma.github.io/Logging_0581/klagomål/A 48586-2023 FSC-klagomål.docx", "A 48586-2023")</f>
        <v/>
      </c>
      <c r="W107">
        <f>HYPERLINK("https://klasma.github.io/Logging_0581/klagomålsmail/A 48586-2023 FSC-klagomål mail.docx", "A 48586-2023")</f>
        <v/>
      </c>
      <c r="X107">
        <f>HYPERLINK("https://klasma.github.io/Logging_0581/tillsyn/A 48586-2023 tillsynsbegäran.docx", "A 48586-2023")</f>
        <v/>
      </c>
      <c r="Y107">
        <f>HYPERLINK("https://klasma.github.io/Logging_0581/tillsynsmail/A 48586-2023 tillsynsbegäran mail.docx", "A 48586-2023")</f>
        <v/>
      </c>
    </row>
    <row r="108" ht="15" customHeight="1">
      <c r="A108" t="inlineStr">
        <is>
          <t>A 51973-2023</t>
        </is>
      </c>
      <c r="B108" s="1" t="n">
        <v>45223</v>
      </c>
      <c r="C108" s="1" t="n">
        <v>45750</v>
      </c>
      <c r="D108" t="inlineStr">
        <is>
          <t>ÖSTERGÖTLANDS LÄN</t>
        </is>
      </c>
      <c r="E108" t="inlineStr">
        <is>
          <t>NORRKÖPING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51973-2023 artfynd.xlsx", "A 51973-2023")</f>
        <v/>
      </c>
      <c r="T108">
        <f>HYPERLINK("https://klasma.github.io/Logging_0581/kartor/A 51973-2023 karta.png", "A 51973-2023")</f>
        <v/>
      </c>
      <c r="V108">
        <f>HYPERLINK("https://klasma.github.io/Logging_0581/klagomål/A 51973-2023 FSC-klagomål.docx", "A 51973-2023")</f>
        <v/>
      </c>
      <c r="W108">
        <f>HYPERLINK("https://klasma.github.io/Logging_0581/klagomålsmail/A 51973-2023 FSC-klagomål mail.docx", "A 51973-2023")</f>
        <v/>
      </c>
      <c r="X108">
        <f>HYPERLINK("https://klasma.github.io/Logging_0581/tillsyn/A 51973-2023 tillsynsbegäran.docx", "A 51973-2023")</f>
        <v/>
      </c>
      <c r="Y108">
        <f>HYPERLINK("https://klasma.github.io/Logging_0581/tillsynsmail/A 51973-2023 tillsynsbegäran mail.docx", "A 51973-2023")</f>
        <v/>
      </c>
    </row>
    <row r="109" ht="15" customHeight="1">
      <c r="A109" t="inlineStr">
        <is>
          <t>A 58711-2023</t>
        </is>
      </c>
      <c r="B109" s="1" t="n">
        <v>45251</v>
      </c>
      <c r="C109" s="1" t="n">
        <v>45750</v>
      </c>
      <c r="D109" t="inlineStr">
        <is>
          <t>ÖSTERGÖTLANDS LÄN</t>
        </is>
      </c>
      <c r="E109" t="inlineStr">
        <is>
          <t>NORRKÖPING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HYPERLINK("https://klasma.github.io/Logging_0581/artfynd/A 58711-2023 artfynd.xlsx", "A 58711-2023")</f>
        <v/>
      </c>
      <c r="T109">
        <f>HYPERLINK("https://klasma.github.io/Logging_0581/kartor/A 58711-2023 karta.png", "A 58711-2023")</f>
        <v/>
      </c>
      <c r="V109">
        <f>HYPERLINK("https://klasma.github.io/Logging_0581/klagomål/A 58711-2023 FSC-klagomål.docx", "A 58711-2023")</f>
        <v/>
      </c>
      <c r="W109">
        <f>HYPERLINK("https://klasma.github.io/Logging_0581/klagomålsmail/A 58711-2023 FSC-klagomål mail.docx", "A 58711-2023")</f>
        <v/>
      </c>
      <c r="X109">
        <f>HYPERLINK("https://klasma.github.io/Logging_0581/tillsyn/A 58711-2023 tillsynsbegäran.docx", "A 58711-2023")</f>
        <v/>
      </c>
      <c r="Y109">
        <f>HYPERLINK("https://klasma.github.io/Logging_0581/tillsynsmail/A 58711-2023 tillsynsbegäran mail.docx", "A 58711-2023")</f>
        <v/>
      </c>
    </row>
    <row r="110" ht="15" customHeight="1">
      <c r="A110" t="inlineStr">
        <is>
          <t>A 59527-2023</t>
        </is>
      </c>
      <c r="B110" s="1" t="n">
        <v>45254</v>
      </c>
      <c r="C110" s="1" t="n">
        <v>45750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BillerudKorsnäs AB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59527-2023 artfynd.xlsx", "A 59527-2023")</f>
        <v/>
      </c>
      <c r="T110">
        <f>HYPERLINK("https://klasma.github.io/Logging_0581/kartor/A 59527-2023 karta.png", "A 59527-2023")</f>
        <v/>
      </c>
      <c r="V110">
        <f>HYPERLINK("https://klasma.github.io/Logging_0581/klagomål/A 59527-2023 FSC-klagomål.docx", "A 59527-2023")</f>
        <v/>
      </c>
      <c r="W110">
        <f>HYPERLINK("https://klasma.github.io/Logging_0581/klagomålsmail/A 59527-2023 FSC-klagomål mail.docx", "A 59527-2023")</f>
        <v/>
      </c>
      <c r="X110">
        <f>HYPERLINK("https://klasma.github.io/Logging_0581/tillsyn/A 59527-2023 tillsynsbegäran.docx", "A 59527-2023")</f>
        <v/>
      </c>
      <c r="Y110">
        <f>HYPERLINK("https://klasma.github.io/Logging_0581/tillsynsmail/A 59527-2023 tillsynsbegäran mail.docx", "A 59527-2023")</f>
        <v/>
      </c>
    </row>
    <row r="111" ht="15" customHeight="1">
      <c r="A111" t="inlineStr">
        <is>
          <t>A 63966-2023</t>
        </is>
      </c>
      <c r="B111" s="1" t="n">
        <v>45278</v>
      </c>
      <c r="C111" s="1" t="n">
        <v>45750</v>
      </c>
      <c r="D111" t="inlineStr">
        <is>
          <t>ÖSTERGÖTLANDS LÄN</t>
        </is>
      </c>
      <c r="E111" t="inlineStr">
        <is>
          <t>NORRKÖPING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63966-2023 artfynd.xlsx", "A 63966-2023")</f>
        <v/>
      </c>
      <c r="T111">
        <f>HYPERLINK("https://klasma.github.io/Logging_0581/kartor/A 63966-2023 karta.png", "A 63966-2023")</f>
        <v/>
      </c>
      <c r="V111">
        <f>HYPERLINK("https://klasma.github.io/Logging_0581/klagomål/A 63966-2023 FSC-klagomål.docx", "A 63966-2023")</f>
        <v/>
      </c>
      <c r="W111">
        <f>HYPERLINK("https://klasma.github.io/Logging_0581/klagomålsmail/A 63966-2023 FSC-klagomål mail.docx", "A 63966-2023")</f>
        <v/>
      </c>
      <c r="X111">
        <f>HYPERLINK("https://klasma.github.io/Logging_0581/tillsyn/A 63966-2023 tillsynsbegäran.docx", "A 63966-2023")</f>
        <v/>
      </c>
      <c r="Y111">
        <f>HYPERLINK("https://klasma.github.io/Logging_0581/tillsynsmail/A 63966-2023 tillsynsbegäran mail.docx", "A 63966-2023")</f>
        <v/>
      </c>
    </row>
    <row r="112" ht="15" customHeight="1">
      <c r="A112" t="inlineStr">
        <is>
          <t>A 1734-2024</t>
        </is>
      </c>
      <c r="B112" s="1" t="n">
        <v>45307</v>
      </c>
      <c r="C112" s="1" t="n">
        <v>45750</v>
      </c>
      <c r="D112" t="inlineStr">
        <is>
          <t>ÖSTERGÖTLANDS LÄN</t>
        </is>
      </c>
      <c r="E112" t="inlineStr">
        <is>
          <t>NORRKÖPING</t>
        </is>
      </c>
      <c r="G112" t="n">
        <v>7.5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Gröngöling</t>
        </is>
      </c>
      <c r="S112">
        <f>HYPERLINK("https://klasma.github.io/Logging_0581/artfynd/A 1734-2024 artfynd.xlsx", "A 1734-2024")</f>
        <v/>
      </c>
      <c r="T112">
        <f>HYPERLINK("https://klasma.github.io/Logging_0581/kartor/A 1734-2024 karta.png", "A 1734-2024")</f>
        <v/>
      </c>
      <c r="V112">
        <f>HYPERLINK("https://klasma.github.io/Logging_0581/klagomål/A 1734-2024 FSC-klagomål.docx", "A 1734-2024")</f>
        <v/>
      </c>
      <c r="W112">
        <f>HYPERLINK("https://klasma.github.io/Logging_0581/klagomålsmail/A 1734-2024 FSC-klagomål mail.docx", "A 1734-2024")</f>
        <v/>
      </c>
      <c r="X112">
        <f>HYPERLINK("https://klasma.github.io/Logging_0581/tillsyn/A 1734-2024 tillsynsbegäran.docx", "A 1734-2024")</f>
        <v/>
      </c>
      <c r="Y112">
        <f>HYPERLINK("https://klasma.github.io/Logging_0581/tillsynsmail/A 1734-2024 tillsynsbegäran mail.docx", "A 1734-2024")</f>
        <v/>
      </c>
      <c r="Z112">
        <f>HYPERLINK("https://klasma.github.io/Logging_0581/fåglar/A 1734-2024 prioriterade fågelarter.docx", "A 1734-2024")</f>
        <v/>
      </c>
    </row>
    <row r="113" ht="15" customHeight="1">
      <c r="A113" t="inlineStr">
        <is>
          <t>A 6116-2024</t>
        </is>
      </c>
      <c r="B113" s="1" t="n">
        <v>45337</v>
      </c>
      <c r="C113" s="1" t="n">
        <v>45750</v>
      </c>
      <c r="D113" t="inlineStr">
        <is>
          <t>ÖSTERGÖTLANDS LÄN</t>
        </is>
      </c>
      <c r="E113" t="inlineStr">
        <is>
          <t>NORRKÖPING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HYPERLINK("https://klasma.github.io/Logging_0581/artfynd/A 6116-2024 artfynd.xlsx", "A 6116-2024")</f>
        <v/>
      </c>
      <c r="T113">
        <f>HYPERLINK("https://klasma.github.io/Logging_0581/kartor/A 6116-2024 karta.png", "A 6116-2024")</f>
        <v/>
      </c>
      <c r="V113">
        <f>HYPERLINK("https://klasma.github.io/Logging_0581/klagomål/A 6116-2024 FSC-klagomål.docx", "A 6116-2024")</f>
        <v/>
      </c>
      <c r="W113">
        <f>HYPERLINK("https://klasma.github.io/Logging_0581/klagomålsmail/A 6116-2024 FSC-klagomål mail.docx", "A 6116-2024")</f>
        <v/>
      </c>
      <c r="X113">
        <f>HYPERLINK("https://klasma.github.io/Logging_0581/tillsyn/A 6116-2024 tillsynsbegäran.docx", "A 6116-2024")</f>
        <v/>
      </c>
      <c r="Y113">
        <f>HYPERLINK("https://klasma.github.io/Logging_0581/tillsynsmail/A 6116-2024 tillsynsbegäran mail.docx", "A 6116-2024")</f>
        <v/>
      </c>
    </row>
    <row r="114" ht="15" customHeight="1">
      <c r="A114" t="inlineStr">
        <is>
          <t>A 7650-2024</t>
        </is>
      </c>
      <c r="B114" s="1" t="n">
        <v>45348</v>
      </c>
      <c r="C114" s="1" t="n">
        <v>45750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7650-2024 artfynd.xlsx", "A 7650-2024")</f>
        <v/>
      </c>
      <c r="T114">
        <f>HYPERLINK("https://klasma.github.io/Logging_0581/kartor/A 7650-2024 karta.png", "A 7650-2024")</f>
        <v/>
      </c>
      <c r="V114">
        <f>HYPERLINK("https://klasma.github.io/Logging_0581/klagomål/A 7650-2024 FSC-klagomål.docx", "A 7650-2024")</f>
        <v/>
      </c>
      <c r="W114">
        <f>HYPERLINK("https://klasma.github.io/Logging_0581/klagomålsmail/A 7650-2024 FSC-klagomål mail.docx", "A 7650-2024")</f>
        <v/>
      </c>
      <c r="X114">
        <f>HYPERLINK("https://klasma.github.io/Logging_0581/tillsyn/A 7650-2024 tillsynsbegäran.docx", "A 7650-2024")</f>
        <v/>
      </c>
      <c r="Y114">
        <f>HYPERLINK("https://klasma.github.io/Logging_0581/tillsynsmail/A 7650-2024 tillsynsbegäran mail.docx", "A 7650-2024")</f>
        <v/>
      </c>
    </row>
    <row r="115" ht="15" customHeight="1">
      <c r="A115" t="inlineStr">
        <is>
          <t>A 7733-2024</t>
        </is>
      </c>
      <c r="B115" s="1" t="n">
        <v>45349</v>
      </c>
      <c r="C115" s="1" t="n">
        <v>45750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7733-2024 artfynd.xlsx", "A 7733-2024")</f>
        <v/>
      </c>
      <c r="T115">
        <f>HYPERLINK("https://klasma.github.io/Logging_0581/kartor/A 7733-2024 karta.png", "A 7733-2024")</f>
        <v/>
      </c>
      <c r="V115">
        <f>HYPERLINK("https://klasma.github.io/Logging_0581/klagomål/A 7733-2024 FSC-klagomål.docx", "A 7733-2024")</f>
        <v/>
      </c>
      <c r="W115">
        <f>HYPERLINK("https://klasma.github.io/Logging_0581/klagomålsmail/A 7733-2024 FSC-klagomål mail.docx", "A 7733-2024")</f>
        <v/>
      </c>
      <c r="X115">
        <f>HYPERLINK("https://klasma.github.io/Logging_0581/tillsyn/A 7733-2024 tillsynsbegäran.docx", "A 7733-2024")</f>
        <v/>
      </c>
      <c r="Y115">
        <f>HYPERLINK("https://klasma.github.io/Logging_0581/tillsynsmail/A 7733-2024 tillsynsbegäran mail.docx", "A 7733-2024")</f>
        <v/>
      </c>
    </row>
    <row r="116" ht="15" customHeight="1">
      <c r="A116" t="inlineStr">
        <is>
          <t>A 8319-2024</t>
        </is>
      </c>
      <c r="B116" s="1" t="n">
        <v>45352</v>
      </c>
      <c r="C116" s="1" t="n">
        <v>45750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HYPERLINK("https://klasma.github.io/Logging_0581/artfynd/A 8319-2024 artfynd.xlsx", "A 8319-2024")</f>
        <v/>
      </c>
      <c r="T116">
        <f>HYPERLINK("https://klasma.github.io/Logging_0581/kartor/A 8319-2024 karta.png", "A 8319-2024")</f>
        <v/>
      </c>
      <c r="U116">
        <f>HYPERLINK("https://klasma.github.io/Logging_0581/knärot/A 8319-2024 karta knärot.png", "A 8319-2024")</f>
        <v/>
      </c>
      <c r="V116">
        <f>HYPERLINK("https://klasma.github.io/Logging_0581/klagomål/A 8319-2024 FSC-klagomål.docx", "A 8319-2024")</f>
        <v/>
      </c>
      <c r="W116">
        <f>HYPERLINK("https://klasma.github.io/Logging_0581/klagomålsmail/A 8319-2024 FSC-klagomål mail.docx", "A 8319-2024")</f>
        <v/>
      </c>
      <c r="X116">
        <f>HYPERLINK("https://klasma.github.io/Logging_0581/tillsyn/A 8319-2024 tillsynsbegäran.docx", "A 8319-2024")</f>
        <v/>
      </c>
      <c r="Y116">
        <f>HYPERLINK("https://klasma.github.io/Logging_0581/tillsynsmail/A 8319-2024 tillsynsbegäran mail.docx", "A 8319-2024")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45750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12145-2024</t>
        </is>
      </c>
      <c r="B118" s="1" t="n">
        <v>45376</v>
      </c>
      <c r="C118" s="1" t="n">
        <v>45750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10.4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Gullgröppa</t>
        </is>
      </c>
      <c r="S118">
        <f>HYPERLINK("https://klasma.github.io/Logging_0581/artfynd/A 12145-2024 artfynd.xlsx", "A 12145-2024")</f>
        <v/>
      </c>
      <c r="T118">
        <f>HYPERLINK("https://klasma.github.io/Logging_0581/kartor/A 12145-2024 karta.png", "A 12145-2024")</f>
        <v/>
      </c>
      <c r="V118">
        <f>HYPERLINK("https://klasma.github.io/Logging_0581/klagomål/A 12145-2024 FSC-klagomål.docx", "A 12145-2024")</f>
        <v/>
      </c>
      <c r="W118">
        <f>HYPERLINK("https://klasma.github.io/Logging_0581/klagomålsmail/A 12145-2024 FSC-klagomål mail.docx", "A 12145-2024")</f>
        <v/>
      </c>
      <c r="X118">
        <f>HYPERLINK("https://klasma.github.io/Logging_0581/tillsyn/A 12145-2024 tillsynsbegäran.docx", "A 12145-2024")</f>
        <v/>
      </c>
      <c r="Y118">
        <f>HYPERLINK("https://klasma.github.io/Logging_0581/tillsynsmail/A 12145-2024 tillsynsbegäran mail.docx", "A 12145-2024")</f>
        <v/>
      </c>
    </row>
    <row r="119" ht="15" customHeight="1">
      <c r="A119" t="inlineStr">
        <is>
          <t>A 16610-2024</t>
        </is>
      </c>
      <c r="B119" s="1" t="n">
        <v>45408</v>
      </c>
      <c r="C119" s="1" t="n">
        <v>45750</v>
      </c>
      <c r="D119" t="inlineStr">
        <is>
          <t>ÖSTERGÖTLANDS LÄN</t>
        </is>
      </c>
      <c r="E119" t="inlineStr">
        <is>
          <t>NORRKÖPING</t>
        </is>
      </c>
      <c r="G119" t="n">
        <v>6.2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HYPERLINK("https://klasma.github.io/Logging_0581/artfynd/A 16610-2024 artfynd.xlsx", "A 16610-2024")</f>
        <v/>
      </c>
      <c r="T119">
        <f>HYPERLINK("https://klasma.github.io/Logging_0581/kartor/A 16610-2024 karta.png", "A 16610-2024")</f>
        <v/>
      </c>
      <c r="U119">
        <f>HYPERLINK("https://klasma.github.io/Logging_0581/knärot/A 16610-2024 karta knärot.png", "A 16610-2024")</f>
        <v/>
      </c>
      <c r="V119">
        <f>HYPERLINK("https://klasma.github.io/Logging_0581/klagomål/A 16610-2024 FSC-klagomål.docx", "A 16610-2024")</f>
        <v/>
      </c>
      <c r="W119">
        <f>HYPERLINK("https://klasma.github.io/Logging_0581/klagomålsmail/A 16610-2024 FSC-klagomål mail.docx", "A 16610-2024")</f>
        <v/>
      </c>
      <c r="X119">
        <f>HYPERLINK("https://klasma.github.io/Logging_0581/tillsyn/A 16610-2024 tillsynsbegäran.docx", "A 16610-2024")</f>
        <v/>
      </c>
      <c r="Y119">
        <f>HYPERLINK("https://klasma.github.io/Logging_0581/tillsynsmail/A 16610-2024 tillsynsbegäran mail.docx", "A 16610-2024")</f>
        <v/>
      </c>
    </row>
    <row r="120" ht="15" customHeight="1">
      <c r="A120" t="inlineStr">
        <is>
          <t>A 16867-2024</t>
        </is>
      </c>
      <c r="B120" s="1" t="n">
        <v>45411</v>
      </c>
      <c r="C120" s="1" t="n">
        <v>45750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Stare</t>
        </is>
      </c>
      <c r="S120">
        <f>HYPERLINK("https://klasma.github.io/Logging_0581/artfynd/A 16867-2024 artfynd.xlsx", "A 16867-2024")</f>
        <v/>
      </c>
      <c r="T120">
        <f>HYPERLINK("https://klasma.github.io/Logging_0581/kartor/A 16867-2024 karta.png", "A 16867-2024")</f>
        <v/>
      </c>
      <c r="V120">
        <f>HYPERLINK("https://klasma.github.io/Logging_0581/klagomål/A 16867-2024 FSC-klagomål.docx", "A 16867-2024")</f>
        <v/>
      </c>
      <c r="W120">
        <f>HYPERLINK("https://klasma.github.io/Logging_0581/klagomålsmail/A 16867-2024 FSC-klagomål mail.docx", "A 16867-2024")</f>
        <v/>
      </c>
      <c r="X120">
        <f>HYPERLINK("https://klasma.github.io/Logging_0581/tillsyn/A 16867-2024 tillsynsbegäran.docx", "A 16867-2024")</f>
        <v/>
      </c>
      <c r="Y120">
        <f>HYPERLINK("https://klasma.github.io/Logging_0581/tillsynsmail/A 16867-2024 tillsynsbegäran mail.docx", "A 16867-2024")</f>
        <v/>
      </c>
    </row>
    <row r="121" ht="15" customHeight="1">
      <c r="A121" t="inlineStr">
        <is>
          <t>A 18267-2024</t>
        </is>
      </c>
      <c r="B121" s="1" t="n">
        <v>45421</v>
      </c>
      <c r="C121" s="1" t="n">
        <v>45750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HYPERLINK("https://klasma.github.io/Logging_0581/artfynd/A 18267-2024 artfynd.xlsx", "A 18267-2024")</f>
        <v/>
      </c>
      <c r="T121">
        <f>HYPERLINK("https://klasma.github.io/Logging_0581/kartor/A 18267-2024 karta.png", "A 18267-2024")</f>
        <v/>
      </c>
      <c r="V121">
        <f>HYPERLINK("https://klasma.github.io/Logging_0581/klagomål/A 18267-2024 FSC-klagomål.docx", "A 18267-2024")</f>
        <v/>
      </c>
      <c r="W121">
        <f>HYPERLINK("https://klasma.github.io/Logging_0581/klagomålsmail/A 18267-2024 FSC-klagomål mail.docx", "A 18267-2024")</f>
        <v/>
      </c>
      <c r="X121">
        <f>HYPERLINK("https://klasma.github.io/Logging_0581/tillsyn/A 18267-2024 tillsynsbegäran.docx", "A 18267-2024")</f>
        <v/>
      </c>
      <c r="Y121">
        <f>HYPERLINK("https://klasma.github.io/Logging_0581/tillsynsmail/A 18267-2024 tillsynsbegäran mail.docx", "A 18267-2024")</f>
        <v/>
      </c>
    </row>
    <row r="122" ht="15" customHeight="1">
      <c r="A122" t="inlineStr">
        <is>
          <t>A 19256-2024</t>
        </is>
      </c>
      <c r="B122" s="1" t="n">
        <v>45428</v>
      </c>
      <c r="C122" s="1" t="n">
        <v>45750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Norrlandslav</t>
        </is>
      </c>
      <c r="S122">
        <f>HYPERLINK("https://klasma.github.io/Logging_0581/artfynd/A 19256-2024 artfynd.xlsx", "A 19256-2024")</f>
        <v/>
      </c>
      <c r="T122">
        <f>HYPERLINK("https://klasma.github.io/Logging_0581/kartor/A 19256-2024 karta.png", "A 19256-2024")</f>
        <v/>
      </c>
      <c r="V122">
        <f>HYPERLINK("https://klasma.github.io/Logging_0581/klagomål/A 19256-2024 FSC-klagomål.docx", "A 19256-2024")</f>
        <v/>
      </c>
      <c r="W122">
        <f>HYPERLINK("https://klasma.github.io/Logging_0581/klagomålsmail/A 19256-2024 FSC-klagomål mail.docx", "A 19256-2024")</f>
        <v/>
      </c>
      <c r="X122">
        <f>HYPERLINK("https://klasma.github.io/Logging_0581/tillsyn/A 19256-2024 tillsynsbegäran.docx", "A 19256-2024")</f>
        <v/>
      </c>
      <c r="Y122">
        <f>HYPERLINK("https://klasma.github.io/Logging_0581/tillsynsmail/A 19256-2024 tillsynsbegäran mail.docx", "A 19256-2024")</f>
        <v/>
      </c>
    </row>
    <row r="123" ht="15" customHeight="1">
      <c r="A123" t="inlineStr">
        <is>
          <t>A 20442-2024</t>
        </is>
      </c>
      <c r="B123" s="1" t="n">
        <v>45435</v>
      </c>
      <c r="C123" s="1" t="n">
        <v>45750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HYPERLINK("https://klasma.github.io/Logging_0581/artfynd/A 20442-2024 artfynd.xlsx", "A 20442-2024")</f>
        <v/>
      </c>
      <c r="T123">
        <f>HYPERLINK("https://klasma.github.io/Logging_0581/kartor/A 20442-2024 karta.png", "A 20442-2024")</f>
        <v/>
      </c>
      <c r="V123">
        <f>HYPERLINK("https://klasma.github.io/Logging_0581/klagomål/A 20442-2024 FSC-klagomål.docx", "A 20442-2024")</f>
        <v/>
      </c>
      <c r="W123">
        <f>HYPERLINK("https://klasma.github.io/Logging_0581/klagomålsmail/A 20442-2024 FSC-klagomål mail.docx", "A 20442-2024")</f>
        <v/>
      </c>
      <c r="X123">
        <f>HYPERLINK("https://klasma.github.io/Logging_0581/tillsyn/A 20442-2024 tillsynsbegäran.docx", "A 20442-2024")</f>
        <v/>
      </c>
      <c r="Y123">
        <f>HYPERLINK("https://klasma.github.io/Logging_0581/tillsynsmail/A 20442-2024 tillsynsbegäran mail.docx", "A 20442-2024")</f>
        <v/>
      </c>
    </row>
    <row r="124" ht="15" customHeight="1">
      <c r="A124" t="inlineStr">
        <is>
          <t>A 30318-2024</t>
        </is>
      </c>
      <c r="B124" s="1" t="n">
        <v>45490</v>
      </c>
      <c r="C124" s="1" t="n">
        <v>45750</v>
      </c>
      <c r="D124" t="inlineStr">
        <is>
          <t>ÖSTERGÖTLANDS LÄN</t>
        </is>
      </c>
      <c r="E124" t="inlineStr">
        <is>
          <t>NORRKÖPING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HYPERLINK("https://klasma.github.io/Logging_0581/artfynd/A 30318-2024 artfynd.xlsx", "A 30318-2024")</f>
        <v/>
      </c>
      <c r="T124">
        <f>HYPERLINK("https://klasma.github.io/Logging_0581/kartor/A 30318-2024 karta.png", "A 30318-2024")</f>
        <v/>
      </c>
      <c r="V124">
        <f>HYPERLINK("https://klasma.github.io/Logging_0581/klagomål/A 30318-2024 FSC-klagomål.docx", "A 30318-2024")</f>
        <v/>
      </c>
      <c r="W124">
        <f>HYPERLINK("https://klasma.github.io/Logging_0581/klagomålsmail/A 30318-2024 FSC-klagomål mail.docx", "A 30318-2024")</f>
        <v/>
      </c>
      <c r="X124">
        <f>HYPERLINK("https://klasma.github.io/Logging_0581/tillsyn/A 30318-2024 tillsynsbegäran.docx", "A 30318-2024")</f>
        <v/>
      </c>
      <c r="Y124">
        <f>HYPERLINK("https://klasma.github.io/Logging_0581/tillsynsmail/A 30318-2024 tillsynsbegäran mail.docx", "A 30318-2024")</f>
        <v/>
      </c>
    </row>
    <row r="125" ht="15" customHeight="1">
      <c r="A125" t="inlineStr">
        <is>
          <t>A 38876-2024</t>
        </is>
      </c>
      <c r="B125" s="1" t="n">
        <v>45547</v>
      </c>
      <c r="C125" s="1" t="n">
        <v>45750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15.1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Mindre märgborre</t>
        </is>
      </c>
      <c r="S125">
        <f>HYPERLINK("https://klasma.github.io/Logging_0581/artfynd/A 38876-2024 artfynd.xlsx", "A 38876-2024")</f>
        <v/>
      </c>
      <c r="T125">
        <f>HYPERLINK("https://klasma.github.io/Logging_0581/kartor/A 38876-2024 karta.png", "A 38876-2024")</f>
        <v/>
      </c>
      <c r="V125">
        <f>HYPERLINK("https://klasma.github.io/Logging_0581/klagomål/A 38876-2024 FSC-klagomål.docx", "A 38876-2024")</f>
        <v/>
      </c>
      <c r="W125">
        <f>HYPERLINK("https://klasma.github.io/Logging_0581/klagomålsmail/A 38876-2024 FSC-klagomål mail.docx", "A 38876-2024")</f>
        <v/>
      </c>
      <c r="X125">
        <f>HYPERLINK("https://klasma.github.io/Logging_0581/tillsyn/A 38876-2024 tillsynsbegäran.docx", "A 38876-2024")</f>
        <v/>
      </c>
      <c r="Y125">
        <f>HYPERLINK("https://klasma.github.io/Logging_0581/tillsynsmail/A 38876-2024 tillsynsbegäran mail.docx", "A 38876-2024")</f>
        <v/>
      </c>
    </row>
    <row r="126" ht="15" customHeight="1">
      <c r="A126" t="inlineStr">
        <is>
          <t>A 45953-2024</t>
        </is>
      </c>
      <c r="B126" s="1" t="n">
        <v>45580</v>
      </c>
      <c r="C126" s="1" t="n">
        <v>45750</v>
      </c>
      <c r="D126" t="inlineStr">
        <is>
          <t>ÖSTERGÖTLANDS LÄN</t>
        </is>
      </c>
      <c r="E126" t="inlineStr">
        <is>
          <t>NORRKÖPING</t>
        </is>
      </c>
      <c r="G126" t="n">
        <v>1.9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HYPERLINK("https://klasma.github.io/Logging_0581/artfynd/A 45953-2024 artfynd.xlsx", "A 45953-2024")</f>
        <v/>
      </c>
      <c r="T126">
        <f>HYPERLINK("https://klasma.github.io/Logging_0581/kartor/A 45953-2024 karta.png", "A 45953-2024")</f>
        <v/>
      </c>
      <c r="V126">
        <f>HYPERLINK("https://klasma.github.io/Logging_0581/klagomål/A 45953-2024 FSC-klagomål.docx", "A 45953-2024")</f>
        <v/>
      </c>
      <c r="W126">
        <f>HYPERLINK("https://klasma.github.io/Logging_0581/klagomålsmail/A 45953-2024 FSC-klagomål mail.docx", "A 45953-2024")</f>
        <v/>
      </c>
      <c r="X126">
        <f>HYPERLINK("https://klasma.github.io/Logging_0581/tillsyn/A 45953-2024 tillsynsbegäran.docx", "A 45953-2024")</f>
        <v/>
      </c>
      <c r="Y126">
        <f>HYPERLINK("https://klasma.github.io/Logging_0581/tillsynsmail/A 45953-2024 tillsynsbegäran mail.docx", "A 45953-2024")</f>
        <v/>
      </c>
    </row>
    <row r="127" ht="15" customHeight="1">
      <c r="A127" t="inlineStr">
        <is>
          <t>A 46696-2024</t>
        </is>
      </c>
      <c r="B127" s="1" t="n">
        <v>45583</v>
      </c>
      <c r="C127" s="1" t="n">
        <v>45750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HYPERLINK("https://klasma.github.io/Logging_0581/artfynd/A 46696-2024 artfynd.xlsx", "A 46696-2024")</f>
        <v/>
      </c>
      <c r="T127">
        <f>HYPERLINK("https://klasma.github.io/Logging_0581/kartor/A 46696-2024 karta.png", "A 46696-2024")</f>
        <v/>
      </c>
      <c r="V127">
        <f>HYPERLINK("https://klasma.github.io/Logging_0581/klagomål/A 46696-2024 FSC-klagomål.docx", "A 46696-2024")</f>
        <v/>
      </c>
      <c r="W127">
        <f>HYPERLINK("https://klasma.github.io/Logging_0581/klagomålsmail/A 46696-2024 FSC-klagomål mail.docx", "A 46696-2024")</f>
        <v/>
      </c>
      <c r="X127">
        <f>HYPERLINK("https://klasma.github.io/Logging_0581/tillsyn/A 46696-2024 tillsynsbegäran.docx", "A 46696-2024")</f>
        <v/>
      </c>
      <c r="Y127">
        <f>HYPERLINK("https://klasma.github.io/Logging_0581/tillsynsmail/A 46696-2024 tillsynsbegäran mail.docx", "A 46696-2024")</f>
        <v/>
      </c>
    </row>
    <row r="128" ht="15" customHeight="1">
      <c r="A128" t="inlineStr">
        <is>
          <t>A 46640-2024</t>
        </is>
      </c>
      <c r="B128" s="1" t="n">
        <v>45583</v>
      </c>
      <c r="C128" s="1" t="n">
        <v>45750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HYPERLINK("https://klasma.github.io/Logging_0581/artfynd/A 46640-2024 artfynd.xlsx", "A 46640-2024")</f>
        <v/>
      </c>
      <c r="T128">
        <f>HYPERLINK("https://klasma.github.io/Logging_0581/kartor/A 46640-2024 karta.png", "A 46640-2024")</f>
        <v/>
      </c>
      <c r="V128">
        <f>HYPERLINK("https://klasma.github.io/Logging_0581/klagomål/A 46640-2024 FSC-klagomål.docx", "A 46640-2024")</f>
        <v/>
      </c>
      <c r="W128">
        <f>HYPERLINK("https://klasma.github.io/Logging_0581/klagomålsmail/A 46640-2024 FSC-klagomål mail.docx", "A 46640-2024")</f>
        <v/>
      </c>
      <c r="X128">
        <f>HYPERLINK("https://klasma.github.io/Logging_0581/tillsyn/A 46640-2024 tillsynsbegäran.docx", "A 46640-2024")</f>
        <v/>
      </c>
      <c r="Y128">
        <f>HYPERLINK("https://klasma.github.io/Logging_0581/tillsynsmail/A 46640-2024 tillsynsbegäran mail.docx", "A 46640-2024")</f>
        <v/>
      </c>
    </row>
    <row r="129" ht="15" customHeight="1">
      <c r="A129" t="inlineStr">
        <is>
          <t>A 59830-2024</t>
        </is>
      </c>
      <c r="B129" s="1" t="n">
        <v>45639</v>
      </c>
      <c r="C129" s="1" t="n">
        <v>45750</v>
      </c>
      <c r="D129" t="inlineStr">
        <is>
          <t>ÖSTERGÖTLANDS LÄN</t>
        </is>
      </c>
      <c r="E129" t="inlineStr">
        <is>
          <t>NORRKÖPING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Kattfotslav</t>
        </is>
      </c>
      <c r="S129">
        <f>HYPERLINK("https://klasma.github.io/Logging_0581/artfynd/A 59830-2024 artfynd.xlsx", "A 59830-2024")</f>
        <v/>
      </c>
      <c r="T129">
        <f>HYPERLINK("https://klasma.github.io/Logging_0581/kartor/A 59830-2024 karta.png", "A 59830-2024")</f>
        <v/>
      </c>
      <c r="V129">
        <f>HYPERLINK("https://klasma.github.io/Logging_0581/klagomål/A 59830-2024 FSC-klagomål.docx", "A 59830-2024")</f>
        <v/>
      </c>
      <c r="W129">
        <f>HYPERLINK("https://klasma.github.io/Logging_0581/klagomålsmail/A 59830-2024 FSC-klagomål mail.docx", "A 59830-2024")</f>
        <v/>
      </c>
      <c r="X129">
        <f>HYPERLINK("https://klasma.github.io/Logging_0581/tillsyn/A 59830-2024 tillsynsbegäran.docx", "A 59830-2024")</f>
        <v/>
      </c>
      <c r="Y129">
        <f>HYPERLINK("https://klasma.github.io/Logging_0581/tillsynsmail/A 59830-2024 tillsynsbegäran mail.docx", "A 59830-2024")</f>
        <v/>
      </c>
    </row>
    <row r="130" ht="15" customHeight="1">
      <c r="A130" t="inlineStr">
        <is>
          <t>A 7316-2025</t>
        </is>
      </c>
      <c r="B130" s="1" t="n">
        <v>45702</v>
      </c>
      <c r="C130" s="1" t="n">
        <v>45750</v>
      </c>
      <c r="D130" t="inlineStr">
        <is>
          <t>ÖSTERGÖTLANDS LÄN</t>
        </is>
      </c>
      <c r="E130" t="inlineStr">
        <is>
          <t>NORRKÖPING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Vinterhämpling</t>
        </is>
      </c>
      <c r="S130">
        <f>HYPERLINK("https://klasma.github.io/Logging_0581/artfynd/A 7316-2025 artfynd.xlsx", "A 7316-2025")</f>
        <v/>
      </c>
      <c r="T130">
        <f>HYPERLINK("https://klasma.github.io/Logging_0581/kartor/A 7316-2025 karta.png", "A 7316-2025")</f>
        <v/>
      </c>
      <c r="V130">
        <f>HYPERLINK("https://klasma.github.io/Logging_0581/klagomål/A 7316-2025 FSC-klagomål.docx", "A 7316-2025")</f>
        <v/>
      </c>
      <c r="W130">
        <f>HYPERLINK("https://klasma.github.io/Logging_0581/klagomålsmail/A 7316-2025 FSC-klagomål mail.docx", "A 7316-2025")</f>
        <v/>
      </c>
      <c r="X130">
        <f>HYPERLINK("https://klasma.github.io/Logging_0581/tillsyn/A 7316-2025 tillsynsbegäran.docx", "A 7316-2025")</f>
        <v/>
      </c>
      <c r="Y130">
        <f>HYPERLINK("https://klasma.github.io/Logging_0581/tillsynsmail/A 7316-2025 tillsynsbegäran mail.docx", "A 7316-2025")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45750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HYPERLINK("https://klasma.github.io/Logging_050581/artfynd/A 11142-2025 artfynd.xlsx", "A 11142-2025")</f>
        <v/>
      </c>
      <c r="T131">
        <f>HYPERLINK("https://klasma.github.io/Logging_050581/kartor/A 11142-2025 karta.png", "A 11142-2025")</f>
        <v/>
      </c>
      <c r="V131">
        <f>HYPERLINK("https://klasma.github.io/Logging_050581/klagomål/A 11142-2025 FSC-klagomål.docx", "A 11142-2025")</f>
        <v/>
      </c>
      <c r="W131">
        <f>HYPERLINK("https://klasma.github.io/Logging_050581/klagomålsmail/A 11142-2025 FSC-klagomål mail.docx", "A 11142-2025")</f>
        <v/>
      </c>
      <c r="X131">
        <f>HYPERLINK("https://klasma.github.io/Logging_050581/tillsyn/A 11142-2025 tillsynsbegäran.docx", "A 11142-2025")</f>
        <v/>
      </c>
      <c r="Y131">
        <f>HYPERLINK("https://klasma.github.io/Logging_050581/tillsynsmail/A 11142-2025 tillsynsbegäran mail.docx", "A 11142-2025")</f>
        <v/>
      </c>
    </row>
    <row r="132" ht="15" customHeight="1">
      <c r="A132" t="inlineStr">
        <is>
          <t>A 11077-2025</t>
        </is>
      </c>
      <c r="B132" s="1" t="n">
        <v>45723</v>
      </c>
      <c r="C132" s="1" t="n">
        <v>45750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HYPERLINK("https://klasma.github.io/Logging_050581/artfynd/A 11077-2025 artfynd.xlsx", "A 11077-2025")</f>
        <v/>
      </c>
      <c r="T132">
        <f>HYPERLINK("https://klasma.github.io/Logging_050581/kartor/A 11077-2025 karta.png", "A 11077-2025")</f>
        <v/>
      </c>
      <c r="U132">
        <f>HYPERLINK("https://klasma.github.io/Logging_050581/knärot/A 11077-2025 karta knärot.png", "A 11077-2025")</f>
        <v/>
      </c>
      <c r="V132">
        <f>HYPERLINK("https://klasma.github.io/Logging_050581/klagomål/A 11077-2025 FSC-klagomål.docx", "A 11077-2025")</f>
        <v/>
      </c>
      <c r="W132">
        <f>HYPERLINK("https://klasma.github.io/Logging_050581/klagomålsmail/A 11077-2025 FSC-klagomål mail.docx", "A 11077-2025")</f>
        <v/>
      </c>
      <c r="X132">
        <f>HYPERLINK("https://klasma.github.io/Logging_050581/tillsyn/A 11077-2025 tillsynsbegäran.docx", "A 11077-2025")</f>
        <v/>
      </c>
      <c r="Y132">
        <f>HYPERLINK("https://klasma.github.io/Logging_050581/tillsynsmail/A 11077-2025 tillsynsbegäran mail.docx", "A 11077-2025")</f>
        <v/>
      </c>
    </row>
    <row r="133" ht="15" customHeight="1">
      <c r="A133" t="inlineStr">
        <is>
          <t>A 11085-2025</t>
        </is>
      </c>
      <c r="B133" s="1" t="n">
        <v>45723</v>
      </c>
      <c r="C133" s="1" t="n">
        <v>45750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HYPERLINK("https://klasma.github.io/Logging_050581/artfynd/A 11085-2025 artfynd.xlsx", "A 11085-2025")</f>
        <v/>
      </c>
      <c r="T133">
        <f>HYPERLINK("https://klasma.github.io/Logging_050581/kartor/A 11085-2025 karta.png", "A 11085-2025")</f>
        <v/>
      </c>
      <c r="V133">
        <f>HYPERLINK("https://klasma.github.io/Logging_050581/klagomål/A 11085-2025 FSC-klagomål.docx", "A 11085-2025")</f>
        <v/>
      </c>
      <c r="W133">
        <f>HYPERLINK("https://klasma.github.io/Logging_050581/klagomålsmail/A 11085-2025 FSC-klagomål mail.docx", "A 11085-2025")</f>
        <v/>
      </c>
      <c r="X133">
        <f>HYPERLINK("https://klasma.github.io/Logging_050581/tillsyn/A 11085-2025 tillsynsbegäran.docx", "A 11085-2025")</f>
        <v/>
      </c>
      <c r="Y133">
        <f>HYPERLINK("https://klasma.github.io/Logging_050581/tillsynsmail/A 11085-2025 tillsynsbegäran mail.docx", "A 11085-2025")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45750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HYPERLINK("https://klasma.github.io/Logging_050581/artfynd/A 14636-2025 artfynd.xlsx", "A 14636-2025")</f>
        <v/>
      </c>
      <c r="T134">
        <f>HYPERLINK("https://klasma.github.io/Logging_050581/kartor/A 14636-2025 karta.png", "A 14636-2025")</f>
        <v/>
      </c>
      <c r="V134">
        <f>HYPERLINK("https://klasma.github.io/Logging_050581/klagomål/A 14636-2025 FSC-klagomål.docx", "A 14636-2025")</f>
        <v/>
      </c>
      <c r="W134">
        <f>HYPERLINK("https://klasma.github.io/Logging_050581/klagomålsmail/A 14636-2025 FSC-klagomål mail.docx", "A 14636-2025")</f>
        <v/>
      </c>
      <c r="X134">
        <f>HYPERLINK("https://klasma.github.io/Logging_050581/tillsyn/A 14636-2025 tillsynsbegäran.docx", "A 14636-2025")</f>
        <v/>
      </c>
      <c r="Y134">
        <f>HYPERLINK("https://klasma.github.io/Logging_050581/tillsynsmail/A 14636-2025 tillsynsbegäran mail.docx", "A 14636-2025")</f>
        <v/>
      </c>
      <c r="Z134">
        <f>HYPERLINK("https://klasma.github.io/Logging_050581/fåglar/A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45750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45750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45750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45750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45750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45750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45750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45750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45750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45750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45750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45750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45750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45750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45750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45750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45750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45750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45750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45750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45750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45750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45750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45750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45750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45750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45750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45750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45750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45750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45750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45750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45750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45750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45750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45750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45750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45750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45750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45750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45750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45750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45750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45750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45750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45750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45750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45750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45750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45750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45750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45750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45750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45750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45750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45750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45750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45750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45750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45750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45750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45750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45750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45750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45750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45750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45750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45750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45750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45750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45750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45750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45750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45750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45750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45750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45750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45750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45750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45750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45750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45750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45750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45750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45750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45750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45750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45750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45750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45750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45750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45750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45750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45750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45750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45750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45750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45750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45750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45750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45750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45750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45750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45750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45750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45750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45750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45750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45750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45750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45750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45750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45750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45750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45750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45750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45750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45750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45750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45750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45750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45750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45750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45750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45750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45750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45750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45750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45750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45750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45750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45750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45750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45750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45750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45750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45750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45750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45750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45750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45750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45750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45750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45750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45750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45750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45750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45750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45750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45750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45750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45750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45750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45750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45750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45750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45750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45750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45750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45750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45750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45750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45750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45750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45750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45750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45750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45750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45750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45750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45750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45750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45750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45750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45750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45750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45750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45750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45750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45750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45750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45750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45750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45750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45750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45750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45750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45750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45750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45750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45750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45750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45750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45750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45750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45750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45750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45750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45750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45750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45750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45750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45750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45750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45750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45750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45750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45750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45750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45750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45750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45750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45750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45750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45750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45750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45750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45750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45750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45750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45750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45750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45750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45750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45750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45750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45750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45750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45750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45750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45750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45750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45750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45750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45750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45750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45750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45750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45750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45750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45750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45750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45750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45750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45750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45750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45750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45750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45750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45750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45750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45750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45750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45750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45750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45750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45750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45750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45750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45750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45750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45750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45750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45750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45750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45750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45750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45750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45750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45750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45750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45750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45750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45750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45750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45750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45750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45750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45750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45750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45750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45750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45750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45750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45750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45750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45750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45750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45750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45750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45750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45750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45750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45750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45750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45750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45750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45750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45750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45750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45750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45750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45750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45750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45750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45750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45750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45750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45750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45750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45750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45750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45750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45750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45750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45750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45750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45750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45750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45750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45750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45750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45750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45750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45750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45750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45750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45750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45750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45750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45750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45750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45750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45750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45750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45750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45750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45750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45750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45750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45750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45750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45750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45750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45750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45750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45750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45750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45750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45750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45750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45750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45750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45750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45750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45750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45750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45750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45750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45750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45750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45750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45750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45750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45750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45750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45750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45750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45750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45750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45750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45750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45750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45750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45750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45750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45750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45750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45750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45750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45750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45750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45750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45750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45750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45750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45750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45750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45750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45750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45750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45750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45750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45750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45750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45750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45750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45750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45750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45750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45750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45750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45750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45750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45750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45750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45750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45750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45750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45750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45750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45750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45750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45750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45750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45750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45750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45750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45750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45750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45750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45750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45750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45750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45750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45750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45750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45750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45750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45750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45750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45750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45750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45750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45750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45750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45750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45750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45750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45750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45750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45750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45750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45750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45750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45750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45750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45750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45750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45750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45750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45750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45750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45750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45750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45750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45750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45750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45750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45750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45750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45750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45750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45750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45750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45750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45750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45750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45750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45750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45750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45750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45750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45750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45750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45750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45750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45750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45750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45750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45750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45750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45750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45750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45750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45750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45750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45750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45750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45750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45750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45750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45750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45750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45750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45750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45750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45750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45750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45750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45750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45750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45750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45750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45750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45750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45750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45750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45750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45750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45750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45750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45750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45750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45750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45750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45750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45750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45750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45750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45750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45750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45750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45750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45750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45750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45750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45750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45750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45750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45750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45750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45750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45750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45750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45750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45750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45750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45750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45750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45750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45750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45750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45750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45750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45750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45750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45750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45750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45750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45750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45750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45750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45750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45750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45750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45750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45750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45750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45750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45750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45750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45750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45750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45750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45750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45750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45750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45750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45750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45750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45750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45750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45750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45750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45750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45750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45750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45750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45750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45750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45750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45750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45750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45750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45750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45750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45750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45750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45750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45750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45750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45750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45750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45750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45750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45750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45750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45750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45750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45750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45750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45750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45750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45750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45750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45750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45750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45750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45750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45750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45750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45750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45750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45750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45750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45750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45750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45750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45750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45750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45750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45750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45750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45750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45750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45750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45750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45750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45750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45750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45750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45750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45750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45750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45750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45750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45750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45750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45750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45750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45750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45750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45750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45750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45750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45750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45750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45750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45750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45750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45750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45750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45750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45750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45750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45750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45750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45750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45750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45750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45750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45750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45750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45750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45750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45750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45750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45750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45750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45750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45750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45750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45750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45750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45750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45750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45750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45750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45750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45750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45750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45750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45750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45750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45750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45750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45750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45750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45750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45750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45750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45750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45750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45750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45750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45750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45750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45750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45750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45750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45750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45750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45750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45750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45750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45750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45750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45750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45750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45750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45750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45750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45750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45750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45750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45750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45750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45750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45750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45750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45750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45750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45750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45750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45750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45750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45750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45750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45750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45750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45750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45750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45750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45750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45750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45750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45750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45750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45750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45750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45750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45750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45750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45750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45750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45750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45750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45750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45750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45750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45750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45750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45750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45750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45750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45750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45750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45750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45750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45750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45750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45750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45750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45750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45750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45750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45750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45750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45750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45750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45750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45750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45750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45750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45750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45750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45750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45750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45750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45750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45750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45750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45750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45750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45750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45750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45750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45750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45750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45750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45750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45750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45750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45750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45750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45750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45750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45750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45750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45750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45750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45750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45750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45750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45750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45750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45750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45750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45750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45750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45750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45750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45750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45750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45750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45750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45750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45750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45750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45750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45750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45750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45750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45750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45750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45750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45750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45750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45750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45750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45750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45750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45750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45750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45750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45750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45750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45750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45750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45750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45750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45750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45750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45750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45750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45750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45750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45750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45750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45750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45750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45750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45750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45750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45750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45750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45750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45750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45750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45750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45750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45750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45750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45750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45750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45750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45750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45750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45750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45750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45750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45750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45750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45750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45750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45750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45750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45750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45750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45750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45750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45750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45750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45750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45750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45750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45750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45750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45750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45750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45750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45750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45750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45750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45750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45750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45750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45750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45750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45750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45750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45750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45750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45750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45750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45750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45750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45750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45750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45750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45750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45750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45750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45750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45750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45750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45750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45750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45750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45750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45750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45750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45750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45750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45750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45750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45750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45750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45750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45750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45750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45750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45750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45750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45750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45750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45750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45750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45750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45750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45750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45750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45750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45750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45750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45750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45750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45750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45750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45750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45750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45750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45750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45750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45750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45750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45750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45750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45750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45750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45750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45750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45750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45750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45750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45750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45750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45750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45750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45750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45750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45750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45750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45750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45750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45750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45750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45750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45750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45750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45750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45750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45750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45750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45750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45750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45750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45750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45750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45750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45750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45750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45750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45750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45750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45750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45750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45750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45750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45750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45750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45750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45750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45750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45750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45750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45750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45750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45750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45750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45750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45750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45750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45750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45750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45750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45750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45750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45750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45750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45750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45750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45750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45750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45750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45750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45750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45750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45750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45750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45750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45750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45750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45750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45750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45750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45750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45750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45750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45750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45750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45750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45750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45750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15448-2025</t>
        </is>
      </c>
      <c r="B1564" s="1" t="n">
        <v>45747</v>
      </c>
      <c r="C1564" s="1" t="n">
        <v>45750</v>
      </c>
      <c r="D1564" t="inlineStr">
        <is>
          <t>ÖSTERGÖTLANDS LÄN</t>
        </is>
      </c>
      <c r="E1564" t="inlineStr">
        <is>
          <t>NORRKÖPING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45750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15497-2025</t>
        </is>
      </c>
      <c r="B1566" s="1" t="n">
        <v>45747</v>
      </c>
      <c r="C1566" s="1" t="n">
        <v>45750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15505-2025</t>
        </is>
      </c>
      <c r="B1567" s="1" t="n">
        <v>45747</v>
      </c>
      <c r="C1567" s="1" t="n">
        <v>45750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2025-04-03T20:44:37Z</dcterms:created>
  <dcterms:modified xmlns:dcterms="http://purl.org/dc/terms/" xmlns:xsi="http://www.w3.org/2001/XMLSchema-instance" xsi:type="dcterms:W3CDTF">2025-04-03T20:44:38Z</dcterms:modified>
</cp:coreProperties>
</file>