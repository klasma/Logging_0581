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46298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t="n">
        <v>20</v>
      </c>
      <c r="V9" s="2" t="inlineStr">
        <is>
          <t>Knärot
Lakritsmusseron
Blå taggsvamp
Dropptaggsvamp
Dvärgbägarlav
Gropticka
Kolflarnlav
Motaggsvamp
Orange taggsvamp
Ullticka
Vedskivlav
Blomkålssvamp
Spillkråka</t>
        </is>
      </c>
      <c r="W9">
        <f>HYPERLINK("https://klasma.github.io/Logging_0581/artfynd/A 21683-2025 artfynd.xlsx", "A 21683-2025")</f>
        <v/>
      </c>
      <c r="X9">
        <f>HYPERLINK("https://klasma.github.io/Logging_0581/kartor/A 21683-2025 karta.png", "A 21683-2025")</f>
        <v/>
      </c>
      <c r="Y9">
        <f>HYPERLINK("https://klasma.github.io/Logging_0581/kartor_geotiff/A 21683-2025 georefererad karta.tif", "A 21683-2025")</f>
        <v/>
      </c>
      <c r="Z9">
        <f>HYPERLINK("https://klasma.github.io/Logging_0581/knärot/A 21683-2025 karta knärot.png", "A 21683-2025")</f>
        <v/>
      </c>
      <c r="AA9">
        <f>HYPERLINK("https://klasma.github.io/Logging_0581/klagomål/A 21683-2025 FSC-klagomål.docx", "A 21683-2025")</f>
        <v/>
      </c>
      <c r="AB9">
        <f>HYPERLINK("https://klasma.github.io/Logging_0581/klagomålsmail/A 21683-2025 FSC-klagomål mail.docx", "A 21683-2025")</f>
        <v/>
      </c>
      <c r="AC9">
        <f>HYPERLINK("https://klasma.github.io/Logging_0581/tillsyn/A 21683-2025 tillsynsbegäran.docx", "A 21683-2025")</f>
        <v/>
      </c>
      <c r="AD9">
        <f>HYPERLINK("https://klasma.github.io/Logging_0581/tillsynsmail/A 21683-2025 tillsynsbegäran mail.docx", "A 21683-2025")</f>
        <v/>
      </c>
      <c r="AE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45579</v>
      </c>
      <c r="E10" s="1" t="n">
        <v>46298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12.1</v>
      </c>
      <c r="J10" t="n">
        <v>1</v>
      </c>
      <c r="K10" t="n">
        <v>5</v>
      </c>
      <c r="L10" t="n">
        <v>7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t="n">
        <v>0</v>
      </c>
      <c r="S10" t="n">
        <v>13</v>
      </c>
      <c r="T10" t="n">
        <v>86</v>
      </c>
      <c r="U10" t="n">
        <v>77</v>
      </c>
      <c r="V10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0">
        <f>HYPERLINK("https://klasma.github.io/Logging_0581/artfynd/A 45701-2024 artfynd.xlsx", "A 45701-2024")</f>
        <v/>
      </c>
      <c r="X10">
        <f>HYPERLINK("https://klasma.github.io/Logging_0581/kartor/A 45701-2024 karta.png", "A 45701-2024")</f>
        <v/>
      </c>
      <c r="Y10">
        <f>HYPERLINK("https://klasma.github.io/Logging_0581/kartor_geotiff/A 45701-2024 georefererad karta.tif", "A 45701-2024")</f>
        <v/>
      </c>
      <c r="Z10">
        <f>HYPERLINK("https://klasma.github.io/Logging_0581/knärot/A 45701-2024 karta knärot.png", "A 45701-2024")</f>
        <v/>
      </c>
      <c r="AA10">
        <f>HYPERLINK("https://klasma.github.io/Logging_0581/klagomål/A 45701-2024 FSC-klagomål.docx", "A 45701-2024")</f>
        <v/>
      </c>
      <c r="AB10">
        <f>HYPERLINK("https://klasma.github.io/Logging_0581/klagomålsmail/A 45701-2024 FSC-klagomål mail.docx", "A 45701-2024")</f>
        <v/>
      </c>
      <c r="AC10">
        <f>HYPERLINK("https://klasma.github.io/Logging_0581/tillsyn/A 45701-2024 tillsynsbegäran.docx", "A 45701-2024")</f>
        <v/>
      </c>
      <c r="AD10">
        <f>HYPERLINK("https://klasma.github.io/Logging_0581/tillsynsmail/A 45701-2024 tillsynsbegäran mail.docx", "A 45701-2024")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46298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46298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46298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46298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46298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46298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46298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46298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46298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46298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46298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46298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46298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46298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30829-2026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46212</v>
      </c>
      <c r="E34" s="1" t="n">
        <v>46298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9</v>
      </c>
      <c r="V34" s="2" t="inlineStr">
        <is>
          <t>Björksplintborre
Kornknutmossa
Stor aspticka
Spillkråka
Fläcknycklar</t>
        </is>
      </c>
      <c r="W34">
        <f>HYPERLINK("https://klasma.github.io/Logging_0581/artfynd/A 30829-2026 artfynd.xlsx", "A 30829-2026")</f>
        <v/>
      </c>
      <c r="X34">
        <f>HYPERLINK("https://klasma.github.io/Logging_0581/kartor/A 30829-2026 karta.png", "A 30829-2026")</f>
        <v/>
      </c>
      <c r="Y34">
        <f>HYPERLINK("https://klasma.github.io/Logging_0581/kartor_geotiff/A 30829-2026 georefererad karta.tif", "A 30829-2026")</f>
        <v/>
      </c>
      <c r="AA34">
        <f>HYPERLINK("https://klasma.github.io/Logging_0581/klagomål/A 30829-2026 FSC-klagomål.docx", "A 30829-2026")</f>
        <v/>
      </c>
      <c r="AB34">
        <f>HYPERLINK("https://klasma.github.io/Logging_0581/klagomålsmail/A 30829-2026 FSC-klagomål mail.docx", "A 30829-2026")</f>
        <v/>
      </c>
      <c r="AC34">
        <f>HYPERLINK("https://klasma.github.io/Logging_0581/tillsyn/A 30829-2026 tillsynsbegäran.docx", "A 30829-2026")</f>
        <v/>
      </c>
      <c r="AD34">
        <f>HYPERLINK("https://klasma.github.io/Logging_0581/tillsynsmail/A 30829-2026 tillsynsbegäran mail.docx", "A 30829-2026")</f>
        <v/>
      </c>
      <c r="AE34">
        <f>HYPERLINK("https://klasma.github.io/Logging_0581/fåglar/A 30829-2026 prioriterade fågelarter.docx", "A 30829-2026")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46298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46298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A 21536-2025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HYPERLINK("https://klasma.github.io/Logging_0581/artfynd/A 21536-2025 artfynd.xlsx", "A 21536-2025")</f>
        <v/>
      </c>
      <c r="X37">
        <f>HYPERLINK("https://klasma.github.io/Logging_0581/kartor/A 21536-2025 karta.png", "A 21536-2025")</f>
        <v/>
      </c>
      <c r="Y37">
        <f>HYPERLINK("https://klasma.github.io/Logging_0581/kartor_geotiff/A 21536-2025 georefererad karta.tif", "A 21536-2025")</f>
        <v/>
      </c>
      <c r="AA37">
        <f>HYPERLINK("https://klasma.github.io/Logging_0581/klagomål/A 21536-2025 FSC-klagomål.docx", "A 21536-2025")</f>
        <v/>
      </c>
      <c r="AB37">
        <f>HYPERLINK("https://klasma.github.io/Logging_0581/klagomålsmail/A 21536-2025 FSC-klagomål mail.docx", "A 21536-2025")</f>
        <v/>
      </c>
      <c r="AC37">
        <f>HYPERLINK("https://klasma.github.io/Logging_0581/tillsyn/A 21536-2025 tillsynsbegäran.docx", "A 21536-2025")</f>
        <v/>
      </c>
      <c r="AD37">
        <f>HYPERLINK("https://klasma.github.io/Logging_0581/tillsynsmail/A 21536-2025 tillsynsbegäran mail.docx", "A 21536-2025")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46298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46298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38599-2025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46298</v>
      </c>
      <c r="F40" t="inlineStr">
        <is>
          <t>ÖSTERGÖTLANDS LÄN</t>
        </is>
      </c>
      <c r="G40" t="inlineStr">
        <is>
          <t>NORRKÖPING</t>
        </is>
      </c>
      <c r="I40" t="n">
        <v>5.3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Kalkkärrsgrynsnäcka
Majviva
Grönvit nattviol
Ängsnycklar</t>
        </is>
      </c>
      <c r="W40">
        <f>HYPERLINK("https://klasma.github.io/Logging_0581/artfynd/A 38599-2025 artfynd.xlsx", "A 38599-2025")</f>
        <v/>
      </c>
      <c r="X40">
        <f>HYPERLINK("https://klasma.github.io/Logging_0581/kartor/A 38599-2025 karta.png", "A 38599-2025")</f>
        <v/>
      </c>
      <c r="Y40">
        <f>HYPERLINK("https://klasma.github.io/Logging_0581/kartor_geotiff/A 38599-2025 georefererad karta.tif", "A 38599-2025")</f>
        <v/>
      </c>
      <c r="AA40">
        <f>HYPERLINK("https://klasma.github.io/Logging_0581/klagomål/A 38599-2025 FSC-klagomål.docx", "A 38599-2025")</f>
        <v/>
      </c>
      <c r="AB40">
        <f>HYPERLINK("https://klasma.github.io/Logging_0581/klagomålsmail/A 38599-2025 FSC-klagomål mail.docx", "A 38599-2025")</f>
        <v/>
      </c>
      <c r="AC40">
        <f>HYPERLINK("https://klasma.github.io/Logging_0581/tillsyn/A 38599-2025 tillsynsbegäran.docx", "A 38599-2025")</f>
        <v/>
      </c>
      <c r="AD40">
        <f>HYPERLINK("https://klasma.github.io/Logging_0581/tillsynsmail/A 38599-2025 tillsynsbegäran mail.docx", "A 38599-2025")</f>
        <v/>
      </c>
    </row>
    <row r="41" ht="15" customHeight="1">
      <c r="A41" t="inlineStr">
        <is>
          <t>A 17465-2026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46298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1.9</v>
      </c>
      <c r="J41" t="n">
        <v>2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2</v>
      </c>
      <c r="V41" s="2" t="inlineStr">
        <is>
          <t>Knärot
Blåmossa
Grönpyrola
Spillkråka</t>
        </is>
      </c>
      <c r="W41">
        <f>HYPERLINK("https://klasma.github.io/Logging_0581/artfynd/A 17465-2026 artfynd.xlsx", "A 17465-2026")</f>
        <v/>
      </c>
      <c r="X41">
        <f>HYPERLINK("https://klasma.github.io/Logging_0581/kartor/A 17465-2026 karta.png", "A 17465-2026")</f>
        <v/>
      </c>
      <c r="Y41">
        <f>HYPERLINK("https://klasma.github.io/Logging_0581/kartor_geotiff/A 17465-2026 georefererad karta.tif", "A 17465-2026")</f>
        <v/>
      </c>
      <c r="Z41">
        <f>HYPERLINK("https://klasma.github.io/Logging_0581/knärot/A 17465-2026 karta knärot.png", "A 17465-2026")</f>
        <v/>
      </c>
      <c r="AA41">
        <f>HYPERLINK("https://klasma.github.io/Logging_0581/klagomål/A 17465-2026 FSC-klagomål.docx", "A 17465-2026")</f>
        <v/>
      </c>
      <c r="AB41">
        <f>HYPERLINK("https://klasma.github.io/Logging_0581/klagomålsmail/A 17465-2026 FSC-klagomål mail.docx", "A 17465-2026")</f>
        <v/>
      </c>
      <c r="AC41">
        <f>HYPERLINK("https://klasma.github.io/Logging_0581/tillsyn/A 17465-2026 tillsynsbegäran.docx", "A 17465-2026")</f>
        <v/>
      </c>
      <c r="AD41">
        <f>HYPERLINK("https://klasma.github.io/Logging_0581/tillsynsmail/A 17465-2026 tillsynsbegäran mail.docx", "A 17465-2026")</f>
        <v/>
      </c>
      <c r="AE41">
        <f>HYPERLINK("https://klasma.github.io/Logging_0581/fåglar/A 17465-2026 prioriterade fågelarter.docx", "A 17465-2026")</f>
        <v/>
      </c>
    </row>
    <row r="42" ht="15" customHeight="1">
      <c r="A42" t="inlineStr">
        <is>
          <t>A 31468-2025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45833</v>
      </c>
      <c r="E42" s="1" t="n">
        <v>46298</v>
      </c>
      <c r="F42" t="inlineStr">
        <is>
          <t>ÖSTERGÖTLANDS LÄN</t>
        </is>
      </c>
      <c r="G42" t="inlineStr">
        <is>
          <t>NORRKÖPING</t>
        </is>
      </c>
      <c r="I42" t="n">
        <v>6.3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Talltita
Vedskivlav
Grönpyrola
Blåsippa</t>
        </is>
      </c>
      <c r="W42">
        <f>HYPERLINK("https://klasma.github.io/Logging_0581/artfynd/A 31468-2025 artfynd.xlsx", "A 31468-2025")</f>
        <v/>
      </c>
      <c r="X42">
        <f>HYPERLINK("https://klasma.github.io/Logging_0581/kartor/A 31468-2025 karta.png", "A 31468-2025")</f>
        <v/>
      </c>
      <c r="Y42">
        <f>HYPERLINK("https://klasma.github.io/Logging_0581/kartor_geotiff/A 31468-2025 georefererad karta.tif", "A 31468-2025")</f>
        <v/>
      </c>
      <c r="AA42">
        <f>HYPERLINK("https://klasma.github.io/Logging_0581/klagomål/A 31468-2025 FSC-klagomål.docx", "A 31468-2025")</f>
        <v/>
      </c>
      <c r="AB42">
        <f>HYPERLINK("https://klasma.github.io/Logging_0581/klagomålsmail/A 31468-2025 FSC-klagomål mail.docx", "A 31468-2025")</f>
        <v/>
      </c>
      <c r="AC42">
        <f>HYPERLINK("https://klasma.github.io/Logging_0581/tillsyn/A 31468-2025 tillsynsbegäran.docx", "A 31468-2025")</f>
        <v/>
      </c>
      <c r="AD42">
        <f>HYPERLINK("https://klasma.github.io/Logging_0581/tillsynsmail/A 31468-2025 tillsynsbegäran mail.docx", "A 31468-2025")</f>
        <v/>
      </c>
      <c r="AE42">
        <f>HYPERLINK("https://klasma.github.io/Logging_0581/fåglar/A 31468-2025 prioriterade fågelarter.docx", "A 31468-2025")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46298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46298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4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46298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46298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18267-2024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45421</v>
      </c>
      <c r="E47" s="1" t="n">
        <v>46298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1.4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Mörk kolflarnlav
Gullgröppa
Tjäder
Fläcknycklar</t>
        </is>
      </c>
      <c r="W47">
        <f>HYPERLINK("https://klasma.github.io/Logging_0581/artfynd/A 18267-2024 artfynd.xlsx", "A 18267-2024")</f>
        <v/>
      </c>
      <c r="X47">
        <f>HYPERLINK("https://klasma.github.io/Logging_0581/kartor/A 18267-2024 karta.png", "A 18267-2024")</f>
        <v/>
      </c>
      <c r="Y47">
        <f>HYPERLINK("https://klasma.github.io/Logging_0581/kartor_geotiff/A 18267-2024 georefererad karta.tif", "A 18267-2024")</f>
        <v/>
      </c>
      <c r="AA47">
        <f>HYPERLINK("https://klasma.github.io/Logging_0581/klagomål/A 18267-2024 FSC-klagomål.docx", "A 18267-2024")</f>
        <v/>
      </c>
      <c r="AB47">
        <f>HYPERLINK("https://klasma.github.io/Logging_0581/klagomålsmail/A 18267-2024 FSC-klagomål mail.docx", "A 18267-2024")</f>
        <v/>
      </c>
      <c r="AC47">
        <f>HYPERLINK("https://klasma.github.io/Logging_0581/tillsyn/A 18267-2024 tillsynsbegäran.docx", "A 18267-2024")</f>
        <v/>
      </c>
      <c r="AD47">
        <f>HYPERLINK("https://klasma.github.io/Logging_0581/tillsynsmail/A 18267-2024 tillsynsbegäran mail.docx", "A 18267-2024")</f>
        <v/>
      </c>
      <c r="AE47">
        <f>HYPERLINK("https://klasma.github.io/Logging_0581/fåglar/A 18267-2024 prioriterade fågelarter.docx", "A 18267-2024")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46298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12692-2025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46298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6.1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Dvärgbägarlav
Vedskivlav
Mattlummer</t>
        </is>
      </c>
      <c r="W50">
        <f>HYPERLINK("https://klasma.github.io/Logging_0581/artfynd/A 12692-2025 artfynd.xlsx", "A 12692-2025")</f>
        <v/>
      </c>
      <c r="X50">
        <f>HYPERLINK("https://klasma.github.io/Logging_0581/kartor/A 12692-2025 karta.png", "A 12692-2025")</f>
        <v/>
      </c>
      <c r="Y50">
        <f>HYPERLINK("https://klasma.github.io/Logging_0581/kartor_geotiff/A 12692-2025 georefererad karta.tif", "A 12692-2025")</f>
        <v/>
      </c>
      <c r="AA50">
        <f>HYPERLINK("https://klasma.github.io/Logging_0581/klagomål/A 12692-2025 FSC-klagomål.docx", "A 12692-2025")</f>
        <v/>
      </c>
      <c r="AB50">
        <f>HYPERLINK("https://klasma.github.io/Logging_0581/klagomålsmail/A 12692-2025 FSC-klagomål mail.docx", "A 12692-2025")</f>
        <v/>
      </c>
      <c r="AC50">
        <f>HYPERLINK("https://klasma.github.io/Logging_0581/tillsyn/A 12692-2025 tillsynsbegäran.docx", "A 12692-2025")</f>
        <v/>
      </c>
      <c r="AD50">
        <f>HYPERLINK("https://klasma.github.io/Logging_0581/tillsynsmail/A 12692-2025 tillsynsbegäran mail.docx", "A 12692-2025")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46298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46298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46298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46298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19806-2026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46298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7.7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Blåmossa
Kungsfågel</t>
        </is>
      </c>
      <c r="W56">
        <f>HYPERLINK("https://klasma.github.io/Logging_0581/artfynd/A 19806-2026 artfynd.xlsx", "A 19806-2026")</f>
        <v/>
      </c>
      <c r="X56">
        <f>HYPERLINK("https://klasma.github.io/Logging_0581/kartor/A 19806-2026 karta.png", "A 19806-2026")</f>
        <v/>
      </c>
      <c r="Y56">
        <f>HYPERLINK("https://klasma.github.io/Logging_0581/kartor_geotiff/A 19806-2026 georefererad karta.tif", "A 19806-2026")</f>
        <v/>
      </c>
      <c r="AA56">
        <f>HYPERLINK("https://klasma.github.io/Logging_0581/klagomål/A 19806-2026 FSC-klagomål.docx", "A 19806-2026")</f>
        <v/>
      </c>
      <c r="AB56">
        <f>HYPERLINK("https://klasma.github.io/Logging_0581/klagomålsmail/A 19806-2026 FSC-klagomål mail.docx", "A 19806-2026")</f>
        <v/>
      </c>
      <c r="AC56">
        <f>HYPERLINK("https://klasma.github.io/Logging_0581/tillsyn/A 19806-2026 tillsynsbegäran.docx", "A 19806-2026")</f>
        <v/>
      </c>
      <c r="AD56">
        <f>HYPERLINK("https://klasma.github.io/Logging_0581/tillsynsmail/A 19806-2026 tillsynsbegäran mail.docx", "A 19806-2026")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46298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46298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28062-2022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46298</v>
      </c>
      <c r="F60" t="inlineStr">
        <is>
          <t>ÖSTERGÖTLANDS LÄN</t>
        </is>
      </c>
      <c r="G60" t="inlineStr">
        <is>
          <t>NORRKÖPING</t>
        </is>
      </c>
      <c r="I60" t="n">
        <v>3.6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Slåtterfibbla
Svinrot
Mattlummer</t>
        </is>
      </c>
      <c r="W60">
        <f>HYPERLINK("https://klasma.github.io/Logging_0581/artfynd/A 28062-2022 artfynd.xlsx", "A 28062-2022")</f>
        <v/>
      </c>
      <c r="X60">
        <f>HYPERLINK("https://klasma.github.io/Logging_0581/kartor/A 28062-2022 karta.png", "A 28062-2022")</f>
        <v/>
      </c>
      <c r="Y60">
        <f>HYPERLINK("https://klasma.github.io/Logging_0581/kartor_geotiff/A 28062-2022 georefererad karta.tif", "A 28062-2022")</f>
        <v/>
      </c>
      <c r="AA60">
        <f>HYPERLINK("https://klasma.github.io/Logging_0581/klagomål/A 28062-2022 FSC-klagomål.docx", "A 28062-2022")</f>
        <v/>
      </c>
      <c r="AB60">
        <f>HYPERLINK("https://klasma.github.io/Logging_0581/klagomålsmail/A 28062-2022 FSC-klagomål mail.docx", "A 28062-2022")</f>
        <v/>
      </c>
      <c r="AC60">
        <f>HYPERLINK("https://klasma.github.io/Logging_0581/tillsyn/A 28062-2022 tillsynsbegäran.docx", "A 28062-2022")</f>
        <v/>
      </c>
      <c r="AD60">
        <f>HYPERLINK("https://klasma.github.io/Logging_0581/tillsynsmail/A 28062-2022 tillsynsbegäran mail.docx", "A 28062-2022")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46298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46298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28766-2026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46198</v>
      </c>
      <c r="E63" s="1" t="n">
        <v>46298</v>
      </c>
      <c r="F63" t="inlineStr">
        <is>
          <t>ÖSTERGÖTLANDS LÄN</t>
        </is>
      </c>
      <c r="G63" t="inlineStr">
        <is>
          <t>NORRKÖPING</t>
        </is>
      </c>
      <c r="I63" t="n">
        <v>4.6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Ljungsnärja
Backtimjan
Granbarkgnagare</t>
        </is>
      </c>
      <c r="W63">
        <f>HYPERLINK("https://klasma.github.io/Logging_0581/artfynd/A 28766-2026 artfynd.xlsx", "A 28766-2026")</f>
        <v/>
      </c>
      <c r="X63">
        <f>HYPERLINK("https://klasma.github.io/Logging_0581/kartor/A 28766-2026 karta.png", "A 28766-2026")</f>
        <v/>
      </c>
      <c r="Y63">
        <f>HYPERLINK("https://klasma.github.io/Logging_0581/kartor_geotiff/A 28766-2026 georefererad karta.tif", "A 28766-2026")</f>
        <v/>
      </c>
      <c r="AA63">
        <f>HYPERLINK("https://klasma.github.io/Logging_0581/klagomål/A 28766-2026 FSC-klagomål.docx", "A 28766-2026")</f>
        <v/>
      </c>
      <c r="AB63">
        <f>HYPERLINK("https://klasma.github.io/Logging_0581/klagomålsmail/A 28766-2026 FSC-klagomål mail.docx", "A 28766-2026")</f>
        <v/>
      </c>
      <c r="AC63">
        <f>HYPERLINK("https://klasma.github.io/Logging_0581/tillsyn/A 28766-2026 tillsynsbegäran.docx", "A 28766-2026")</f>
        <v/>
      </c>
      <c r="AD63">
        <f>HYPERLINK("https://klasma.github.io/Logging_0581/tillsynsmail/A 28766-2026 tillsynsbegäran mail.docx", "A 28766-2026")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46298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46298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36366-2026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46268</v>
      </c>
      <c r="E66" s="1" t="n">
        <v>46298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BillerudKorsnäs AB</t>
        </is>
      </c>
      <c r="I66" t="n">
        <v>2.5</v>
      </c>
      <c r="J66" t="n">
        <v>1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6</v>
      </c>
      <c r="U66" t="n">
        <v>0</v>
      </c>
      <c r="V66" s="2" t="inlineStr">
        <is>
          <t>Knärot
Tallticka
Blåmossa</t>
        </is>
      </c>
      <c r="W66">
        <f>HYPERLINK("https://klasma.github.io/Logging_0581/artfynd/A 36366-2026 artfynd.xlsx", "A 36366-2026")</f>
        <v/>
      </c>
      <c r="X66">
        <f>HYPERLINK("https://klasma.github.io/Logging_0581/kartor/A 36366-2026 karta.png", "A 36366-2026")</f>
        <v/>
      </c>
      <c r="Y66">
        <f>HYPERLINK("https://klasma.github.io/Logging_0581/kartor_geotiff/A 36366-2026 georefererad karta.tif", "A 36366-2026")</f>
        <v/>
      </c>
      <c r="Z66">
        <f>HYPERLINK("https://klasma.github.io/Logging_0581/knärot/A 36366-2026 karta knärot.png", "A 36366-2026")</f>
        <v/>
      </c>
      <c r="AA66">
        <f>HYPERLINK("https://klasma.github.io/Logging_0581/klagomål/A 36366-2026 FSC-klagomål.docx", "A 36366-2026")</f>
        <v/>
      </c>
      <c r="AB66">
        <f>HYPERLINK("https://klasma.github.io/Logging_0581/klagomålsmail/A 36366-2026 FSC-klagomål mail.docx", "A 36366-2026")</f>
        <v/>
      </c>
      <c r="AC66">
        <f>HYPERLINK("https://klasma.github.io/Logging_0581/tillsyn/A 36366-2026 tillsynsbegäran.docx", "A 36366-2026")</f>
        <v/>
      </c>
      <c r="AD66">
        <f>HYPERLINK("https://klasma.github.io/Logging_0581/tillsynsmail/A 36366-2026 tillsynsbegäran mail.docx", "A 36366-2026")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46298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46298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46298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Tallticka
Jättesvampmal</t>
        </is>
      </c>
      <c r="W69">
        <f>HYPERLINK("https://klasma.github.io/Logging_0581/artfynd/A 9512-2023 artfynd.xlsx", "A 9512-2023")</f>
        <v/>
      </c>
      <c r="X69">
        <f>HYPERLINK("https://klasma.github.io/Logging_0581/kartor/A 9512-2023 karta.png", "A 9512-2023")</f>
        <v/>
      </c>
      <c r="Y69">
        <f>HYPERLINK("https://klasma.github.io/Logging_0581/kartor_geotiff/A 9512-2023 georefererad karta.tif", "A 9512-2023")</f>
        <v/>
      </c>
      <c r="AA69">
        <f>HYPERLINK("https://klasma.github.io/Logging_0581/klagomål/A 9512-2023 FSC-klagomål.docx", "A 9512-2023")</f>
        <v/>
      </c>
      <c r="AB69">
        <f>HYPERLINK("https://klasma.github.io/Logging_0581/klagomålsmail/A 9512-2023 FSC-klagomål mail.docx", "A 9512-2023")</f>
        <v/>
      </c>
      <c r="AC69">
        <f>HYPERLINK("https://klasma.github.io/Logging_0581/tillsyn/A 9512-2023 tillsynsbegäran.docx", "A 9512-2023")</f>
        <v/>
      </c>
      <c r="AD69">
        <f>HYPERLINK("https://klasma.github.io/Logging_0581/tillsynsmail/A 9512-2023 tillsynsbegäran mail.docx", "A 9512-2023")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46298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46298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46298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53852-2022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44880</v>
      </c>
      <c r="E73" s="1" t="n">
        <v>46298</v>
      </c>
      <c r="F73" t="inlineStr">
        <is>
          <t>ÖSTERGÖTLANDS LÄN</t>
        </is>
      </c>
      <c r="G73" t="inlineStr">
        <is>
          <t>NORRKÖPING</t>
        </is>
      </c>
      <c r="I73" t="n">
        <v>1.8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Tibast
Blåsippa</t>
        </is>
      </c>
      <c r="W73">
        <f>HYPERLINK("https://klasma.github.io/Logging_0581/artfynd/A 53852-2022 artfynd.xlsx", "A 53852-2022")</f>
        <v/>
      </c>
      <c r="X73">
        <f>HYPERLINK("https://klasma.github.io/Logging_0581/kartor/A 53852-2022 karta.png", "A 53852-2022")</f>
        <v/>
      </c>
      <c r="Y73">
        <f>HYPERLINK("https://klasma.github.io/Logging_0581/kartor_geotiff/A 53852-2022 georefererad karta.tif", "A 53852-2022")</f>
        <v/>
      </c>
      <c r="AA73">
        <f>HYPERLINK("https://klasma.github.io/Logging_0581/klagomål/A 53852-2022 FSC-klagomål.docx", "A 53852-2022")</f>
        <v/>
      </c>
      <c r="AB73">
        <f>HYPERLINK("https://klasma.github.io/Logging_0581/klagomålsmail/A 53852-2022 FSC-klagomål mail.docx", "A 53852-2022")</f>
        <v/>
      </c>
      <c r="AC73">
        <f>HYPERLINK("https://klasma.github.io/Logging_0581/tillsyn/A 53852-2022 tillsynsbegäran.docx", "A 53852-2022")</f>
        <v/>
      </c>
      <c r="AD73">
        <f>HYPERLINK("https://klasma.github.io/Logging_0581/tillsynsmail/A 53852-2022 tillsynsbegäran mail.docx", "A 53852-2022")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46298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Mattlummer
Revlummer</t>
        </is>
      </c>
      <c r="W74">
        <f>HYPERLINK("https://klasma.github.io/Logging_0581/artfynd/A 40315-2025 artfynd.xlsx", "A 40315-2025")</f>
        <v/>
      </c>
      <c r="X74">
        <f>HYPERLINK("https://klasma.github.io/Logging_0581/kartor/A 40315-2025 karta.png", "A 40315-2025")</f>
        <v/>
      </c>
      <c r="Y74">
        <f>HYPERLINK("https://klasma.github.io/Logging_0581/kartor_geotiff/A 40315-2025 georefererad karta.tif", "A 40315-2025")</f>
        <v/>
      </c>
      <c r="AA74">
        <f>HYPERLINK("https://klasma.github.io/Logging_0581/klagomål/A 40315-2025 FSC-klagomål.docx", "A 40315-2025")</f>
        <v/>
      </c>
      <c r="AB74">
        <f>HYPERLINK("https://klasma.github.io/Logging_0581/klagomålsmail/A 40315-2025 FSC-klagomål mail.docx", "A 40315-2025")</f>
        <v/>
      </c>
      <c r="AC74">
        <f>HYPERLINK("https://klasma.github.io/Logging_0581/tillsyn/A 40315-2025 tillsynsbegäran.docx", "A 40315-2025")</f>
        <v/>
      </c>
      <c r="AD74">
        <f>HYPERLINK("https://klasma.github.io/Logging_0581/tillsynsmail/A 40315-2025 tillsynsbegäran mail.docx", "A 40315-2025")</f>
        <v/>
      </c>
    </row>
    <row r="75" ht="15" customHeight="1">
      <c r="A75" t="inlineStr">
        <is>
          <t>A 3815-2026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46043</v>
      </c>
      <c r="E75" s="1" t="n">
        <v>46298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1.1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Grönfink
Kungsfågel</t>
        </is>
      </c>
      <c r="W75">
        <f>HYPERLINK("https://klasma.github.io/Logging_0581/artfynd/A 3815-2026 artfynd.xlsx", "A 3815-2026")</f>
        <v/>
      </c>
      <c r="X75">
        <f>HYPERLINK("https://klasma.github.io/Logging_0581/kartor/A 3815-2026 karta.png", "A 3815-2026")</f>
        <v/>
      </c>
      <c r="Y75">
        <f>HYPERLINK("https://klasma.github.io/Logging_0581/kartor_geotiff/A 3815-2026 georefererad karta.tif", "A 3815-2026")</f>
        <v/>
      </c>
      <c r="AA75">
        <f>HYPERLINK("https://klasma.github.io/Logging_0581/klagomål/A 3815-2026 FSC-klagomål.docx", "A 3815-2026")</f>
        <v/>
      </c>
      <c r="AB75">
        <f>HYPERLINK("https://klasma.github.io/Logging_0581/klagomålsmail/A 3815-2026 FSC-klagomål mail.docx", "A 3815-2026")</f>
        <v/>
      </c>
      <c r="AC75">
        <f>HYPERLINK("https://klasma.github.io/Logging_0581/tillsyn/A 3815-2026 tillsynsbegäran.docx", "A 3815-2026")</f>
        <v/>
      </c>
      <c r="AD75">
        <f>HYPERLINK("https://klasma.github.io/Logging_0581/tillsynsmail/A 3815-2026 tillsynsbegäran mail.docx", "A 3815-2026")</f>
        <v/>
      </c>
      <c r="AE75">
        <f>HYPERLINK("https://klasma.github.io/Logging_0581/fåglar/A 3815-2026 prioriterade fågelarter.docx", "A 3815-2026")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46298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48735-2025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46298</v>
      </c>
      <c r="F77" t="inlineStr">
        <is>
          <t>ÖSTERGÖTLANDS LÄN</t>
        </is>
      </c>
      <c r="G77" t="inlineStr">
        <is>
          <t>NORRKÖPING</t>
        </is>
      </c>
      <c r="I77" t="n">
        <v>3.6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Ekoxe
Stuplav</t>
        </is>
      </c>
      <c r="W77">
        <f>HYPERLINK("https://klasma.github.io/Logging_0581/artfynd/A 48735-2025 artfynd.xlsx", "A 48735-2025")</f>
        <v/>
      </c>
      <c r="X77">
        <f>HYPERLINK("https://klasma.github.io/Logging_0581/kartor/A 48735-2025 karta.png", "A 48735-2025")</f>
        <v/>
      </c>
      <c r="Y77">
        <f>HYPERLINK("https://klasma.github.io/Logging_0581/kartor_geotiff/A 48735-2025 georefererad karta.tif", "A 48735-2025")</f>
        <v/>
      </c>
      <c r="AA77">
        <f>HYPERLINK("https://klasma.github.io/Logging_0581/klagomål/A 48735-2025 FSC-klagomål.docx", "A 48735-2025")</f>
        <v/>
      </c>
      <c r="AB77">
        <f>HYPERLINK("https://klasma.github.io/Logging_0581/klagomålsmail/A 48735-2025 FSC-klagomål mail.docx", "A 48735-2025")</f>
        <v/>
      </c>
      <c r="AC77">
        <f>HYPERLINK("https://klasma.github.io/Logging_0581/tillsyn/A 48735-2025 tillsynsbegäran.docx", "A 48735-2025")</f>
        <v/>
      </c>
      <c r="AD77">
        <f>HYPERLINK("https://klasma.github.io/Logging_0581/tillsynsmail/A 48735-2025 tillsynsbegäran mail.docx", "A 48735-2025")</f>
        <v/>
      </c>
    </row>
    <row r="78" ht="15" customHeight="1">
      <c r="A78" t="inlineStr">
        <is>
          <t>A 42365-2025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45905</v>
      </c>
      <c r="E78" s="1" t="n">
        <v>46298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0.8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Svinrot
Tibast</t>
        </is>
      </c>
      <c r="W78">
        <f>HYPERLINK("https://klasma.github.io/Logging_0581/artfynd/A 42365-2025 artfynd.xlsx", "A 42365-2025")</f>
        <v/>
      </c>
      <c r="X78">
        <f>HYPERLINK("https://klasma.github.io/Logging_0581/kartor/A 42365-2025 karta.png", "A 42365-2025")</f>
        <v/>
      </c>
      <c r="Y78">
        <f>HYPERLINK("https://klasma.github.io/Logging_0581/kartor_geotiff/A 42365-2025 georefererad karta.tif", "A 42365-2025")</f>
        <v/>
      </c>
      <c r="AA78">
        <f>HYPERLINK("https://klasma.github.io/Logging_0581/klagomål/A 42365-2025 FSC-klagomål.docx", "A 42365-2025")</f>
        <v/>
      </c>
      <c r="AB78">
        <f>HYPERLINK("https://klasma.github.io/Logging_0581/klagomålsmail/A 42365-2025 FSC-klagomål mail.docx", "A 42365-2025")</f>
        <v/>
      </c>
      <c r="AC78">
        <f>HYPERLINK("https://klasma.github.io/Logging_0581/tillsyn/A 42365-2025 tillsynsbegäran.docx", "A 42365-2025")</f>
        <v/>
      </c>
      <c r="AD78">
        <f>HYPERLINK("https://klasma.github.io/Logging_0581/tillsynsmail/A 42365-2025 tillsynsbegäran mail.docx", "A 42365-2025")</f>
        <v/>
      </c>
    </row>
    <row r="79" ht="15" customHeight="1">
      <c r="A79" t="inlineStr">
        <is>
          <t>A 12188-2026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46298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Blomkålssvamp
Korallrot</t>
        </is>
      </c>
      <c r="W79">
        <f>HYPERLINK("https://klasma.github.io/Logging_0581/artfynd/A 12188-2026 artfynd.xlsx", "A 12188-2026")</f>
        <v/>
      </c>
      <c r="X79">
        <f>HYPERLINK("https://klasma.github.io/Logging_0581/kartor/A 12188-2026 karta.png", "A 12188-2026")</f>
        <v/>
      </c>
      <c r="Y79">
        <f>HYPERLINK("https://klasma.github.io/Logging_0581/kartor_geotiff/A 12188-2026 georefererad karta.tif", "A 12188-2026")</f>
        <v/>
      </c>
      <c r="AA79">
        <f>HYPERLINK("https://klasma.github.io/Logging_0581/klagomål/A 12188-2026 FSC-klagomål.docx", "A 12188-2026")</f>
        <v/>
      </c>
      <c r="AB79">
        <f>HYPERLINK("https://klasma.github.io/Logging_0581/klagomålsmail/A 12188-2026 FSC-klagomål mail.docx", "A 12188-2026")</f>
        <v/>
      </c>
      <c r="AC79">
        <f>HYPERLINK("https://klasma.github.io/Logging_0581/tillsyn/A 12188-2026 tillsynsbegäran.docx", "A 12188-2026")</f>
        <v/>
      </c>
      <c r="AD79">
        <f>HYPERLINK("https://klasma.github.io/Logging_0581/tillsynsmail/A 12188-2026 tillsynsbegäran mail.docx", "A 12188-2026")</f>
        <v/>
      </c>
    </row>
    <row r="80" ht="15" customHeight="1">
      <c r="A80" t="inlineStr">
        <is>
          <t>A 46692-2024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45583</v>
      </c>
      <c r="E80" s="1" t="n">
        <v>46298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1.4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Dvärgbägarlav
Flagellkvastmossa</t>
        </is>
      </c>
      <c r="W80">
        <f>HYPERLINK("https://klasma.github.io/Logging_0581/artfynd/A 46692-2024 artfynd.xlsx", "A 46692-2024")</f>
        <v/>
      </c>
      <c r="X80">
        <f>HYPERLINK("https://klasma.github.io/Logging_0581/kartor/A 46692-2024 karta.png", "A 46692-2024")</f>
        <v/>
      </c>
      <c r="Y80">
        <f>HYPERLINK("https://klasma.github.io/Logging_0581/kartor_geotiff/A 46692-2024 georefererad karta.tif", "A 46692-2024")</f>
        <v/>
      </c>
      <c r="AA80">
        <f>HYPERLINK("https://klasma.github.io/Logging_0581/klagomål/A 46692-2024 FSC-klagomål.docx", "A 46692-2024")</f>
        <v/>
      </c>
      <c r="AB80">
        <f>HYPERLINK("https://klasma.github.io/Logging_0581/klagomålsmail/A 46692-2024 FSC-klagomål mail.docx", "A 46692-2024")</f>
        <v/>
      </c>
      <c r="AC80">
        <f>HYPERLINK("https://klasma.github.io/Logging_0581/tillsyn/A 46692-2024 tillsynsbegäran.docx", "A 46692-2024")</f>
        <v/>
      </c>
      <c r="AD80">
        <f>HYPERLINK("https://klasma.github.io/Logging_0581/tillsynsmail/A 46692-2024 tillsynsbegäran mail.docx", "A 46692-2024")</f>
        <v/>
      </c>
    </row>
    <row r="81" ht="15" customHeight="1">
      <c r="A81" t="inlineStr">
        <is>
          <t>A 11490-2023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46298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Mattlummer
Trädlärka</t>
        </is>
      </c>
      <c r="W81">
        <f>HYPERLINK("https://klasma.github.io/Logging_0581/artfynd/A 11490-2023 artfynd.xlsx", "A 11490-2023")</f>
        <v/>
      </c>
      <c r="X81">
        <f>HYPERLINK("https://klasma.github.io/Logging_0581/kartor/A 11490-2023 karta.png", "A 11490-2023")</f>
        <v/>
      </c>
      <c r="Y81">
        <f>HYPERLINK("https://klasma.github.io/Logging_0581/kartor_geotiff/A 11490-2023 georefererad karta.tif", "A 11490-2023")</f>
        <v/>
      </c>
      <c r="AA81">
        <f>HYPERLINK("https://klasma.github.io/Logging_0581/klagomål/A 11490-2023 FSC-klagomål.docx", "A 11490-2023")</f>
        <v/>
      </c>
      <c r="AB81">
        <f>HYPERLINK("https://klasma.github.io/Logging_0581/klagomålsmail/A 11490-2023 FSC-klagomål mail.docx", "A 11490-2023")</f>
        <v/>
      </c>
      <c r="AC81">
        <f>HYPERLINK("https://klasma.github.io/Logging_0581/tillsyn/A 11490-2023 tillsynsbegäran.docx", "A 11490-2023")</f>
        <v/>
      </c>
      <c r="AD81">
        <f>HYPERLINK("https://klasma.github.io/Logging_0581/tillsynsmail/A 11490-2023 tillsynsbegäran mail.docx", "A 11490-2023")</f>
        <v/>
      </c>
      <c r="AE81">
        <f>HYPERLINK("https://klasma.github.io/Logging_0581/fåglar/A 11490-2023 prioriterade fågelarter.docx", "A 11490-2023")</f>
        <v/>
      </c>
    </row>
    <row r="82" ht="15" customHeight="1">
      <c r="A82" t="inlineStr">
        <is>
          <t>A 56971-2025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46298</v>
      </c>
      <c r="F82" t="inlineStr">
        <is>
          <t>ÖSTERGÖTLANDS LÄN</t>
        </is>
      </c>
      <c r="G82" t="inlineStr">
        <is>
          <t>NORRKÖPING</t>
        </is>
      </c>
      <c r="I82" t="n">
        <v>9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Tallticka</t>
        </is>
      </c>
      <c r="W82">
        <f>HYPERLINK("https://klasma.github.io/Logging_0581/artfynd/A 56971-2025 artfynd.xlsx", "A 56971-2025")</f>
        <v/>
      </c>
      <c r="X82">
        <f>HYPERLINK("https://klasma.github.io/Logging_0581/kartor/A 56971-2025 karta.png", "A 56971-2025")</f>
        <v/>
      </c>
      <c r="Y82">
        <f>HYPERLINK("https://klasma.github.io/Logging_0581/kartor_geotiff/A 56971-2025 georefererad karta.tif", "A 56971-2025")</f>
        <v/>
      </c>
      <c r="Z82">
        <f>HYPERLINK("https://klasma.github.io/Logging_0581/knärot/A 56971-2025 karta knärot.png", "A 56971-2025")</f>
        <v/>
      </c>
      <c r="AA82">
        <f>HYPERLINK("https://klasma.github.io/Logging_0581/klagomål/A 56971-2025 FSC-klagomål.docx", "A 56971-2025")</f>
        <v/>
      </c>
      <c r="AB82">
        <f>HYPERLINK("https://klasma.github.io/Logging_0581/klagomålsmail/A 56971-2025 FSC-klagomål mail.docx", "A 56971-2025")</f>
        <v/>
      </c>
      <c r="AC82">
        <f>HYPERLINK("https://klasma.github.io/Logging_0581/tillsyn/A 56971-2025 tillsynsbegäran.docx", "A 56971-2025")</f>
        <v/>
      </c>
      <c r="AD82">
        <f>HYPERLINK("https://klasma.github.io/Logging_0581/tillsynsmail/A 56971-2025 tillsynsbegäran mail.docx", "A 56971-2025")</f>
        <v/>
      </c>
    </row>
    <row r="83" ht="15" customHeight="1">
      <c r="A83" t="inlineStr">
        <is>
          <t>A 58380-2025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45985</v>
      </c>
      <c r="E83" s="1" t="n">
        <v>46298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10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Knärot
Tallticka</t>
        </is>
      </c>
      <c r="W83">
        <f>HYPERLINK("https://klasma.github.io/Logging_0581/artfynd/A 58380-2025 artfynd.xlsx", "A 58380-2025")</f>
        <v/>
      </c>
      <c r="X83">
        <f>HYPERLINK("https://klasma.github.io/Logging_0581/kartor/A 58380-2025 karta.png", "A 58380-2025")</f>
        <v/>
      </c>
      <c r="Y83">
        <f>HYPERLINK("https://klasma.github.io/Logging_0581/kartor_geotiff/A 58380-2025 georefererad karta.tif", "A 58380-2025")</f>
        <v/>
      </c>
      <c r="Z83">
        <f>HYPERLINK("https://klasma.github.io/Logging_0581/knärot/A 58380-2025 karta knärot.png", "A 58380-2025")</f>
        <v/>
      </c>
      <c r="AA83">
        <f>HYPERLINK("https://klasma.github.io/Logging_0581/klagomål/A 58380-2025 FSC-klagomål.docx", "A 58380-2025")</f>
        <v/>
      </c>
      <c r="AB83">
        <f>HYPERLINK("https://klasma.github.io/Logging_0581/klagomålsmail/A 58380-2025 FSC-klagomål mail.docx", "A 58380-2025")</f>
        <v/>
      </c>
      <c r="AC83">
        <f>HYPERLINK("https://klasma.github.io/Logging_0581/tillsyn/A 58380-2025 tillsynsbegäran.docx", "A 58380-2025")</f>
        <v/>
      </c>
      <c r="AD83">
        <f>HYPERLINK("https://klasma.github.io/Logging_0581/tillsynsmail/A 58380-2025 tillsynsbegäran mail.docx", "A 58380-2025")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46298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46298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46298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10769-2024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46298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2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10769-2024 artfynd.xlsx", "A 10769-2024")</f>
        <v/>
      </c>
      <c r="X88">
        <f>HYPERLINK("https://klasma.github.io/Logging_0581/kartor/A 10769-2024 karta.png", "A 10769-2024")</f>
        <v/>
      </c>
      <c r="Y88">
        <f>HYPERLINK("https://klasma.github.io/Logging_0581/kartor_geotiff/A 10769-2024 georefererad karta.tif", "A 10769-2024")</f>
        <v/>
      </c>
      <c r="AA88">
        <f>HYPERLINK("https://klasma.github.io/Logging_0581/klagomål/A 10769-2024 FSC-klagomål.docx", "A 10769-2024")</f>
        <v/>
      </c>
      <c r="AB88">
        <f>HYPERLINK("https://klasma.github.io/Logging_0581/klagomålsmail/A 10769-2024 FSC-klagomål mail.docx", "A 10769-2024")</f>
        <v/>
      </c>
      <c r="AC88">
        <f>HYPERLINK("https://klasma.github.io/Logging_0581/tillsyn/A 10769-2024 tillsynsbegäran.docx", "A 10769-2024")</f>
        <v/>
      </c>
      <c r="AD88">
        <f>HYPERLINK("https://klasma.github.io/Logging_0581/tillsynsmail/A 10769-2024 tillsynsbegäran mail.docx", "A 10769-2024")</f>
        <v/>
      </c>
      <c r="AE88">
        <f>HYPERLINK("https://klasma.github.io/Logging_0581/fåglar/A 10769-2024 prioriterade fågelarter.docx", "A 10769-2024")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46298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46298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46298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46298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46298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46298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46298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46298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28895-2026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46199</v>
      </c>
      <c r="E98" s="1" t="n">
        <v>46298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28895-2026 artfynd.xlsx", "A 28895-2026")</f>
        <v/>
      </c>
      <c r="X98">
        <f>HYPERLINK("https://klasma.github.io/Logging_0581/kartor/A 28895-2026 karta.png", "A 28895-2026")</f>
        <v/>
      </c>
      <c r="Y98">
        <f>HYPERLINK("https://klasma.github.io/Logging_0581/kartor_geotiff/A 28895-2026 georefererad karta.tif", "A 28895-2026")</f>
        <v/>
      </c>
      <c r="AA98">
        <f>HYPERLINK("https://klasma.github.io/Logging_0581/klagomål/A 28895-2026 FSC-klagomål.docx", "A 28895-2026")</f>
        <v/>
      </c>
      <c r="AB98">
        <f>HYPERLINK("https://klasma.github.io/Logging_0581/klagomålsmail/A 28895-2026 FSC-klagomål mail.docx", "A 28895-2026")</f>
        <v/>
      </c>
      <c r="AC98">
        <f>HYPERLINK("https://klasma.github.io/Logging_0581/tillsyn/A 28895-2026 tillsynsbegäran.docx", "A 28895-2026")</f>
        <v/>
      </c>
      <c r="AD98">
        <f>HYPERLINK("https://klasma.github.io/Logging_0581/tillsynsmail/A 28895-2026 tillsynsbegäran mail.docx", "A 28895-2026")</f>
        <v/>
      </c>
    </row>
    <row r="99" ht="15" customHeight="1">
      <c r="A99" t="inlineStr">
        <is>
          <t>A 24233-2025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45797</v>
      </c>
      <c r="E99" s="1" t="n">
        <v>46298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5.4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Tallticka
Granbarkgnagare</t>
        </is>
      </c>
      <c r="W99">
        <f>HYPERLINK("https://klasma.github.io/Logging_0581/artfynd/A 24233-2025 artfynd.xlsx", "A 24233-2025")</f>
        <v/>
      </c>
      <c r="X99">
        <f>HYPERLINK("https://klasma.github.io/Logging_0581/kartor/A 24233-2025 karta.png", "A 24233-2025")</f>
        <v/>
      </c>
      <c r="Y99">
        <f>HYPERLINK("https://klasma.github.io/Logging_0581/kartor_geotiff/A 24233-2025 georefererad karta.tif", "A 24233-2025")</f>
        <v/>
      </c>
      <c r="AA99">
        <f>HYPERLINK("https://klasma.github.io/Logging_0581/klagomål/A 24233-2025 FSC-klagomål.docx", "A 24233-2025")</f>
        <v/>
      </c>
      <c r="AB99">
        <f>HYPERLINK("https://klasma.github.io/Logging_0581/klagomålsmail/A 24233-2025 FSC-klagomål mail.docx", "A 24233-2025")</f>
        <v/>
      </c>
      <c r="AC99">
        <f>HYPERLINK("https://klasma.github.io/Logging_0581/tillsyn/A 24233-2025 tillsynsbegäran.docx", "A 24233-2025")</f>
        <v/>
      </c>
      <c r="AD99">
        <f>HYPERLINK("https://klasma.github.io/Logging_0581/tillsynsmail/A 24233-2025 tillsynsbegäran mail.docx", "A 24233-2025")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46298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46298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20377-2023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46298</v>
      </c>
      <c r="F103" t="inlineStr">
        <is>
          <t>ÖSTERGÖTLANDS LÄN</t>
        </is>
      </c>
      <c r="G103" t="inlineStr">
        <is>
          <t>NORRKÖPING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4</v>
      </c>
      <c r="U103" t="n">
        <v>0</v>
      </c>
      <c r="V103" s="2" t="inlineStr">
        <is>
          <t>Tallticka
Kungsfågel</t>
        </is>
      </c>
      <c r="W103">
        <f>HYPERLINK("https://klasma.github.io/Logging_0581/artfynd/A 20377-2023 artfynd.xlsx", "A 20377-2023")</f>
        <v/>
      </c>
      <c r="X103">
        <f>HYPERLINK("https://klasma.github.io/Logging_0581/kartor/A 20377-2023 karta.png", "A 20377-2023")</f>
        <v/>
      </c>
      <c r="Y103">
        <f>HYPERLINK("https://klasma.github.io/Logging_0581/kartor_geotiff/A 20377-2023 georefererad karta.tif", "A 20377-2023")</f>
        <v/>
      </c>
      <c r="AA103">
        <f>HYPERLINK("https://klasma.github.io/Logging_0581/klagomål/A 20377-2023 FSC-klagomål.docx", "A 20377-2023")</f>
        <v/>
      </c>
      <c r="AB103">
        <f>HYPERLINK("https://klasma.github.io/Logging_0581/klagomålsmail/A 20377-2023 FSC-klagomål mail.docx", "A 20377-2023")</f>
        <v/>
      </c>
      <c r="AC103">
        <f>HYPERLINK("https://klasma.github.io/Logging_0581/tillsyn/A 20377-2023 tillsynsbegäran.docx", "A 20377-2023")</f>
        <v/>
      </c>
      <c r="AD103">
        <f>HYPERLINK("https://klasma.github.io/Logging_0581/tillsynsmail/A 20377-2023 tillsynsbegäran mail.docx", "A 20377-2023")</f>
        <v/>
      </c>
    </row>
    <row r="104" ht="15" customHeight="1">
      <c r="A104" t="inlineStr">
        <is>
          <t>A 32078-2026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46233</v>
      </c>
      <c r="E104" s="1" t="n">
        <v>46298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1.8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Grönpyrola
Mindre märgborre</t>
        </is>
      </c>
      <c r="W104">
        <f>HYPERLINK("https://klasma.github.io/Logging_0581/artfynd/A 32078-2026 artfynd.xlsx", "A 32078-2026")</f>
        <v/>
      </c>
      <c r="X104">
        <f>HYPERLINK("https://klasma.github.io/Logging_0581/kartor/A 32078-2026 karta.png", "A 32078-2026")</f>
        <v/>
      </c>
      <c r="Y104">
        <f>HYPERLINK("https://klasma.github.io/Logging_0581/kartor_geotiff/A 32078-2026 georefererad karta.tif", "A 32078-2026")</f>
        <v/>
      </c>
      <c r="AA104">
        <f>HYPERLINK("https://klasma.github.io/Logging_0581/klagomål/A 32078-2026 FSC-klagomål.docx", "A 32078-2026")</f>
        <v/>
      </c>
      <c r="AB104">
        <f>HYPERLINK("https://klasma.github.io/Logging_0581/klagomålsmail/A 32078-2026 FSC-klagomål mail.docx", "A 32078-2026")</f>
        <v/>
      </c>
      <c r="AC104">
        <f>HYPERLINK("https://klasma.github.io/Logging_0581/tillsyn/A 32078-2026 tillsynsbegäran.docx", "A 32078-2026")</f>
        <v/>
      </c>
      <c r="AD104">
        <f>HYPERLINK("https://klasma.github.io/Logging_0581/tillsynsmail/A 32078-2026 tillsynsbegäran mail.docx", "A 32078-2026")</f>
        <v/>
      </c>
    </row>
    <row r="105" ht="15" customHeight="1">
      <c r="A105" t="inlineStr">
        <is>
          <t>A 32077-2026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46298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3.5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Grönpyrola
Mindre märgborre</t>
        </is>
      </c>
      <c r="W105">
        <f>HYPERLINK("https://klasma.github.io/Logging_0581/artfynd/A 32077-2026 artfynd.xlsx", "A 32077-2026")</f>
        <v/>
      </c>
      <c r="X105">
        <f>HYPERLINK("https://klasma.github.io/Logging_0581/kartor/A 32077-2026 karta.png", "A 32077-2026")</f>
        <v/>
      </c>
      <c r="Y105">
        <f>HYPERLINK("https://klasma.github.io/Logging_0581/kartor_geotiff/A 32077-2026 georefererad karta.tif", "A 32077-2026")</f>
        <v/>
      </c>
      <c r="AA105">
        <f>HYPERLINK("https://klasma.github.io/Logging_0581/klagomål/A 32077-2026 FSC-klagomål.docx", "A 32077-2026")</f>
        <v/>
      </c>
      <c r="AB105">
        <f>HYPERLINK("https://klasma.github.io/Logging_0581/klagomålsmail/A 32077-2026 FSC-klagomål mail.docx", "A 32077-2026")</f>
        <v/>
      </c>
      <c r="AC105">
        <f>HYPERLINK("https://klasma.github.io/Logging_0581/tillsyn/A 32077-2026 tillsynsbegäran.docx", "A 32077-2026")</f>
        <v/>
      </c>
      <c r="AD105">
        <f>HYPERLINK("https://klasma.github.io/Logging_0581/tillsynsmail/A 32077-2026 tillsynsbegäran mail.docx", "A 32077-2026")</f>
        <v/>
      </c>
    </row>
    <row r="106" ht="15" customHeight="1">
      <c r="A106" t="inlineStr">
        <is>
          <t>A 27503-2022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46298</v>
      </c>
      <c r="F106" t="inlineStr">
        <is>
          <t>ÖSTERGÖTLANDS LÄN</t>
        </is>
      </c>
      <c r="G106" t="inlineStr">
        <is>
          <t>NORRKÖPING</t>
        </is>
      </c>
      <c r="I106" t="n">
        <v>2.9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Svinrot
Ängsskära</t>
        </is>
      </c>
      <c r="W106">
        <f>HYPERLINK("https://klasma.github.io/Logging_0581/artfynd/A 27503-2022 artfynd.xlsx", "A 27503-2022")</f>
        <v/>
      </c>
      <c r="X106">
        <f>HYPERLINK("https://klasma.github.io/Logging_0581/kartor/A 27503-2022 karta.png", "A 27503-2022")</f>
        <v/>
      </c>
      <c r="Y106">
        <f>HYPERLINK("https://klasma.github.io/Logging_0581/kartor_geotiff/A 27503-2022 georefererad karta.tif", "A 27503-2022")</f>
        <v/>
      </c>
      <c r="AA106">
        <f>HYPERLINK("https://klasma.github.io/Logging_0581/klagomål/A 27503-2022 FSC-klagomål.docx", "A 27503-2022")</f>
        <v/>
      </c>
      <c r="AB106">
        <f>HYPERLINK("https://klasma.github.io/Logging_0581/klagomålsmail/A 27503-2022 FSC-klagomål mail.docx", "A 27503-2022")</f>
        <v/>
      </c>
      <c r="AC106">
        <f>HYPERLINK("https://klasma.github.io/Logging_0581/tillsyn/A 27503-2022 tillsynsbegäran.docx", "A 27503-2022")</f>
        <v/>
      </c>
      <c r="AD106">
        <f>HYPERLINK("https://klasma.github.io/Logging_0581/tillsynsmail/A 27503-2022 tillsynsbegäran mail.docx", "A 27503-2022")</f>
        <v/>
      </c>
    </row>
    <row r="107" ht="15" customHeight="1">
      <c r="A107" t="inlineStr">
        <is>
          <t>A 46955-2023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46298</v>
      </c>
      <c r="F107" t="inlineStr">
        <is>
          <t>ÖSTERGÖTLANDS LÄN</t>
        </is>
      </c>
      <c r="G107" t="inlineStr">
        <is>
          <t>NORRKÖPING</t>
        </is>
      </c>
      <c r="I107" t="n">
        <v>4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Sparvuggla</t>
        </is>
      </c>
      <c r="W107">
        <f>HYPERLINK("https://klasma.github.io/Logging_0581/artfynd/A 46955-2023 artfynd.xlsx", "A 46955-2023")</f>
        <v/>
      </c>
      <c r="X107">
        <f>HYPERLINK("https://klasma.github.io/Logging_0581/kartor/A 46955-2023 karta.png", "A 46955-2023")</f>
        <v/>
      </c>
      <c r="Y107">
        <f>HYPERLINK("https://klasma.github.io/Logging_0581/kartor_geotiff/A 46955-2023 georefererad karta.tif", "A 46955-2023")</f>
        <v/>
      </c>
      <c r="AA107">
        <f>HYPERLINK("https://klasma.github.io/Logging_0581/klagomål/A 46955-2023 FSC-klagomål.docx", "A 46955-2023")</f>
        <v/>
      </c>
      <c r="AB107">
        <f>HYPERLINK("https://klasma.github.io/Logging_0581/klagomålsmail/A 46955-2023 FSC-klagomål mail.docx", "A 46955-2023")</f>
        <v/>
      </c>
      <c r="AC107">
        <f>HYPERLINK("https://klasma.github.io/Logging_0581/tillsyn/A 46955-2023 tillsynsbegäran.docx", "A 46955-2023")</f>
        <v/>
      </c>
      <c r="AD107">
        <f>HYPERLINK("https://klasma.github.io/Logging_0581/tillsynsmail/A 46955-2023 tillsynsbegäran mail.docx", "A 46955-2023")</f>
        <v/>
      </c>
      <c r="AE107">
        <f>HYPERLINK("https://klasma.github.io/Logging_0581/fåglar/A 46955-2023 prioriterade fågelarter.docx", "A 46955-2023")</f>
        <v/>
      </c>
    </row>
    <row r="108" ht="15" customHeight="1">
      <c r="A108" t="inlineStr">
        <is>
          <t>A 38475-2026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46282</v>
      </c>
      <c r="E108" s="1" t="n">
        <v>46298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8</v>
      </c>
      <c r="J108" t="n">
        <v>1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Ljungögontröst
Talltita</t>
        </is>
      </c>
      <c r="W108">
        <f>HYPERLINK("https://klasma.github.io/Logging_0581/artfynd/A 38475-2026 artfynd.xlsx", "A 38475-2026")</f>
        <v/>
      </c>
      <c r="X108">
        <f>HYPERLINK("https://klasma.github.io/Logging_0581/kartor/A 38475-2026 karta.png", "A 38475-2026")</f>
        <v/>
      </c>
      <c r="Y108">
        <f>HYPERLINK("https://klasma.github.io/Logging_0581/kartor_geotiff/A 38475-2026 georefererad karta.tif", "A 38475-2026")</f>
        <v/>
      </c>
      <c r="AA108">
        <f>HYPERLINK("https://klasma.github.io/Logging_0581/klagomål/A 38475-2026 FSC-klagomål.docx", "A 38475-2026")</f>
        <v/>
      </c>
      <c r="AB108">
        <f>HYPERLINK("https://klasma.github.io/Logging_0581/klagomålsmail/A 38475-2026 FSC-klagomål mail.docx", "A 38475-2026")</f>
        <v/>
      </c>
      <c r="AC108">
        <f>HYPERLINK("https://klasma.github.io/Logging_0581/tillsyn/A 38475-2026 tillsynsbegäran.docx", "A 38475-2026")</f>
        <v/>
      </c>
      <c r="AD108">
        <f>HYPERLINK("https://klasma.github.io/Logging_0581/tillsynsmail/A 38475-2026 tillsynsbegäran mail.docx", "A 38475-2026")</f>
        <v/>
      </c>
      <c r="AE108">
        <f>HYPERLINK("https://klasma.github.io/Logging_0581/fåglar/A 38475-2026 prioriterade fågelarter.docx", "A 38475-2026")</f>
        <v/>
      </c>
    </row>
    <row r="109" ht="15" customHeight="1">
      <c r="A109" t="inlineStr">
        <is>
          <t>A 9722-2025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46298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Ask
Blåsippa</t>
        </is>
      </c>
      <c r="W109">
        <f>HYPERLINK("https://klasma.github.io/Logging_0581/artfynd/A 9722-2025 artfynd.xlsx", "A 9722-2025")</f>
        <v/>
      </c>
      <c r="X109">
        <f>HYPERLINK("https://klasma.github.io/Logging_0581/kartor/A 9722-2025 karta.png", "A 9722-2025")</f>
        <v/>
      </c>
      <c r="Y109">
        <f>HYPERLINK("https://klasma.github.io/Logging_0581/kartor_geotiff/A 9722-2025 georefererad karta.tif", "A 9722-2025")</f>
        <v/>
      </c>
      <c r="AA109">
        <f>HYPERLINK("https://klasma.github.io/Logging_0581/klagomål/A 9722-2025 FSC-klagomål.docx", "A 9722-2025")</f>
        <v/>
      </c>
      <c r="AB109">
        <f>HYPERLINK("https://klasma.github.io/Logging_0581/klagomålsmail/A 9722-2025 FSC-klagomål mail.docx", "A 9722-2025")</f>
        <v/>
      </c>
      <c r="AC109">
        <f>HYPERLINK("https://klasma.github.io/Logging_0581/tillsyn/A 9722-2025 tillsynsbegäran.docx", "A 9722-2025")</f>
        <v/>
      </c>
      <c r="AD109">
        <f>HYPERLINK("https://klasma.github.io/Logging_0581/tillsynsmail/A 9722-2025 tillsynsbegäran mail.docx", "A 9722-2025")</f>
        <v/>
      </c>
    </row>
    <row r="110" ht="15" customHeight="1">
      <c r="A110" t="inlineStr">
        <is>
          <t>A 17248-2024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45414</v>
      </c>
      <c r="E110" s="1" t="n">
        <v>46298</v>
      </c>
      <c r="F110" t="inlineStr">
        <is>
          <t>ÖSTERGÖTLANDS LÄN</t>
        </is>
      </c>
      <c r="G110" t="inlineStr">
        <is>
          <t>NORRKÖPING</t>
        </is>
      </c>
      <c r="I110" t="n">
        <v>2.6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Tallticka
Vedticka</t>
        </is>
      </c>
      <c r="W110">
        <f>HYPERLINK("https://klasma.github.io/Logging_0581/artfynd/A 17248-2024 artfynd.xlsx", "A 17248-2024")</f>
        <v/>
      </c>
      <c r="X110">
        <f>HYPERLINK("https://klasma.github.io/Logging_0581/kartor/A 17248-2024 karta.png", "A 17248-2024")</f>
        <v/>
      </c>
      <c r="Y110">
        <f>HYPERLINK("https://klasma.github.io/Logging_0581/kartor_geotiff/A 17248-2024 georefererad karta.tif", "A 17248-2024")</f>
        <v/>
      </c>
      <c r="AA110">
        <f>HYPERLINK("https://klasma.github.io/Logging_0581/klagomål/A 17248-2024 FSC-klagomål.docx", "A 17248-2024")</f>
        <v/>
      </c>
      <c r="AB110">
        <f>HYPERLINK("https://klasma.github.io/Logging_0581/klagomålsmail/A 17248-2024 FSC-klagomål mail.docx", "A 17248-2024")</f>
        <v/>
      </c>
      <c r="AC110">
        <f>HYPERLINK("https://klasma.github.io/Logging_0581/tillsyn/A 17248-2024 tillsynsbegäran.docx", "A 17248-2024")</f>
        <v/>
      </c>
      <c r="AD110">
        <f>HYPERLINK("https://klasma.github.io/Logging_0581/tillsynsmail/A 17248-2024 tillsynsbegäran mail.docx", "A 17248-2024")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46298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46298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46298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46298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46298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46298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46298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46298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46298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46298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46298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46298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46298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46298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46298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46298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46298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42548-2025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46298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Kattfotslav</t>
        </is>
      </c>
      <c r="W128">
        <f>HYPERLINK("https://klasma.github.io/Logging_0581/artfynd/A 42548-2025 artfynd.xlsx", "A 42548-2025")</f>
        <v/>
      </c>
      <c r="X128">
        <f>HYPERLINK("https://klasma.github.io/Logging_0581/kartor/A 42548-2025 karta.png", "A 42548-2025")</f>
        <v/>
      </c>
      <c r="Y128">
        <f>HYPERLINK("https://klasma.github.io/Logging_0581/kartor_geotiff/A 42548-2025 georefererad karta.tif", "A 42548-2025")</f>
        <v/>
      </c>
      <c r="AA128">
        <f>HYPERLINK("https://klasma.github.io/Logging_0581/klagomål/A 42548-2025 FSC-klagomål.docx", "A 42548-2025")</f>
        <v/>
      </c>
      <c r="AB128">
        <f>HYPERLINK("https://klasma.github.io/Logging_0581/klagomålsmail/A 42548-2025 FSC-klagomål mail.docx", "A 42548-2025")</f>
        <v/>
      </c>
      <c r="AC128">
        <f>HYPERLINK("https://klasma.github.io/Logging_0581/tillsyn/A 42548-2025 tillsynsbegäran.docx", "A 42548-2025")</f>
        <v/>
      </c>
      <c r="AD128">
        <f>HYPERLINK("https://klasma.github.io/Logging_0581/tillsynsmail/A 42548-2025 tillsynsbegäran mail.docx", "A 42548-2025")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46298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Jungfrulin</t>
        </is>
      </c>
      <c r="W129">
        <f>HYPERLINK("https://klasma.github.io/Logging_0581/artfynd/A 42233-2025 artfynd.xlsx", "A 42233-2025")</f>
        <v/>
      </c>
      <c r="X129">
        <f>HYPERLINK("https://klasma.github.io/Logging_0581/kartor/A 42233-2025 karta.png", "A 42233-2025")</f>
        <v/>
      </c>
      <c r="Y129">
        <f>HYPERLINK("https://klasma.github.io/Logging_0581/kartor_geotiff/A 42233-2025 georefererad karta.tif", "A 42233-2025")</f>
        <v/>
      </c>
      <c r="AA129">
        <f>HYPERLINK("https://klasma.github.io/Logging_0581/klagomål/A 42233-2025 FSC-klagomål.docx", "A 42233-2025")</f>
        <v/>
      </c>
      <c r="AB129">
        <f>HYPERLINK("https://klasma.github.io/Logging_0581/klagomålsmail/A 42233-2025 FSC-klagomål mail.docx", "A 42233-2025")</f>
        <v/>
      </c>
      <c r="AC129">
        <f>HYPERLINK("https://klasma.github.io/Logging_0581/tillsyn/A 42233-2025 tillsynsbegäran.docx", "A 42233-2025")</f>
        <v/>
      </c>
      <c r="AD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2832-2026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46298</v>
      </c>
      <c r="F130" t="inlineStr">
        <is>
          <t>ÖSTERGÖTLANDS LÄN</t>
        </is>
      </c>
      <c r="G130" t="inlineStr">
        <is>
          <t>NORRKÖPING</t>
        </is>
      </c>
      <c r="I130" t="n">
        <v>5.5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HYPERLINK("https://klasma.github.io/Logging_0581/artfynd/A 2832-2026 artfynd.xlsx", "A 2832-2026")</f>
        <v/>
      </c>
      <c r="X130">
        <f>HYPERLINK("https://klasma.github.io/Logging_0581/kartor/A 2832-2026 karta.png", "A 2832-2026")</f>
        <v/>
      </c>
      <c r="Y130">
        <f>HYPERLINK("https://klasma.github.io/Logging_0581/kartor_geotiff/A 2832-2026 georefererad karta.tif", "A 2832-2026")</f>
        <v/>
      </c>
      <c r="AA130">
        <f>HYPERLINK("https://klasma.github.io/Logging_0581/klagomål/A 2832-2026 FSC-klagomål.docx", "A 2832-2026")</f>
        <v/>
      </c>
      <c r="AB130">
        <f>HYPERLINK("https://klasma.github.io/Logging_0581/klagomålsmail/A 2832-2026 FSC-klagomål mail.docx", "A 2832-2026")</f>
        <v/>
      </c>
      <c r="AC130">
        <f>HYPERLINK("https://klasma.github.io/Logging_0581/tillsyn/A 2832-2026 tillsynsbegäran.docx", "A 2832-2026")</f>
        <v/>
      </c>
      <c r="AD130">
        <f>HYPERLINK("https://klasma.github.io/Logging_0581/tillsynsmail/A 2832-2026 tillsynsbegäran mail.docx", "A 2832-2026")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46298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6347-2026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46298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Kommuner</t>
        </is>
      </c>
      <c r="I132" t="n">
        <v>1.8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Blanksvart trämyra</t>
        </is>
      </c>
      <c r="W132">
        <f>HYPERLINK("https://klasma.github.io/Logging_0581/artfynd/A 6347-2026 artfynd.xlsx", "A 6347-2026")</f>
        <v/>
      </c>
      <c r="X132">
        <f>HYPERLINK("https://klasma.github.io/Logging_0581/kartor/A 6347-2026 karta.png", "A 6347-2026")</f>
        <v/>
      </c>
      <c r="Y132">
        <f>HYPERLINK("https://klasma.github.io/Logging_0581/kartor_geotiff/A 6347-2026 georefererad karta.tif", "A 6347-2026")</f>
        <v/>
      </c>
      <c r="AA132">
        <f>HYPERLINK("https://klasma.github.io/Logging_0581/klagomål/A 6347-2026 FSC-klagomål.docx", "A 6347-2026")</f>
        <v/>
      </c>
      <c r="AB132">
        <f>HYPERLINK("https://klasma.github.io/Logging_0581/klagomålsmail/A 6347-2026 FSC-klagomål mail.docx", "A 6347-2026")</f>
        <v/>
      </c>
      <c r="AC132">
        <f>HYPERLINK("https://klasma.github.io/Logging_0581/tillsyn/A 6347-2026 tillsynsbegäran.docx", "A 6347-2026")</f>
        <v/>
      </c>
      <c r="AD132">
        <f>HYPERLINK("https://klasma.github.io/Logging_0581/tillsynsmail/A 6347-2026 tillsynsbegäran mail.docx", "A 6347-2026")</f>
        <v/>
      </c>
    </row>
    <row r="133" ht="15" customHeight="1">
      <c r="A133" t="inlineStr">
        <is>
          <t>A 41369-2023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46298</v>
      </c>
      <c r="F133" t="inlineStr">
        <is>
          <t>ÖSTERGÖTLANDS LÄN</t>
        </is>
      </c>
      <c r="G133" t="inlineStr">
        <is>
          <t>NORRKÖPING</t>
        </is>
      </c>
      <c r="I133" t="n">
        <v>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Tallticka</t>
        </is>
      </c>
      <c r="W133">
        <f>HYPERLINK("https://klasma.github.io/Logging_0581/artfynd/A 41369-2023 artfynd.xlsx", "A 41369-2023")</f>
        <v/>
      </c>
      <c r="X133">
        <f>HYPERLINK("https://klasma.github.io/Logging_0581/kartor/A 41369-2023 karta.png", "A 41369-2023")</f>
        <v/>
      </c>
      <c r="Y133">
        <f>HYPERLINK("https://klasma.github.io/Logging_0581/kartor_geotiff/A 41369-2023 georefererad karta.tif", "A 41369-2023")</f>
        <v/>
      </c>
      <c r="AA133">
        <f>HYPERLINK("https://klasma.github.io/Logging_0581/klagomål/A 41369-2023 FSC-klagomål.docx", "A 41369-2023")</f>
        <v/>
      </c>
      <c r="AB133">
        <f>HYPERLINK("https://klasma.github.io/Logging_0581/klagomålsmail/A 41369-2023 FSC-klagomål mail.docx", "A 41369-2023")</f>
        <v/>
      </c>
      <c r="AC133">
        <f>HYPERLINK("https://klasma.github.io/Logging_0581/tillsyn/A 41369-2023 tillsynsbegäran.docx", "A 41369-2023")</f>
        <v/>
      </c>
      <c r="AD133">
        <f>HYPERLINK("https://klasma.github.io/Logging_0581/tillsynsmail/A 41369-2023 tillsynsbegäran mail.docx", "A 41369-2023")</f>
        <v/>
      </c>
    </row>
    <row r="134" ht="15" customHeight="1">
      <c r="A134" t="inlineStr">
        <is>
          <t>A 9941-2024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46298</v>
      </c>
      <c r="F134" t="inlineStr">
        <is>
          <t>ÖSTERGÖTLANDS LÄN</t>
        </is>
      </c>
      <c r="G134" t="inlineStr">
        <is>
          <t>NORRKÖPING</t>
        </is>
      </c>
      <c r="I134" t="n">
        <v>3.1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Purpurknipprot</t>
        </is>
      </c>
      <c r="W134">
        <f>HYPERLINK("https://klasma.github.io/Logging_0581/artfynd/A 9941-2024 artfynd.xlsx", "A 9941-2024")</f>
        <v/>
      </c>
      <c r="X134">
        <f>HYPERLINK("https://klasma.github.io/Logging_0581/kartor/A 9941-2024 karta.png", "A 9941-2024")</f>
        <v/>
      </c>
      <c r="Y134">
        <f>HYPERLINK("https://klasma.github.io/Logging_0581/kartor_geotiff/A 9941-2024 georefererad karta.tif", "A 9941-2024")</f>
        <v/>
      </c>
      <c r="AA134">
        <f>HYPERLINK("https://klasma.github.io/Logging_0581/klagomål/A 9941-2024 FSC-klagomål.docx", "A 9941-2024")</f>
        <v/>
      </c>
      <c r="AB134">
        <f>HYPERLINK("https://klasma.github.io/Logging_0581/klagomålsmail/A 9941-2024 FSC-klagomål mail.docx", "A 9941-2024")</f>
        <v/>
      </c>
      <c r="AC134">
        <f>HYPERLINK("https://klasma.github.io/Logging_0581/tillsyn/A 9941-2024 tillsynsbegäran.docx", "A 9941-2024")</f>
        <v/>
      </c>
      <c r="AD134">
        <f>HYPERLINK("https://klasma.github.io/Logging_0581/tillsynsmail/A 9941-2024 tillsynsbegäran mail.docx", "A 9941-2024")</f>
        <v/>
      </c>
    </row>
    <row r="135" ht="15" customHeight="1">
      <c r="A135" t="inlineStr">
        <is>
          <t>A 1077-2023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46298</v>
      </c>
      <c r="F135" t="inlineStr">
        <is>
          <t>ÖSTERGÖTLANDS LÄN</t>
        </is>
      </c>
      <c r="G135" t="inlineStr">
        <is>
          <t>NORRKÖPING</t>
        </is>
      </c>
      <c r="I135" t="n">
        <v>3.4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Äkta lopplummer</t>
        </is>
      </c>
      <c r="W135">
        <f>HYPERLINK("https://klasma.github.io/Logging_0581/artfynd/A 1077-2023 artfynd.xlsx", "A 1077-2023")</f>
        <v/>
      </c>
      <c r="X135">
        <f>HYPERLINK("https://klasma.github.io/Logging_0581/kartor/A 1077-2023 karta.png", "A 1077-2023")</f>
        <v/>
      </c>
      <c r="Y135">
        <f>HYPERLINK("https://klasma.github.io/Logging_0581/kartor_geotiff/A 1077-2023 georefererad karta.tif", "A 1077-2023")</f>
        <v/>
      </c>
      <c r="AA135">
        <f>HYPERLINK("https://klasma.github.io/Logging_0581/klagomål/A 1077-2023 FSC-klagomål.docx", "A 1077-2023")</f>
        <v/>
      </c>
      <c r="AB135">
        <f>HYPERLINK("https://klasma.github.io/Logging_0581/klagomålsmail/A 1077-2023 FSC-klagomål mail.docx", "A 1077-2023")</f>
        <v/>
      </c>
      <c r="AC135">
        <f>HYPERLINK("https://klasma.github.io/Logging_0581/tillsyn/A 1077-2023 tillsynsbegäran.docx", "A 1077-2023")</f>
        <v/>
      </c>
      <c r="AD135">
        <f>HYPERLINK("https://klasma.github.io/Logging_0581/tillsynsmail/A 1077-2023 tillsynsbegäran mail.docx", "A 1077-2023")</f>
        <v/>
      </c>
    </row>
    <row r="136" ht="15" customHeight="1">
      <c r="A136" t="inlineStr">
        <is>
          <t>A 27236-2023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46298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Motaggsvamp</t>
        </is>
      </c>
      <c r="W136">
        <f>HYPERLINK("https://klasma.github.io/Logging_0581/artfynd/A 27236-2023 artfynd.xlsx", "A 27236-2023")</f>
        <v/>
      </c>
      <c r="X136">
        <f>HYPERLINK("https://klasma.github.io/Logging_0581/kartor/A 27236-2023 karta.png", "A 27236-2023")</f>
        <v/>
      </c>
      <c r="Y136">
        <f>HYPERLINK("https://klasma.github.io/Logging_0581/kartor_geotiff/A 27236-2023 georefererad karta.tif", "A 27236-2023")</f>
        <v/>
      </c>
      <c r="AA136">
        <f>HYPERLINK("https://klasma.github.io/Logging_0581/klagomål/A 27236-2023 FSC-klagomål.docx", "A 27236-2023")</f>
        <v/>
      </c>
      <c r="AB136">
        <f>HYPERLINK("https://klasma.github.io/Logging_0581/klagomålsmail/A 27236-2023 FSC-klagomål mail.docx", "A 27236-2023")</f>
        <v/>
      </c>
      <c r="AC136">
        <f>HYPERLINK("https://klasma.github.io/Logging_0581/tillsyn/A 27236-2023 tillsynsbegäran.docx", "A 27236-2023")</f>
        <v/>
      </c>
      <c r="AD136">
        <f>HYPERLINK("https://klasma.github.io/Logging_0581/tillsynsmail/A 27236-2023 tillsynsbegäran mail.docx", "A 27236-2023")</f>
        <v/>
      </c>
    </row>
    <row r="137" ht="15" customHeight="1">
      <c r="A137" t="inlineStr">
        <is>
          <t>A 15124-2025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46298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Vedskivlav</t>
        </is>
      </c>
      <c r="W137">
        <f>HYPERLINK("https://klasma.github.io/Logging_0581/artfynd/A 15124-2025 artfynd.xlsx", "A 15124-2025")</f>
        <v/>
      </c>
      <c r="X137">
        <f>HYPERLINK("https://klasma.github.io/Logging_0581/kartor/A 15124-2025 karta.png", "A 15124-2025")</f>
        <v/>
      </c>
      <c r="Y137">
        <f>HYPERLINK("https://klasma.github.io/Logging_0581/kartor_geotiff/A 15124-2025 georefererad karta.tif", "A 15124-2025")</f>
        <v/>
      </c>
      <c r="AA137">
        <f>HYPERLINK("https://klasma.github.io/Logging_0581/klagomål/A 15124-2025 FSC-klagomål.docx", "A 15124-2025")</f>
        <v/>
      </c>
      <c r="AB137">
        <f>HYPERLINK("https://klasma.github.io/Logging_0581/klagomålsmail/A 15124-2025 FSC-klagomål mail.docx", "A 15124-2025")</f>
        <v/>
      </c>
      <c r="AC137">
        <f>HYPERLINK("https://klasma.github.io/Logging_0581/tillsyn/A 15124-2025 tillsynsbegäran.docx", "A 15124-2025")</f>
        <v/>
      </c>
      <c r="AD137">
        <f>HYPERLINK("https://klasma.github.io/Logging_0581/tillsynsmail/A 15124-2025 tillsynsbegäran mail.docx", "A 15124-2025")</f>
        <v/>
      </c>
    </row>
    <row r="138" ht="15" customHeight="1">
      <c r="A138" t="inlineStr">
        <is>
          <t>A 11126-2026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46298</v>
      </c>
      <c r="F138" t="inlineStr">
        <is>
          <t>ÖSTERGÖTLANDS LÄN</t>
        </is>
      </c>
      <c r="G138" t="inlineStr">
        <is>
          <t>NORRKÖPING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Svinrot</t>
        </is>
      </c>
      <c r="W138">
        <f>HYPERLINK("https://klasma.github.io/Logging_0581/artfynd/A 11126-2026 artfynd.xlsx", "A 11126-2026")</f>
        <v/>
      </c>
      <c r="X138">
        <f>HYPERLINK("https://klasma.github.io/Logging_0581/kartor/A 11126-2026 karta.png", "A 11126-2026")</f>
        <v/>
      </c>
      <c r="Y138">
        <f>HYPERLINK("https://klasma.github.io/Logging_0581/kartor_geotiff/A 11126-2026 georefererad karta.tif", "A 11126-2026")</f>
        <v/>
      </c>
      <c r="AA138">
        <f>HYPERLINK("https://klasma.github.io/Logging_0581/klagomål/A 11126-2026 FSC-klagomål.docx", "A 11126-2026")</f>
        <v/>
      </c>
      <c r="AB138">
        <f>HYPERLINK("https://klasma.github.io/Logging_0581/klagomålsmail/A 11126-2026 FSC-klagomål mail.docx", "A 11126-2026")</f>
        <v/>
      </c>
      <c r="AC138">
        <f>HYPERLINK("https://klasma.github.io/Logging_0581/tillsyn/A 11126-2026 tillsynsbegäran.docx", "A 11126-2026")</f>
        <v/>
      </c>
      <c r="AD138">
        <f>HYPERLINK("https://klasma.github.io/Logging_0581/tillsynsmail/A 11126-2026 tillsynsbegäran mail.docx", "A 11126-2026")</f>
        <v/>
      </c>
    </row>
    <row r="139" ht="15" customHeight="1">
      <c r="A139" t="inlineStr">
        <is>
          <t>A 11714-2026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2.9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Gulsparv</t>
        </is>
      </c>
      <c r="W139">
        <f>HYPERLINK("https://klasma.github.io/Logging_0581/artfynd/A 11714-2026 artfynd.xlsx", "A 11714-2026")</f>
        <v/>
      </c>
      <c r="X139">
        <f>HYPERLINK("https://klasma.github.io/Logging_0581/kartor/A 11714-2026 karta.png", "A 11714-2026")</f>
        <v/>
      </c>
      <c r="Y139">
        <f>HYPERLINK("https://klasma.github.io/Logging_0581/kartor_geotiff/A 11714-2026 georefererad karta.tif", "A 11714-2026")</f>
        <v/>
      </c>
      <c r="AA139">
        <f>HYPERLINK("https://klasma.github.io/Logging_0581/klagomål/A 11714-2026 FSC-klagomål.docx", "A 11714-2026")</f>
        <v/>
      </c>
      <c r="AB139">
        <f>HYPERLINK("https://klasma.github.io/Logging_0581/klagomålsmail/A 11714-2026 FSC-klagomål mail.docx", "A 11714-2026")</f>
        <v/>
      </c>
      <c r="AC139">
        <f>HYPERLINK("https://klasma.github.io/Logging_0581/tillsyn/A 11714-2026 tillsynsbegäran.docx", "A 11714-2026")</f>
        <v/>
      </c>
      <c r="AD139">
        <f>HYPERLINK("https://klasma.github.io/Logging_0581/tillsynsmail/A 11714-2026 tillsynsbegäran mail.docx", "A 11714-2026")</f>
        <v/>
      </c>
      <c r="AE139">
        <f>HYPERLINK("https://klasma.github.io/Logging_0581/fåglar/A 11714-2026 prioriterade fågelarter.docx", "A 11714-2026")</f>
        <v/>
      </c>
    </row>
    <row r="140" ht="15" customHeight="1">
      <c r="A140" t="inlineStr">
        <is>
          <t>A 15143-2025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46298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Vedskivlav</t>
        </is>
      </c>
      <c r="W140">
        <f>HYPERLINK("https://klasma.github.io/Logging_0581/artfynd/A 15143-2025 artfynd.xlsx", "A 15143-2025")</f>
        <v/>
      </c>
      <c r="X140">
        <f>HYPERLINK("https://klasma.github.io/Logging_0581/kartor/A 15143-2025 karta.png", "A 15143-2025")</f>
        <v/>
      </c>
      <c r="Y140">
        <f>HYPERLINK("https://klasma.github.io/Logging_0581/kartor_geotiff/A 15143-2025 georefererad karta.tif", "A 15143-2025")</f>
        <v/>
      </c>
      <c r="AA140">
        <f>HYPERLINK("https://klasma.github.io/Logging_0581/klagomål/A 15143-2025 FSC-klagomål.docx", "A 15143-2025")</f>
        <v/>
      </c>
      <c r="AB140">
        <f>HYPERLINK("https://klasma.github.io/Logging_0581/klagomålsmail/A 15143-2025 FSC-klagomål mail.docx", "A 15143-2025")</f>
        <v/>
      </c>
      <c r="AC140">
        <f>HYPERLINK("https://klasma.github.io/Logging_0581/tillsyn/A 15143-2025 tillsynsbegäran.docx", "A 15143-2025")</f>
        <v/>
      </c>
      <c r="AD140">
        <f>HYPERLINK("https://klasma.github.io/Logging_0581/tillsynsmail/A 15143-2025 tillsynsbegäran mail.docx", "A 15143-2025")</f>
        <v/>
      </c>
    </row>
    <row r="141" ht="15" customHeight="1">
      <c r="A141" t="inlineStr">
        <is>
          <t>A 46671-2024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Kattfotslav</t>
        </is>
      </c>
      <c r="W141">
        <f>HYPERLINK("https://klasma.github.io/Logging_0581/artfynd/A 46671-2024 artfynd.xlsx", "A 46671-2024")</f>
        <v/>
      </c>
      <c r="X141">
        <f>HYPERLINK("https://klasma.github.io/Logging_0581/kartor/A 46671-2024 karta.png", "A 46671-2024")</f>
        <v/>
      </c>
      <c r="Y141">
        <f>HYPERLINK("https://klasma.github.io/Logging_0581/kartor_geotiff/A 46671-2024 georefererad karta.tif", "A 46671-2024")</f>
        <v/>
      </c>
      <c r="AA141">
        <f>HYPERLINK("https://klasma.github.io/Logging_0581/klagomål/A 46671-2024 FSC-klagomål.docx", "A 46671-2024")</f>
        <v/>
      </c>
      <c r="AB141">
        <f>HYPERLINK("https://klasma.github.io/Logging_0581/klagomålsmail/A 46671-2024 FSC-klagomål mail.docx", "A 46671-2024")</f>
        <v/>
      </c>
      <c r="AC141">
        <f>HYPERLINK("https://klasma.github.io/Logging_0581/tillsyn/A 46671-2024 tillsynsbegäran.docx", "A 46671-2024")</f>
        <v/>
      </c>
      <c r="AD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2545-2023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44943</v>
      </c>
      <c r="E142" s="1" t="n">
        <v>46298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Hasselticka</t>
        </is>
      </c>
      <c r="W142">
        <f>HYPERLINK("https://klasma.github.io/Logging_0581/artfynd/A 2545-2023 artfynd.xlsx", "A 2545-2023")</f>
        <v/>
      </c>
      <c r="X142">
        <f>HYPERLINK("https://klasma.github.io/Logging_0581/kartor/A 2545-2023 karta.png", "A 2545-2023")</f>
        <v/>
      </c>
      <c r="Y142">
        <f>HYPERLINK("https://klasma.github.io/Logging_0581/kartor_geotiff/A 2545-2023 georefererad karta.tif", "A 2545-2023")</f>
        <v/>
      </c>
      <c r="AA142">
        <f>HYPERLINK("https://klasma.github.io/Logging_0581/klagomål/A 2545-2023 FSC-klagomål.docx", "A 2545-2023")</f>
        <v/>
      </c>
      <c r="AB142">
        <f>HYPERLINK("https://klasma.github.io/Logging_0581/klagomålsmail/A 2545-2023 FSC-klagomål mail.docx", "A 2545-2023")</f>
        <v/>
      </c>
      <c r="AC142">
        <f>HYPERLINK("https://klasma.github.io/Logging_0581/tillsyn/A 2545-2023 tillsynsbegäran.docx", "A 2545-2023")</f>
        <v/>
      </c>
      <c r="AD142">
        <f>HYPERLINK("https://klasma.github.io/Logging_0581/tillsynsmail/A 2545-2023 tillsynsbegäran mail.docx", "A 2545-2023")</f>
        <v/>
      </c>
    </row>
    <row r="143" ht="15" customHeight="1">
      <c r="A143" t="inlineStr">
        <is>
          <t>A 31320-2025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46298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Blåmossa</t>
        </is>
      </c>
      <c r="W143">
        <f>HYPERLINK("https://klasma.github.io/Logging_0581/artfynd/A 31320-2025 artfynd.xlsx", "A 31320-2025")</f>
        <v/>
      </c>
      <c r="X143">
        <f>HYPERLINK("https://klasma.github.io/Logging_0581/kartor/A 31320-2025 karta.png", "A 31320-2025")</f>
        <v/>
      </c>
      <c r="Y143">
        <f>HYPERLINK("https://klasma.github.io/Logging_0581/kartor_geotiff/A 31320-2025 georefererad karta.tif", "A 31320-2025")</f>
        <v/>
      </c>
      <c r="AA143">
        <f>HYPERLINK("https://klasma.github.io/Logging_0581/klagomål/A 31320-2025 FSC-klagomål.docx", "A 31320-2025")</f>
        <v/>
      </c>
      <c r="AB143">
        <f>HYPERLINK("https://klasma.github.io/Logging_0581/klagomålsmail/A 31320-2025 FSC-klagomål mail.docx", "A 31320-2025")</f>
        <v/>
      </c>
      <c r="AC143">
        <f>HYPERLINK("https://klasma.github.io/Logging_0581/tillsyn/A 31320-2025 tillsynsbegäran.docx", "A 31320-2025")</f>
        <v/>
      </c>
      <c r="AD143">
        <f>HYPERLINK("https://klasma.github.io/Logging_0581/tillsynsmail/A 31320-2025 tillsynsbegäran mail.docx", "A 31320-2025")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46298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62973-2021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44504</v>
      </c>
      <c r="E145" s="1" t="n">
        <v>46298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Krusfrö</t>
        </is>
      </c>
      <c r="W145">
        <f>HYPERLINK("https://klasma.github.io/Logging_0581/artfynd/A 62973-2021 artfynd.xlsx", "A 62973-2021")</f>
        <v/>
      </c>
      <c r="X145">
        <f>HYPERLINK("https://klasma.github.io/Logging_0581/kartor/A 62973-2021 karta.png", "A 62973-2021")</f>
        <v/>
      </c>
      <c r="Y145">
        <f>HYPERLINK("https://klasma.github.io/Logging_0581/kartor_geotiff/A 62973-2021 georefererad karta.tif", "A 62973-2021")</f>
        <v/>
      </c>
      <c r="AA145">
        <f>HYPERLINK("https://klasma.github.io/Logging_0581/klagomål/A 62973-2021 FSC-klagomål.docx", "A 62973-2021")</f>
        <v/>
      </c>
      <c r="AB145">
        <f>HYPERLINK("https://klasma.github.io/Logging_0581/klagomålsmail/A 62973-2021 FSC-klagomål mail.docx", "A 62973-2021")</f>
        <v/>
      </c>
      <c r="AC145">
        <f>HYPERLINK("https://klasma.github.io/Logging_0581/tillsyn/A 62973-2021 tillsynsbegäran.docx", "A 62973-2021")</f>
        <v/>
      </c>
      <c r="AD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34078-2025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46298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HYPERLINK("https://klasma.github.io/Logging_0581/artfynd/A 34078-2025 artfynd.xlsx", "A 34078-2025")</f>
        <v/>
      </c>
      <c r="X146">
        <f>HYPERLINK("https://klasma.github.io/Logging_0581/kartor/A 34078-2025 karta.png", "A 34078-2025")</f>
        <v/>
      </c>
      <c r="Y146">
        <f>HYPERLINK("https://klasma.github.io/Logging_0581/kartor_geotiff/A 34078-2025 georefererad karta.tif", "A 34078-2025")</f>
        <v/>
      </c>
      <c r="AA146">
        <f>HYPERLINK("https://klasma.github.io/Logging_0581/klagomål/A 34078-2025 FSC-klagomål.docx", "A 34078-2025")</f>
        <v/>
      </c>
      <c r="AB146">
        <f>HYPERLINK("https://klasma.github.io/Logging_0581/klagomålsmail/A 34078-2025 FSC-klagomål mail.docx", "A 34078-2025")</f>
        <v/>
      </c>
      <c r="AC146">
        <f>HYPERLINK("https://klasma.github.io/Logging_0581/tillsyn/A 34078-2025 tillsynsbegäran.docx", "A 34078-2025")</f>
        <v/>
      </c>
      <c r="AD146">
        <f>HYPERLINK("https://klasma.github.io/Logging_0581/tillsynsmail/A 34078-2025 tillsynsbegäran mail.docx", "A 34078-2025")</f>
        <v/>
      </c>
      <c r="AE146">
        <f>HYPERLINK("https://klasma.github.io/Logging_0581/fåglar/A 34078-2025 prioriterade fågelarter.docx", "A 34078-2025")</f>
        <v/>
      </c>
    </row>
    <row r="147" ht="15" customHeight="1">
      <c r="A147" t="inlineStr">
        <is>
          <t>A 60899-2024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45645</v>
      </c>
      <c r="E147" s="1" t="n">
        <v>46298</v>
      </c>
      <c r="F147" t="inlineStr">
        <is>
          <t>ÖSTERGÖTLANDS LÄN</t>
        </is>
      </c>
      <c r="G147" t="inlineStr">
        <is>
          <t>NORRKÖPING</t>
        </is>
      </c>
      <c r="I147" t="n">
        <v>2.4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60899-2024 artfynd.xlsx", "A 60899-2024")</f>
        <v/>
      </c>
      <c r="X147">
        <f>HYPERLINK("https://klasma.github.io/Logging_0581/kartor/A 60899-2024 karta.png", "A 60899-2024")</f>
        <v/>
      </c>
      <c r="Y147">
        <f>HYPERLINK("https://klasma.github.io/Logging_0581/kartor_geotiff/A 60899-2024 georefererad karta.tif", "A 60899-2024")</f>
        <v/>
      </c>
      <c r="AA147">
        <f>HYPERLINK("https://klasma.github.io/Logging_0581/klagomål/A 60899-2024 FSC-klagomål.docx", "A 60899-2024")</f>
        <v/>
      </c>
      <c r="AB147">
        <f>HYPERLINK("https://klasma.github.io/Logging_0581/klagomålsmail/A 60899-2024 FSC-klagomål mail.docx", "A 60899-2024")</f>
        <v/>
      </c>
      <c r="AC147">
        <f>HYPERLINK("https://klasma.github.io/Logging_0581/tillsyn/A 60899-2024 tillsynsbegäran.docx", "A 60899-2024")</f>
        <v/>
      </c>
      <c r="AD147">
        <f>HYPERLINK("https://klasma.github.io/Logging_0581/tillsynsmail/A 60899-2024 tillsynsbegäran mail.docx", "A 60899-2024")</f>
        <v/>
      </c>
    </row>
    <row r="148" ht="15" customHeight="1">
      <c r="A148" t="inlineStr">
        <is>
          <t>A 20170-2026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46298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Igelkott</t>
        </is>
      </c>
      <c r="W148">
        <f>HYPERLINK("https://klasma.github.io/Logging_0581/artfynd/A 20170-2026 artfynd.xlsx", "A 20170-2026")</f>
        <v/>
      </c>
      <c r="X148">
        <f>HYPERLINK("https://klasma.github.io/Logging_0581/kartor/A 20170-2026 karta.png", "A 20170-2026")</f>
        <v/>
      </c>
      <c r="Y148">
        <f>HYPERLINK("https://klasma.github.io/Logging_0581/kartor_geotiff/A 20170-2026 georefererad karta.tif", "A 20170-2026")</f>
        <v/>
      </c>
      <c r="AA148">
        <f>HYPERLINK("https://klasma.github.io/Logging_0581/klagomål/A 20170-2026 FSC-klagomål.docx", "A 20170-2026")</f>
        <v/>
      </c>
      <c r="AB148">
        <f>HYPERLINK("https://klasma.github.io/Logging_0581/klagomålsmail/A 20170-2026 FSC-klagomål mail.docx", "A 20170-2026")</f>
        <v/>
      </c>
      <c r="AC148">
        <f>HYPERLINK("https://klasma.github.io/Logging_0581/tillsyn/A 20170-2026 tillsynsbegäran.docx", "A 20170-2026")</f>
        <v/>
      </c>
      <c r="AD148">
        <f>HYPERLINK("https://klasma.github.io/Logging_0581/tillsynsmail/A 20170-2026 tillsynsbegäran mail.docx", "A 20170-2026")</f>
        <v/>
      </c>
    </row>
    <row r="149" ht="15" customHeight="1">
      <c r="A149" t="inlineStr">
        <is>
          <t>A 24629-2025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45798</v>
      </c>
      <c r="E149" s="1" t="n">
        <v>46298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Kråka</t>
        </is>
      </c>
      <c r="W149">
        <f>HYPERLINK("https://klasma.github.io/Logging_0581/artfynd/A 24629-2025 artfynd.xlsx", "A 24629-2025")</f>
        <v/>
      </c>
      <c r="X149">
        <f>HYPERLINK("https://klasma.github.io/Logging_0581/kartor/A 24629-2025 karta.png", "A 24629-2025")</f>
        <v/>
      </c>
      <c r="Y149">
        <f>HYPERLINK("https://klasma.github.io/Logging_0581/kartor_geotiff/A 24629-2025 georefererad karta.tif", "A 24629-2025")</f>
        <v/>
      </c>
      <c r="AA149">
        <f>HYPERLINK("https://klasma.github.io/Logging_0581/klagomål/A 24629-2025 FSC-klagomål.docx", "A 24629-2025")</f>
        <v/>
      </c>
      <c r="AB149">
        <f>HYPERLINK("https://klasma.github.io/Logging_0581/klagomålsmail/A 24629-2025 FSC-klagomål mail.docx", "A 24629-2025")</f>
        <v/>
      </c>
      <c r="AC149">
        <f>HYPERLINK("https://klasma.github.io/Logging_0581/tillsyn/A 24629-2025 tillsynsbegäran.docx", "A 24629-2025")</f>
        <v/>
      </c>
      <c r="AD149">
        <f>HYPERLINK("https://klasma.github.io/Logging_0581/tillsynsmail/A 24629-2025 tillsynsbegäran mail.docx", "A 24629-2025")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46298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58318-2023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46298</v>
      </c>
      <c r="F151" t="inlineStr">
        <is>
          <t>ÖSTERGÖTLANDS LÄN</t>
        </is>
      </c>
      <c r="G151" t="inlineStr">
        <is>
          <t>NORRKÖPING</t>
        </is>
      </c>
      <c r="I151" t="n">
        <v>4.2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Havsörn</t>
        </is>
      </c>
      <c r="W151">
        <f>HYPERLINK("https://klasma.github.io/Logging_0581/artfynd/A 58318-2023 artfynd.xlsx", "A 58318-2023")</f>
        <v/>
      </c>
      <c r="X151">
        <f>HYPERLINK("https://klasma.github.io/Logging_0581/kartor/A 58318-2023 karta.png", "A 58318-2023")</f>
        <v/>
      </c>
      <c r="Y151">
        <f>HYPERLINK("https://klasma.github.io/Logging_0581/kartor_geotiff/A 58318-2023 georefererad karta.tif", "A 58318-2023")</f>
        <v/>
      </c>
      <c r="AA151">
        <f>HYPERLINK("https://klasma.github.io/Logging_0581/klagomål/A 58318-2023 FSC-klagomål.docx", "A 58318-2023")</f>
        <v/>
      </c>
      <c r="AB151">
        <f>HYPERLINK("https://klasma.github.io/Logging_0581/klagomålsmail/A 58318-2023 FSC-klagomål mail.docx", "A 58318-2023")</f>
        <v/>
      </c>
      <c r="AC151">
        <f>HYPERLINK("https://klasma.github.io/Logging_0581/tillsyn/A 58318-2023 tillsynsbegäran.docx", "A 58318-2023")</f>
        <v/>
      </c>
      <c r="AD151">
        <f>HYPERLINK("https://klasma.github.io/Logging_0581/tillsynsmail/A 58318-2023 tillsynsbegäran mail.docx", "A 58318-2023")</f>
        <v/>
      </c>
      <c r="AE151">
        <f>HYPERLINK("https://klasma.github.io/Logging_0581/fåglar/A 58318-2023 prioriterade fågelarter.docx", "A 58318-2023")</f>
        <v/>
      </c>
    </row>
    <row r="152" ht="15" customHeight="1">
      <c r="A152" t="inlineStr">
        <is>
          <t>A 12682-2025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45733</v>
      </c>
      <c r="E152" s="1" t="n">
        <v>46298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2.3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Talltita</t>
        </is>
      </c>
      <c r="W152">
        <f>HYPERLINK("https://klasma.github.io/Logging_0581/artfynd/A 12682-2025 artfynd.xlsx", "A 12682-2025")</f>
        <v/>
      </c>
      <c r="X152">
        <f>HYPERLINK("https://klasma.github.io/Logging_0581/kartor/A 12682-2025 karta.png", "A 12682-2025")</f>
        <v/>
      </c>
      <c r="Y152">
        <f>HYPERLINK("https://klasma.github.io/Logging_0581/kartor_geotiff/A 12682-2025 georefererad karta.tif", "A 12682-2025")</f>
        <v/>
      </c>
      <c r="Z152">
        <f>HYPERLINK("https://klasma.github.io/Logging_0581/knärot/A 12682-2025 karta knärot.png", "A 12682-2025")</f>
        <v/>
      </c>
      <c r="AA152">
        <f>HYPERLINK("https://klasma.github.io/Logging_0581/klagomål/A 12682-2025 FSC-klagomål.docx", "A 12682-2025")</f>
        <v/>
      </c>
      <c r="AB152">
        <f>HYPERLINK("https://klasma.github.io/Logging_0581/klagomålsmail/A 12682-2025 FSC-klagomål mail.docx", "A 12682-2025")</f>
        <v/>
      </c>
      <c r="AC152">
        <f>HYPERLINK("https://klasma.github.io/Logging_0581/tillsyn/A 12682-2025 tillsynsbegäran.docx", "A 12682-2025")</f>
        <v/>
      </c>
      <c r="AD152">
        <f>HYPERLINK("https://klasma.github.io/Logging_0581/tillsynsmail/A 12682-2025 tillsynsbegäran mail.docx", "A 12682-2025")</f>
        <v/>
      </c>
      <c r="AE152">
        <f>HYPERLINK("https://klasma.github.io/Logging_0581/fåglar/A 12682-2025 prioriterade fågelarter.docx", "A 12682-2025")</f>
        <v/>
      </c>
    </row>
    <row r="153" ht="15" customHeight="1">
      <c r="A153" t="inlineStr">
        <is>
          <t>A 8245-2023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44974</v>
      </c>
      <c r="E153" s="1" t="n">
        <v>46298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Svedjenäva</t>
        </is>
      </c>
      <c r="W153">
        <f>HYPERLINK("https://klasma.github.io/Logging_0581/artfynd/A 8245-2023 artfynd.xlsx", "A 8245-2023")</f>
        <v/>
      </c>
      <c r="X153">
        <f>HYPERLINK("https://klasma.github.io/Logging_0581/kartor/A 8245-2023 karta.png", "A 8245-2023")</f>
        <v/>
      </c>
      <c r="Y153">
        <f>HYPERLINK("https://klasma.github.io/Logging_0581/kartor_geotiff/A 8245-2023 georefererad karta.tif", "A 8245-2023")</f>
        <v/>
      </c>
      <c r="AA153">
        <f>HYPERLINK("https://klasma.github.io/Logging_0581/klagomål/A 8245-2023 FSC-klagomål.docx", "A 8245-2023")</f>
        <v/>
      </c>
      <c r="AB153">
        <f>HYPERLINK("https://klasma.github.io/Logging_0581/klagomålsmail/A 8245-2023 FSC-klagomål mail.docx", "A 8245-2023")</f>
        <v/>
      </c>
      <c r="AC153">
        <f>HYPERLINK("https://klasma.github.io/Logging_0581/tillsyn/A 8245-2023 tillsynsbegäran.docx", "A 8245-2023")</f>
        <v/>
      </c>
      <c r="AD153">
        <f>HYPERLINK("https://klasma.github.io/Logging_0581/tillsynsmail/A 8245-2023 tillsynsbegäran mail.docx", "A 8245-2023")</f>
        <v/>
      </c>
    </row>
    <row r="154" ht="15" customHeight="1">
      <c r="A154" t="inlineStr">
        <is>
          <t>A 57772-2022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46298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Fällmossa</t>
        </is>
      </c>
      <c r="W154">
        <f>HYPERLINK("https://klasma.github.io/Logging_0581/artfynd/A 57772-2022 artfynd.xlsx", "A 57772-2022")</f>
        <v/>
      </c>
      <c r="X154">
        <f>HYPERLINK("https://klasma.github.io/Logging_0581/kartor/A 57772-2022 karta.png", "A 57772-2022")</f>
        <v/>
      </c>
      <c r="Y154">
        <f>HYPERLINK("https://klasma.github.io/Logging_0581/kartor_geotiff/A 57772-2022 georefererad karta.tif", "A 57772-2022")</f>
        <v/>
      </c>
      <c r="AA154">
        <f>HYPERLINK("https://klasma.github.io/Logging_0581/klagomål/A 57772-2022 FSC-klagomål.docx", "A 57772-2022")</f>
        <v/>
      </c>
      <c r="AB154">
        <f>HYPERLINK("https://klasma.github.io/Logging_0581/klagomålsmail/A 57772-2022 FSC-klagomål mail.docx", "A 57772-2022")</f>
        <v/>
      </c>
      <c r="AC154">
        <f>HYPERLINK("https://klasma.github.io/Logging_0581/tillsyn/A 57772-2022 tillsynsbegäran.docx", "A 57772-2022")</f>
        <v/>
      </c>
      <c r="AD154">
        <f>HYPERLINK("https://klasma.github.io/Logging_0581/tillsynsmail/A 57772-2022 tillsynsbegäran mail.docx", "A 57772-2022")</f>
        <v/>
      </c>
    </row>
    <row r="155" ht="15" customHeight="1">
      <c r="A155" t="inlineStr">
        <is>
          <t>A 23627-2026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46163</v>
      </c>
      <c r="E155" s="1" t="n">
        <v>46298</v>
      </c>
      <c r="F155" t="inlineStr">
        <is>
          <t>ÖSTERGÖTLANDS LÄN</t>
        </is>
      </c>
      <c r="G155" t="inlineStr">
        <is>
          <t>NORRKÖPING</t>
        </is>
      </c>
      <c r="I155" t="n">
        <v>4.1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Ekoxe</t>
        </is>
      </c>
      <c r="W155">
        <f>HYPERLINK("https://klasma.github.io/Logging_0581/artfynd/A 23627-2026 artfynd.xlsx", "A 23627-2026")</f>
        <v/>
      </c>
      <c r="X155">
        <f>HYPERLINK("https://klasma.github.io/Logging_0581/kartor/A 23627-2026 karta.png", "A 23627-2026")</f>
        <v/>
      </c>
      <c r="Y155">
        <f>HYPERLINK("https://klasma.github.io/Logging_0581/kartor_geotiff/A 23627-2026 georefererad karta.tif", "A 23627-2026")</f>
        <v/>
      </c>
      <c r="AA155">
        <f>HYPERLINK("https://klasma.github.io/Logging_0581/klagomål/A 23627-2026 FSC-klagomål.docx", "A 23627-2026")</f>
        <v/>
      </c>
      <c r="AB155">
        <f>HYPERLINK("https://klasma.github.io/Logging_0581/klagomålsmail/A 23627-2026 FSC-klagomål mail.docx", "A 23627-2026")</f>
        <v/>
      </c>
      <c r="AC155">
        <f>HYPERLINK("https://klasma.github.io/Logging_0581/tillsyn/A 23627-2026 tillsynsbegäran.docx", "A 23627-2026")</f>
        <v/>
      </c>
      <c r="AD155">
        <f>HYPERLINK("https://klasma.github.io/Logging_0581/tillsynsmail/A 23627-2026 tillsynsbegäran mail.docx", "A 23627-2026")</f>
        <v/>
      </c>
    </row>
    <row r="156" ht="15" customHeight="1">
      <c r="A156" t="inlineStr">
        <is>
          <t>A 45953-2024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45580</v>
      </c>
      <c r="E156" s="1" t="n">
        <v>46298</v>
      </c>
      <c r="F156" t="inlineStr">
        <is>
          <t>ÖSTERGÖTLANDS LÄN</t>
        </is>
      </c>
      <c r="G156" t="inlineStr">
        <is>
          <t>NORRKÖPING</t>
        </is>
      </c>
      <c r="I156" t="n">
        <v>1.9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Ekoxe</t>
        </is>
      </c>
      <c r="W156">
        <f>HYPERLINK("https://klasma.github.io/Logging_0581/artfynd/A 45953-2024 artfynd.xlsx", "A 45953-2024")</f>
        <v/>
      </c>
      <c r="X156">
        <f>HYPERLINK("https://klasma.github.io/Logging_0581/kartor/A 45953-2024 karta.png", "A 45953-2024")</f>
        <v/>
      </c>
      <c r="Y156">
        <f>HYPERLINK("https://klasma.github.io/Logging_0581/kartor_geotiff/A 45953-2024 georefererad karta.tif", "A 45953-2024")</f>
        <v/>
      </c>
      <c r="AA156">
        <f>HYPERLINK("https://klasma.github.io/Logging_0581/klagomål/A 45953-2024 FSC-klagomål.docx", "A 45953-2024")</f>
        <v/>
      </c>
      <c r="AB156">
        <f>HYPERLINK("https://klasma.github.io/Logging_0581/klagomålsmail/A 45953-2024 FSC-klagomål mail.docx", "A 45953-2024")</f>
        <v/>
      </c>
      <c r="AC156">
        <f>HYPERLINK("https://klasma.github.io/Logging_0581/tillsyn/A 45953-2024 tillsynsbegäran.docx", "A 45953-2024")</f>
        <v/>
      </c>
      <c r="AD156">
        <f>HYPERLINK("https://klasma.github.io/Logging_0581/tillsynsmail/A 45953-2024 tillsynsbegäran mail.docx", "A 45953-2024")</f>
        <v/>
      </c>
    </row>
    <row r="157" ht="15" customHeight="1">
      <c r="A157" t="inlineStr">
        <is>
          <t>A 14044-2023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46298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Tjäder</t>
        </is>
      </c>
      <c r="W157">
        <f>HYPERLINK("https://klasma.github.io/Logging_0581/artfynd/A 14044-2023 artfynd.xlsx", "A 14044-2023")</f>
        <v/>
      </c>
      <c r="X157">
        <f>HYPERLINK("https://klasma.github.io/Logging_0581/kartor/A 14044-2023 karta.png", "A 14044-2023")</f>
        <v/>
      </c>
      <c r="Y157">
        <f>HYPERLINK("https://klasma.github.io/Logging_0581/kartor_geotiff/A 14044-2023 georefererad karta.tif", "A 14044-2023")</f>
        <v/>
      </c>
      <c r="AA157">
        <f>HYPERLINK("https://klasma.github.io/Logging_0581/klagomål/A 14044-2023 FSC-klagomål.docx", "A 14044-2023")</f>
        <v/>
      </c>
      <c r="AB157">
        <f>HYPERLINK("https://klasma.github.io/Logging_0581/klagomålsmail/A 14044-2023 FSC-klagomål mail.docx", "A 14044-2023")</f>
        <v/>
      </c>
      <c r="AC157">
        <f>HYPERLINK("https://klasma.github.io/Logging_0581/tillsyn/A 14044-2023 tillsynsbegäran.docx", "A 14044-2023")</f>
        <v/>
      </c>
      <c r="AD157">
        <f>HYPERLINK("https://klasma.github.io/Logging_0581/tillsynsmail/A 14044-2023 tillsynsbegäran mail.docx", "A 14044-2023")</f>
        <v/>
      </c>
      <c r="AE157">
        <f>HYPERLINK("https://klasma.github.io/Logging_0581/fåglar/A 14044-2023 prioriterade fågelarter.docx", "A 14044-2023")</f>
        <v/>
      </c>
    </row>
    <row r="158" ht="15" customHeight="1">
      <c r="A158" t="inlineStr">
        <is>
          <t>A 31659-2023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46298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HYPERLINK("https://klasma.github.io/Logging_0581/artfynd/A 31659-2023 artfynd.xlsx", "A 31659-2023")</f>
        <v/>
      </c>
      <c r="X158">
        <f>HYPERLINK("https://klasma.github.io/Logging_0581/kartor/A 31659-2023 karta.png", "A 31659-2023")</f>
        <v/>
      </c>
      <c r="Y158">
        <f>HYPERLINK("https://klasma.github.io/Logging_0581/kartor_geotiff/A 31659-2023 georefererad karta.tif", "A 31659-2023")</f>
        <v/>
      </c>
      <c r="AA158">
        <f>HYPERLINK("https://klasma.github.io/Logging_0581/klagomål/A 31659-2023 FSC-klagomål.docx", "A 31659-2023")</f>
        <v/>
      </c>
      <c r="AB158">
        <f>HYPERLINK("https://klasma.github.io/Logging_0581/klagomålsmail/A 31659-2023 FSC-klagomål mail.docx", "A 31659-2023")</f>
        <v/>
      </c>
      <c r="AC158">
        <f>HYPERLINK("https://klasma.github.io/Logging_0581/tillsyn/A 31659-2023 tillsynsbegäran.docx", "A 31659-2023")</f>
        <v/>
      </c>
      <c r="AD158">
        <f>HYPERLINK("https://klasma.github.io/Logging_0581/tillsynsmail/A 31659-2023 tillsynsbegäran mail.docx", "A 31659-2023")</f>
        <v/>
      </c>
      <c r="AE158">
        <f>HYPERLINK("https://klasma.github.io/Logging_0581/fåglar/A 31659-2023 prioriterade fågelarter.docx", "A 31659-2023")</f>
        <v/>
      </c>
    </row>
    <row r="159" ht="15" customHeight="1">
      <c r="A159" t="inlineStr">
        <is>
          <t>A 25707-2026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46298</v>
      </c>
      <c r="F159" t="inlineStr">
        <is>
          <t>ÖSTERGÖTLANDS LÄN</t>
        </is>
      </c>
      <c r="G159" t="inlineStr">
        <is>
          <t>NORRKÖPING</t>
        </is>
      </c>
      <c r="I159" t="n">
        <v>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Tallticka</t>
        </is>
      </c>
      <c r="W159">
        <f>HYPERLINK("https://klasma.github.io/Logging_0581/artfynd/A 25707-2026 artfynd.xlsx", "A 25707-2026")</f>
        <v/>
      </c>
      <c r="X159">
        <f>HYPERLINK("https://klasma.github.io/Logging_0581/kartor/A 25707-2026 karta.png", "A 25707-2026")</f>
        <v/>
      </c>
      <c r="Y159">
        <f>HYPERLINK("https://klasma.github.io/Logging_0581/kartor_geotiff/A 25707-2026 georefererad karta.tif", "A 25707-2026")</f>
        <v/>
      </c>
      <c r="AA159">
        <f>HYPERLINK("https://klasma.github.io/Logging_0581/klagomål/A 25707-2026 FSC-klagomål.docx", "A 25707-2026")</f>
        <v/>
      </c>
      <c r="AB159">
        <f>HYPERLINK("https://klasma.github.io/Logging_0581/klagomålsmail/A 25707-2026 FSC-klagomål mail.docx", "A 25707-2026")</f>
        <v/>
      </c>
      <c r="AC159">
        <f>HYPERLINK("https://klasma.github.io/Logging_0581/tillsyn/A 25707-2026 tillsynsbegäran.docx", "A 25707-2026")</f>
        <v/>
      </c>
      <c r="AD159">
        <f>HYPERLINK("https://klasma.github.io/Logging_0581/tillsynsmail/A 25707-2026 tillsynsbegäran mail.docx", "A 25707-2026")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46298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46298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29202-2026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46298</v>
      </c>
      <c r="F162" t="inlineStr">
        <is>
          <t>ÖSTERGÖTLANDS LÄN</t>
        </is>
      </c>
      <c r="G162" t="inlineStr">
        <is>
          <t>NORRKÖPING</t>
        </is>
      </c>
      <c r="I162" t="n">
        <v>2.5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Tibast</t>
        </is>
      </c>
      <c r="W162">
        <f>HYPERLINK("https://klasma.github.io/Logging_0581/artfynd/A 29202-2026 artfynd.xlsx", "A 29202-2026")</f>
        <v/>
      </c>
      <c r="X162">
        <f>HYPERLINK("https://klasma.github.io/Logging_0581/kartor/A 29202-2026 karta.png", "A 29202-2026")</f>
        <v/>
      </c>
      <c r="Y162">
        <f>HYPERLINK("https://klasma.github.io/Logging_0581/kartor_geotiff/A 29202-2026 georefererad karta.tif", "A 29202-2026")</f>
        <v/>
      </c>
      <c r="AA162">
        <f>HYPERLINK("https://klasma.github.io/Logging_0581/klagomål/A 29202-2026 FSC-klagomål.docx", "A 29202-2026")</f>
        <v/>
      </c>
      <c r="AB162">
        <f>HYPERLINK("https://klasma.github.io/Logging_0581/klagomålsmail/A 29202-2026 FSC-klagomål mail.docx", "A 29202-2026")</f>
        <v/>
      </c>
      <c r="AC162">
        <f>HYPERLINK("https://klasma.github.io/Logging_0581/tillsyn/A 29202-2026 tillsynsbegäran.docx", "A 29202-2026")</f>
        <v/>
      </c>
      <c r="AD162">
        <f>HYPERLINK("https://klasma.github.io/Logging_0581/tillsynsmail/A 29202-2026 tillsynsbegäran mail.docx", "A 29202-2026")</f>
        <v/>
      </c>
    </row>
    <row r="163" ht="15" customHeight="1">
      <c r="A163" t="inlineStr">
        <is>
          <t>A 27107-2023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46298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Svartvit flugsnappare</t>
        </is>
      </c>
      <c r="W163">
        <f>HYPERLINK("https://klasma.github.io/Logging_0581/artfynd/A 27107-2023 artfynd.xlsx", "A 27107-2023")</f>
        <v/>
      </c>
      <c r="X163">
        <f>HYPERLINK("https://klasma.github.io/Logging_0581/kartor/A 27107-2023 karta.png", "A 27107-2023")</f>
        <v/>
      </c>
      <c r="Y163">
        <f>HYPERLINK("https://klasma.github.io/Logging_0581/kartor_geotiff/A 27107-2023 georefererad karta.tif", "A 27107-2023")</f>
        <v/>
      </c>
      <c r="AA163">
        <f>HYPERLINK("https://klasma.github.io/Logging_0581/klagomål/A 27107-2023 FSC-klagomål.docx", "A 27107-2023")</f>
        <v/>
      </c>
      <c r="AB163">
        <f>HYPERLINK("https://klasma.github.io/Logging_0581/klagomålsmail/A 27107-2023 FSC-klagomål mail.docx", "A 27107-2023")</f>
        <v/>
      </c>
      <c r="AC163">
        <f>HYPERLINK("https://klasma.github.io/Logging_0581/tillsyn/A 27107-2023 tillsynsbegäran.docx", "A 27107-2023")</f>
        <v/>
      </c>
      <c r="AD163">
        <f>HYPERLINK("https://klasma.github.io/Logging_0581/tillsynsmail/A 27107-2023 tillsynsbegäran mail.docx", "A 27107-2023")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46298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46298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46298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31582-2023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46298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0.9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Tjäder</t>
        </is>
      </c>
      <c r="W167">
        <f>HYPERLINK("https://klasma.github.io/Logging_0581/artfynd/A 31582-2023 artfynd.xlsx", "A 31582-2023")</f>
        <v/>
      </c>
      <c r="X167">
        <f>HYPERLINK("https://klasma.github.io/Logging_0581/kartor/A 31582-2023 karta.png", "A 31582-2023")</f>
        <v/>
      </c>
      <c r="Y167">
        <f>HYPERLINK("https://klasma.github.io/Logging_0581/kartor_geotiff/A 31582-2023 georefererad karta.tif", "A 31582-2023")</f>
        <v/>
      </c>
      <c r="AA167">
        <f>HYPERLINK("https://klasma.github.io/Logging_0581/klagomål/A 31582-2023 FSC-klagomål.docx", "A 31582-2023")</f>
        <v/>
      </c>
      <c r="AB167">
        <f>HYPERLINK("https://klasma.github.io/Logging_0581/klagomålsmail/A 31582-2023 FSC-klagomål mail.docx", "A 31582-2023")</f>
        <v/>
      </c>
      <c r="AC167">
        <f>HYPERLINK("https://klasma.github.io/Logging_0581/tillsyn/A 31582-2023 tillsynsbegäran.docx", "A 31582-2023")</f>
        <v/>
      </c>
      <c r="AD167">
        <f>HYPERLINK("https://klasma.github.io/Logging_0581/tillsynsmail/A 31582-2023 tillsynsbegäran mail.docx", "A 31582-2023")</f>
        <v/>
      </c>
      <c r="AE167">
        <f>HYPERLINK("https://klasma.github.io/Logging_0581/fåglar/A 31582-2023 prioriterade fågelarter.docx", "A 31582-2023")</f>
        <v/>
      </c>
    </row>
    <row r="168" ht="15" customHeight="1">
      <c r="A168" t="inlineStr">
        <is>
          <t>A 31660-2026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46225</v>
      </c>
      <c r="E168" s="1" t="n">
        <v>46298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8.199999999999999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31660-2026 artfynd.xlsx", "A 31660-2026")</f>
        <v/>
      </c>
      <c r="X168">
        <f>HYPERLINK("https://klasma.github.io/Logging_0581/kartor/A 31660-2026 karta.png", "A 31660-2026")</f>
        <v/>
      </c>
      <c r="Y168">
        <f>HYPERLINK("https://klasma.github.io/Logging_0581/kartor_geotiff/A 31660-2026 georefererad karta.tif", "A 31660-2026")</f>
        <v/>
      </c>
      <c r="AA168">
        <f>HYPERLINK("https://klasma.github.io/Logging_0581/klagomål/A 31660-2026 FSC-klagomål.docx", "A 31660-2026")</f>
        <v/>
      </c>
      <c r="AB168">
        <f>HYPERLINK("https://klasma.github.io/Logging_0581/klagomålsmail/A 31660-2026 FSC-klagomål mail.docx", "A 31660-2026")</f>
        <v/>
      </c>
      <c r="AC168">
        <f>HYPERLINK("https://klasma.github.io/Logging_0581/tillsyn/A 31660-2026 tillsynsbegäran.docx", "A 31660-2026")</f>
        <v/>
      </c>
      <c r="AD168">
        <f>HYPERLINK("https://klasma.github.io/Logging_0581/tillsynsmail/A 31660-2026 tillsynsbegäran mail.docx", "A 31660-2026")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46298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46298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32075-2026 artfynd.xlsx", "A 32075-2026")</f>
        <v/>
      </c>
      <c r="X170">
        <f>HYPERLINK("https://klasma.github.io/Logging_0581/kartor/A 32075-2026 karta.png", "A 32075-2026")</f>
        <v/>
      </c>
      <c r="Y170">
        <f>HYPERLINK("https://klasma.github.io/Logging_0581/kartor_geotiff/A 32075-2026 georefererad karta.tif", "A 32075-2026")</f>
        <v/>
      </c>
      <c r="AA170">
        <f>HYPERLINK("https://klasma.github.io/Logging_0581/klagomål/A 32075-2026 FSC-klagomål.docx", "A 32075-2026")</f>
        <v/>
      </c>
      <c r="AB170">
        <f>HYPERLINK("https://klasma.github.io/Logging_0581/klagomålsmail/A 32075-2026 FSC-klagomål mail.docx", "A 32075-2026")</f>
        <v/>
      </c>
      <c r="AC170">
        <f>HYPERLINK("https://klasma.github.io/Logging_0581/tillsyn/A 32075-2026 tillsynsbegäran.docx", "A 32075-2026")</f>
        <v/>
      </c>
      <c r="AD170">
        <f>HYPERLINK("https://klasma.github.io/Logging_0581/tillsynsmail/A 32075-2026 tillsynsbegäran mail.docx", "A 32075-2026")</f>
        <v/>
      </c>
    </row>
    <row r="171" ht="15" customHeight="1">
      <c r="A171" t="inlineStr">
        <is>
          <t>A 32070-2026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46298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32070-2026 artfynd.xlsx", "A 32070-2026")</f>
        <v/>
      </c>
      <c r="X171">
        <f>HYPERLINK("https://klasma.github.io/Logging_0581/kartor/A 32070-2026 karta.png", "A 32070-2026")</f>
        <v/>
      </c>
      <c r="Y171">
        <f>HYPERLINK("https://klasma.github.io/Logging_0581/kartor_geotiff/A 32070-2026 georefererad karta.tif", "A 32070-2026")</f>
        <v/>
      </c>
      <c r="AA171">
        <f>HYPERLINK("https://klasma.github.io/Logging_0581/klagomål/A 32070-2026 FSC-klagomål.docx", "A 32070-2026")</f>
        <v/>
      </c>
      <c r="AB171">
        <f>HYPERLINK("https://klasma.github.io/Logging_0581/klagomålsmail/A 32070-2026 FSC-klagomål mail.docx", "A 32070-2026")</f>
        <v/>
      </c>
      <c r="AC171">
        <f>HYPERLINK("https://klasma.github.io/Logging_0581/tillsyn/A 32070-2026 tillsynsbegäran.docx", "A 32070-2026")</f>
        <v/>
      </c>
      <c r="AD171">
        <f>HYPERLINK("https://klasma.github.io/Logging_0581/tillsynsmail/A 32070-2026 tillsynsbegäran mail.docx", "A 32070-2026")</f>
        <v/>
      </c>
    </row>
    <row r="172" ht="15" customHeight="1">
      <c r="A172" t="inlineStr">
        <is>
          <t>A 32815-2026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46241</v>
      </c>
      <c r="E172" s="1" t="n">
        <v>46298</v>
      </c>
      <c r="F172" t="inlineStr">
        <is>
          <t>ÖSTERGÖTLANDS LÄN</t>
        </is>
      </c>
      <c r="G172" t="inlineStr">
        <is>
          <t>NORRKÖPING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Ärtsångare</t>
        </is>
      </c>
      <c r="W172">
        <f>HYPERLINK("https://klasma.github.io/Logging_0581/artfynd/A 32815-2026 artfynd.xlsx", "A 32815-2026")</f>
        <v/>
      </c>
      <c r="X172">
        <f>HYPERLINK("https://klasma.github.io/Logging_0581/kartor/A 32815-2026 karta.png", "A 32815-2026")</f>
        <v/>
      </c>
      <c r="Y172">
        <f>HYPERLINK("https://klasma.github.io/Logging_0581/kartor_geotiff/A 32815-2026 georefererad karta.tif", "A 32815-2026")</f>
        <v/>
      </c>
      <c r="AA172">
        <f>HYPERLINK("https://klasma.github.io/Logging_0581/klagomål/A 32815-2026 FSC-klagomål.docx", "A 32815-2026")</f>
        <v/>
      </c>
      <c r="AB172">
        <f>HYPERLINK("https://klasma.github.io/Logging_0581/klagomålsmail/A 32815-2026 FSC-klagomål mail.docx", "A 32815-2026")</f>
        <v/>
      </c>
      <c r="AC172">
        <f>HYPERLINK("https://klasma.github.io/Logging_0581/tillsyn/A 32815-2026 tillsynsbegäran.docx", "A 32815-2026")</f>
        <v/>
      </c>
      <c r="AD172">
        <f>HYPERLINK("https://klasma.github.io/Logging_0581/tillsynsmail/A 32815-2026 tillsynsbegäran mail.docx", "A 32815-2026")</f>
        <v/>
      </c>
    </row>
    <row r="173" ht="15" customHeight="1">
      <c r="A173" t="inlineStr">
        <is>
          <t>A 16610-2024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46298</v>
      </c>
      <c r="F173" t="inlineStr">
        <is>
          <t>ÖSTERGÖTLANDS LÄN</t>
        </is>
      </c>
      <c r="G173" t="inlineStr">
        <is>
          <t>NORRKÖPING</t>
        </is>
      </c>
      <c r="I173" t="n">
        <v>5.8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3</v>
      </c>
      <c r="V173" s="2" t="inlineStr">
        <is>
          <t>Knärot</t>
        </is>
      </c>
      <c r="W173">
        <f>HYPERLINK("https://klasma.github.io/Logging_0581/artfynd/A 16610-2024 artfynd.xlsx", "A 16610-2024")</f>
        <v/>
      </c>
      <c r="X173">
        <f>HYPERLINK("https://klasma.github.io/Logging_0581/kartor/A 16610-2024 karta.png", "A 16610-2024")</f>
        <v/>
      </c>
      <c r="Y173">
        <f>HYPERLINK("https://klasma.github.io/Logging_0581/kartor_geotiff/A 16610-2024 georefererad karta.tif", "A 16610-2024")</f>
        <v/>
      </c>
      <c r="Z173">
        <f>HYPERLINK("https://klasma.github.io/Logging_0581/knärot/A 16610-2024 karta knärot.png", "A 16610-2024")</f>
        <v/>
      </c>
      <c r="AA173">
        <f>HYPERLINK("https://klasma.github.io/Logging_0581/klagomål/A 16610-2024 FSC-klagomål.docx", "A 16610-2024")</f>
        <v/>
      </c>
      <c r="AB173">
        <f>HYPERLINK("https://klasma.github.io/Logging_0581/klagomålsmail/A 16610-2024 FSC-klagomål mail.docx", "A 16610-2024")</f>
        <v/>
      </c>
      <c r="AC173">
        <f>HYPERLINK("https://klasma.github.io/Logging_0581/tillsyn/A 16610-2024 tillsynsbegäran.docx", "A 16610-2024")</f>
        <v/>
      </c>
      <c r="AD173">
        <f>HYPERLINK("https://klasma.github.io/Logging_0581/tillsynsmail/A 16610-2024 tillsynsbegäran mail.docx", "A 16610-2024")</f>
        <v/>
      </c>
    </row>
    <row r="174" ht="15" customHeight="1">
      <c r="A174" t="inlineStr">
        <is>
          <t>A 39427-2026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46288</v>
      </c>
      <c r="E174" s="1" t="n">
        <v>46298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9.800000000000001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Sångsvan</t>
        </is>
      </c>
      <c r="W174">
        <f>HYPERLINK("https://klasma.github.io/Logging_0581/artfynd/A 39427-2026 artfynd.xlsx", "A 39427-2026")</f>
        <v/>
      </c>
      <c r="X174">
        <f>HYPERLINK("https://klasma.github.io/Logging_0581/kartor/A 39427-2026 karta.png", "A 39427-2026")</f>
        <v/>
      </c>
      <c r="Y174">
        <f>HYPERLINK("https://klasma.github.io/Logging_0581/kartor_geotiff/A 39427-2026 georefererad karta.tif", "A 39427-2026")</f>
        <v/>
      </c>
      <c r="AA174">
        <f>HYPERLINK("https://klasma.github.io/Logging_0581/klagomål/A 39427-2026 FSC-klagomål.docx", "A 39427-2026")</f>
        <v/>
      </c>
      <c r="AB174">
        <f>HYPERLINK("https://klasma.github.io/Logging_0581/klagomålsmail/A 39427-2026 FSC-klagomål mail.docx", "A 39427-2026")</f>
        <v/>
      </c>
      <c r="AC174">
        <f>HYPERLINK("https://klasma.github.io/Logging_0581/tillsyn/A 39427-2026 tillsynsbegäran.docx", "A 39427-2026")</f>
        <v/>
      </c>
      <c r="AD174">
        <f>HYPERLINK("https://klasma.github.io/Logging_0581/tillsynsmail/A 39427-2026 tillsynsbegäran mail.docx", "A 39427-2026")</f>
        <v/>
      </c>
      <c r="AE174">
        <f>HYPERLINK("https://klasma.github.io/Logging_0581/fåglar/A 39427-2026 prioriterade fågelarter.docx", "A 39427-2026")</f>
        <v/>
      </c>
    </row>
    <row r="175" ht="15" customHeight="1">
      <c r="A175" t="inlineStr">
        <is>
          <t>A 18636-2023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46298</v>
      </c>
      <c r="F175" t="inlineStr">
        <is>
          <t>ÖSTERGÖTLANDS LÄN</t>
        </is>
      </c>
      <c r="G175" t="inlineStr">
        <is>
          <t>NORRKÖPING</t>
        </is>
      </c>
      <c r="I175" t="n">
        <v>5.7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Spillkråka</t>
        </is>
      </c>
      <c r="W175">
        <f>HYPERLINK("https://klasma.github.io/Logging_0581/artfynd/A 18636-2023 artfynd.xlsx", "A 18636-2023")</f>
        <v/>
      </c>
      <c r="X175">
        <f>HYPERLINK("https://klasma.github.io/Logging_0581/kartor/A 18636-2023 karta.png", "A 18636-2023")</f>
        <v/>
      </c>
      <c r="Y175">
        <f>HYPERLINK("https://klasma.github.io/Logging_0581/kartor_geotiff/A 18636-2023 georefererad karta.tif", "A 18636-2023")</f>
        <v/>
      </c>
      <c r="AA175">
        <f>HYPERLINK("https://klasma.github.io/Logging_0581/klagomål/A 18636-2023 FSC-klagomål.docx", "A 18636-2023")</f>
        <v/>
      </c>
      <c r="AB175">
        <f>HYPERLINK("https://klasma.github.io/Logging_0581/klagomålsmail/A 18636-2023 FSC-klagomål mail.docx", "A 18636-2023")</f>
        <v/>
      </c>
      <c r="AC175">
        <f>HYPERLINK("https://klasma.github.io/Logging_0581/tillsyn/A 18636-2023 tillsynsbegäran.docx", "A 18636-2023")</f>
        <v/>
      </c>
      <c r="AD175">
        <f>HYPERLINK("https://klasma.github.io/Logging_0581/tillsynsmail/A 18636-2023 tillsynsbegäran mail.docx", "A 18636-2023")</f>
        <v/>
      </c>
      <c r="AE175">
        <f>HYPERLINK("https://klasma.github.io/Logging_0581/fåglar/A 18636-2023 prioriterade fågelarter.docx", "A 18636-2023")</f>
        <v/>
      </c>
    </row>
    <row r="176" ht="15" customHeight="1">
      <c r="A176" t="inlineStr">
        <is>
          <t>A 46201-2025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46298</v>
      </c>
      <c r="F176" t="inlineStr">
        <is>
          <t>ÖSTERGÖTLANDS LÄN</t>
        </is>
      </c>
      <c r="G176" t="inlineStr">
        <is>
          <t>NORRKÖPING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Hasselticka</t>
        </is>
      </c>
      <c r="W176">
        <f>HYPERLINK("https://klasma.github.io/Logging_0581/artfynd/A 46201-2025 artfynd.xlsx", "A 46201-2025")</f>
        <v/>
      </c>
      <c r="X176">
        <f>HYPERLINK("https://klasma.github.io/Logging_0581/kartor/A 46201-2025 karta.png", "A 46201-2025")</f>
        <v/>
      </c>
      <c r="Y176">
        <f>HYPERLINK("https://klasma.github.io/Logging_0581/kartor_geotiff/A 46201-2025 georefererad karta.tif", "A 46201-2025")</f>
        <v/>
      </c>
      <c r="AA176">
        <f>HYPERLINK("https://klasma.github.io/Logging_0581/klagomål/A 46201-2025 FSC-klagomål.docx", "A 46201-2025")</f>
        <v/>
      </c>
      <c r="AB176">
        <f>HYPERLINK("https://klasma.github.io/Logging_0581/klagomålsmail/A 46201-2025 FSC-klagomål mail.docx", "A 46201-2025")</f>
        <v/>
      </c>
      <c r="AC176">
        <f>HYPERLINK("https://klasma.github.io/Logging_0581/tillsyn/A 46201-2025 tillsynsbegäran.docx", "A 46201-2025")</f>
        <v/>
      </c>
      <c r="AD176">
        <f>HYPERLINK("https://klasma.github.io/Logging_0581/tillsynsmail/A 46201-2025 tillsynsbegäran mail.docx", "A 46201-2025")</f>
        <v/>
      </c>
    </row>
    <row r="177" ht="15" customHeight="1">
      <c r="A177" t="inlineStr">
        <is>
          <t>A 12145-2024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45376</v>
      </c>
      <c r="E177" s="1" t="n">
        <v>46298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Allmännings- och besparingsskogar</t>
        </is>
      </c>
      <c r="I177" t="n">
        <v>10.4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Gullgröppa</t>
        </is>
      </c>
      <c r="W177">
        <f>HYPERLINK("https://klasma.github.io/Logging_0581/artfynd/A 12145-2024 artfynd.xlsx", "A 12145-2024")</f>
        <v/>
      </c>
      <c r="X177">
        <f>HYPERLINK("https://klasma.github.io/Logging_0581/kartor/A 12145-2024 karta.png", "A 12145-2024")</f>
        <v/>
      </c>
      <c r="Y177">
        <f>HYPERLINK("https://klasma.github.io/Logging_0581/kartor_geotiff/A 12145-2024 georefererad karta.tif", "A 12145-2024")</f>
        <v/>
      </c>
      <c r="AA177">
        <f>HYPERLINK("https://klasma.github.io/Logging_0581/klagomål/A 12145-2024 FSC-klagomål.docx", "A 12145-2024")</f>
        <v/>
      </c>
      <c r="AB177">
        <f>HYPERLINK("https://klasma.github.io/Logging_0581/klagomålsmail/A 12145-2024 FSC-klagomål mail.docx", "A 12145-2024")</f>
        <v/>
      </c>
      <c r="AC177">
        <f>HYPERLINK("https://klasma.github.io/Logging_0581/tillsyn/A 12145-2024 tillsynsbegäran.docx", "A 12145-2024")</f>
        <v/>
      </c>
      <c r="AD177">
        <f>HYPERLINK("https://klasma.github.io/Logging_0581/tillsynsmail/A 12145-2024 tillsynsbegäran mail.docx", "A 12145-2024")</f>
        <v/>
      </c>
    </row>
    <row r="178" ht="15" customHeight="1">
      <c r="A178" t="inlineStr">
        <is>
          <t>A 15870-2024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45405</v>
      </c>
      <c r="E178" s="1" t="n">
        <v>46298</v>
      </c>
      <c r="F178" t="inlineStr">
        <is>
          <t>ÖSTERGÖTLANDS LÄN</t>
        </is>
      </c>
      <c r="G178" t="inlineStr">
        <is>
          <t>NORRKÖPING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Mörk dunört</t>
        </is>
      </c>
      <c r="W178">
        <f>HYPERLINK("https://klasma.github.io/Logging_0581/artfynd/A 15870-2024 artfynd.xlsx", "A 15870-2024")</f>
        <v/>
      </c>
      <c r="X178">
        <f>HYPERLINK("https://klasma.github.io/Logging_0581/kartor/A 15870-2024 karta.png", "A 15870-2024")</f>
        <v/>
      </c>
      <c r="Y178">
        <f>HYPERLINK("https://klasma.github.io/Logging_0581/kartor_geotiff/A 15870-2024 georefererad karta.tif", "A 15870-2024")</f>
        <v/>
      </c>
      <c r="AA178">
        <f>HYPERLINK("https://klasma.github.io/Logging_0581/klagomål/A 15870-2024 FSC-klagomål.docx", "A 15870-2024")</f>
        <v/>
      </c>
      <c r="AB178">
        <f>HYPERLINK("https://klasma.github.io/Logging_0581/klagomålsmail/A 15870-2024 FSC-klagomål mail.docx", "A 15870-2024")</f>
        <v/>
      </c>
      <c r="AC178">
        <f>HYPERLINK("https://klasma.github.io/Logging_0581/tillsyn/A 15870-2024 tillsynsbegäran.docx", "A 15870-2024")</f>
        <v/>
      </c>
      <c r="AD178">
        <f>HYPERLINK("https://klasma.github.io/Logging_0581/tillsynsmail/A 15870-2024 tillsynsbegäran mail.docx", "A 15870-2024")</f>
        <v/>
      </c>
    </row>
    <row r="179" ht="15" customHeight="1">
      <c r="A179" t="inlineStr">
        <is>
          <t>A 58711-2023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46298</v>
      </c>
      <c r="F179" t="inlineStr">
        <is>
          <t>ÖSTERGÖTLANDS LÄN</t>
        </is>
      </c>
      <c r="G179" t="inlineStr">
        <is>
          <t>NORRKÖPING</t>
        </is>
      </c>
      <c r="I179" t="n">
        <v>4.3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Ängsskära</t>
        </is>
      </c>
      <c r="W179">
        <f>HYPERLINK("https://klasma.github.io/Logging_0581/artfynd/A 58711-2023 artfynd.xlsx", "A 58711-2023")</f>
        <v/>
      </c>
      <c r="X179">
        <f>HYPERLINK("https://klasma.github.io/Logging_0581/kartor/A 58711-2023 karta.png", "A 58711-2023")</f>
        <v/>
      </c>
      <c r="Y179">
        <f>HYPERLINK("https://klasma.github.io/Logging_0581/kartor_geotiff/A 58711-2023 georefererad karta.tif", "A 58711-2023")</f>
        <v/>
      </c>
      <c r="AA179">
        <f>HYPERLINK("https://klasma.github.io/Logging_0581/klagomål/A 58711-2023 FSC-klagomål.docx", "A 58711-2023")</f>
        <v/>
      </c>
      <c r="AB179">
        <f>HYPERLINK("https://klasma.github.io/Logging_0581/klagomålsmail/A 58711-2023 FSC-klagomål mail.docx", "A 58711-2023")</f>
        <v/>
      </c>
      <c r="AC179">
        <f>HYPERLINK("https://klasma.github.io/Logging_0581/tillsyn/A 58711-2023 tillsynsbegäran.docx", "A 58711-2023")</f>
        <v/>
      </c>
      <c r="AD179">
        <f>HYPERLINK("https://klasma.github.io/Logging_0581/tillsynsmail/A 58711-2023 tillsynsbegäran mail.docx", "A 58711-2023")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46298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46298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46298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46298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46298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46298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46298</v>
      </c>
      <c r="F186" t="inlineStr">
        <is>
          <t>ÖSTERGÖTLANDS LÄN</t>
        </is>
      </c>
      <c r="G186" t="inlineStr">
        <is>
          <t>NORRKÖPING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46298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46298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46298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46298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46298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46298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46298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46298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46298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46298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46298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46298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46298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46298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46298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46298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46298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46298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46298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Allmännings- och besparingsskogar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46298</v>
      </c>
      <c r="F206" t="inlineStr">
        <is>
          <t>ÖSTERGÖTLANDS LÄN</t>
        </is>
      </c>
      <c r="G206" t="inlineStr">
        <is>
          <t>NORRKÖPING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46298</v>
      </c>
      <c r="F207" t="inlineStr">
        <is>
          <t>ÖSTERGÖTLANDS LÄN</t>
        </is>
      </c>
      <c r="G207" t="inlineStr">
        <is>
          <t>NORRKÖPING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46298</v>
      </c>
      <c r="F208" t="inlineStr">
        <is>
          <t>ÖSTERGÖTLANDS LÄN</t>
        </is>
      </c>
      <c r="G208" t="inlineStr">
        <is>
          <t>NORRKÖPING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46298</v>
      </c>
      <c r="F209" t="inlineStr">
        <is>
          <t>ÖSTERGÖTLANDS LÄN</t>
        </is>
      </c>
      <c r="G209" t="inlineStr">
        <is>
          <t>NORRKÖPING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44686</v>
      </c>
      <c r="E210" s="1" t="n">
        <v>46298</v>
      </c>
      <c r="F210" t="inlineStr">
        <is>
          <t>ÖSTERGÖTLANDS LÄN</t>
        </is>
      </c>
      <c r="G210" t="inlineStr">
        <is>
          <t>NORRKÖPING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46298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46298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46298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46298</v>
      </c>
      <c r="F214" t="inlineStr">
        <is>
          <t>ÖSTERGÖTLANDS LÄN</t>
        </is>
      </c>
      <c r="G214" t="inlineStr">
        <is>
          <t>NORRKÖPING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46298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46298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46298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46298</v>
      </c>
      <c r="F218" t="inlineStr">
        <is>
          <t>ÖSTERGÖTLANDS LÄN</t>
        </is>
      </c>
      <c r="G218" t="inlineStr">
        <is>
          <t>NORRKÖPING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46298</v>
      </c>
      <c r="F219" t="inlineStr">
        <is>
          <t>ÖSTERGÖTLANDS LÄN</t>
        </is>
      </c>
      <c r="G219" t="inlineStr">
        <is>
          <t>NORRKÖPING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46298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44596</v>
      </c>
      <c r="E222" s="1" t="n">
        <v>46298</v>
      </c>
      <c r="F222" t="inlineStr">
        <is>
          <t>ÖSTERGÖTLANDS LÄN</t>
        </is>
      </c>
      <c r="G222" t="inlineStr">
        <is>
          <t>NORRKÖPING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46298</v>
      </c>
      <c r="F223" t="inlineStr">
        <is>
          <t>ÖSTERGÖTLANDS LÄN</t>
        </is>
      </c>
      <c r="G223" t="inlineStr">
        <is>
          <t>NORRKÖPING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46298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46298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44651</v>
      </c>
      <c r="E226" s="1" t="n">
        <v>46298</v>
      </c>
      <c r="F226" t="inlineStr">
        <is>
          <t>ÖSTERGÖTLANDS LÄN</t>
        </is>
      </c>
      <c r="G226" t="inlineStr">
        <is>
          <t>NORRKÖPING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46298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44957</v>
      </c>
      <c r="E228" s="1" t="n">
        <v>46298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45469</v>
      </c>
      <c r="E229" s="1" t="n">
        <v>46298</v>
      </c>
      <c r="F229" t="inlineStr">
        <is>
          <t>ÖSTERGÖTLANDS LÄN</t>
        </is>
      </c>
      <c r="G229" t="inlineStr">
        <is>
          <t>NORRKÖPING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46298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31882-2023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45118</v>
      </c>
      <c r="E231" s="1" t="n">
        <v>46298</v>
      </c>
      <c r="F231" t="inlineStr">
        <is>
          <t>ÖSTERGÖTLANDS LÄN</t>
        </is>
      </c>
      <c r="G231" t="inlineStr">
        <is>
          <t>NORRKÖPING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46298</v>
      </c>
      <c r="F232" t="inlineStr">
        <is>
          <t>ÖSTERGÖTLANDS LÄN</t>
        </is>
      </c>
      <c r="G232" t="inlineStr">
        <is>
          <t>NORRKÖPING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46298</v>
      </c>
      <c r="F233" t="inlineStr">
        <is>
          <t>ÖSTERGÖTLANDS LÄN</t>
        </is>
      </c>
      <c r="G233" t="inlineStr">
        <is>
          <t>NORRKÖPING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46298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45076</v>
      </c>
      <c r="E235" s="1" t="n">
        <v>46298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64898-2021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44512</v>
      </c>
      <c r="E236" s="1" t="n">
        <v>46298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45706</v>
      </c>
      <c r="E237" s="1" t="n">
        <v>46298</v>
      </c>
      <c r="F237" t="inlineStr">
        <is>
          <t>ÖSTERGÖTLANDS LÄN</t>
        </is>
      </c>
      <c r="G237" t="inlineStr">
        <is>
          <t>NORRKÖPING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46298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46298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46298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46298</v>
      </c>
      <c r="F241" t="inlineStr">
        <is>
          <t>ÖSTERGÖTLANDS LÄN</t>
        </is>
      </c>
      <c r="G241" t="inlineStr">
        <is>
          <t>NORRKÖPING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46298</v>
      </c>
      <c r="F242" t="inlineStr">
        <is>
          <t>ÖSTERGÖTLANDS LÄN</t>
        </is>
      </c>
      <c r="G242" t="inlineStr">
        <is>
          <t>NORRKÖPING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46298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45053</v>
      </c>
      <c r="E244" s="1" t="n">
        <v>46298</v>
      </c>
      <c r="F244" t="inlineStr">
        <is>
          <t>ÖSTERGÖTLANDS LÄN</t>
        </is>
      </c>
      <c r="G244" t="inlineStr">
        <is>
          <t>NORRKÖPING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45356</v>
      </c>
      <c r="E245" s="1" t="n">
        <v>46298</v>
      </c>
      <c r="F245" t="inlineStr">
        <is>
          <t>ÖSTERGÖTLANDS LÄN</t>
        </is>
      </c>
      <c r="G245" t="inlineStr">
        <is>
          <t>NORRKÖPING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46298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Allmännings- och besparingsskogar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46298</v>
      </c>
      <c r="F247" t="inlineStr">
        <is>
          <t>ÖSTERGÖTLANDS LÄN</t>
        </is>
      </c>
      <c r="G247" t="inlineStr">
        <is>
          <t>NORRKÖPING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46298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46298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46298</v>
      </c>
      <c r="F250" t="inlineStr">
        <is>
          <t>ÖSTERGÖTLANDS LÄN</t>
        </is>
      </c>
      <c r="G250" t="inlineStr">
        <is>
          <t>NORRKÖPING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23368-2024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46298</v>
      </c>
      <c r="F251" t="inlineStr">
        <is>
          <t>ÖSTERGÖTLANDS LÄN</t>
        </is>
      </c>
      <c r="G251" t="inlineStr">
        <is>
          <t>NORRKÖPING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45310</v>
      </c>
      <c r="E252" s="1" t="n">
        <v>46298</v>
      </c>
      <c r="F252" t="inlineStr">
        <is>
          <t>ÖSTERGÖTLANDS LÄN</t>
        </is>
      </c>
      <c r="G252" t="inlineStr">
        <is>
          <t>NORRKÖPING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46298</v>
      </c>
      <c r="F253" t="inlineStr">
        <is>
          <t>ÖSTERGÖTLANDS LÄN</t>
        </is>
      </c>
      <c r="G253" t="inlineStr">
        <is>
          <t>NORRKÖPING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46298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46298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46298</v>
      </c>
      <c r="F256" t="inlineStr">
        <is>
          <t>ÖSTERGÖTLANDS LÄN</t>
        </is>
      </c>
      <c r="G256" t="inlineStr">
        <is>
          <t>NORRKÖPING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45313</v>
      </c>
      <c r="E257" s="1" t="n">
        <v>46298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46298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46298</v>
      </c>
      <c r="F259" t="inlineStr">
        <is>
          <t>ÖSTERGÖTLANDS LÄN</t>
        </is>
      </c>
      <c r="G259" t="inlineStr">
        <is>
          <t>NORRKÖPING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44741</v>
      </c>
      <c r="E260" s="1" t="n">
        <v>46298</v>
      </c>
      <c r="F260" t="inlineStr">
        <is>
          <t>ÖSTERGÖTLANDS LÄN</t>
        </is>
      </c>
      <c r="G260" t="inlineStr">
        <is>
          <t>NORRKÖPING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45742</v>
      </c>
      <c r="E261" s="1" t="n">
        <v>46298</v>
      </c>
      <c r="F261" t="inlineStr">
        <is>
          <t>ÖSTERGÖTLANDS LÄN</t>
        </is>
      </c>
      <c r="G261" t="inlineStr">
        <is>
          <t>NORRKÖPING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46298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46298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62108-2025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46298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62473-2025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46007</v>
      </c>
      <c r="E265" s="1" t="n">
        <v>46298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46298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46298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63168-2025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46298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46298</v>
      </c>
      <c r="F269" t="inlineStr">
        <is>
          <t>ÖSTERGÖTLANDS LÄN</t>
        </is>
      </c>
      <c r="G269" t="inlineStr">
        <is>
          <t>NORRKÖPING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22881-2025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46298</v>
      </c>
      <c r="F270" t="inlineStr">
        <is>
          <t>ÖSTERGÖTLANDS LÄN</t>
        </is>
      </c>
      <c r="G270" t="inlineStr">
        <is>
          <t>NORRKÖPING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46298</v>
      </c>
      <c r="F271" t="inlineStr">
        <is>
          <t>ÖSTERGÖTLANDS LÄN</t>
        </is>
      </c>
      <c r="G271" t="inlineStr">
        <is>
          <t>NORRKÖPING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46298</v>
      </c>
      <c r="F272" t="inlineStr">
        <is>
          <t>ÖSTERGÖTLANDS LÄN</t>
        </is>
      </c>
      <c r="G272" t="inlineStr">
        <is>
          <t>NORRKÖPING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45386</v>
      </c>
      <c r="E273" s="1" t="n">
        <v>46298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46298</v>
      </c>
      <c r="F274" t="inlineStr">
        <is>
          <t>ÖSTERGÖTLANDS LÄN</t>
        </is>
      </c>
      <c r="G274" t="inlineStr">
        <is>
          <t>NORRKÖPING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45043</v>
      </c>
      <c r="E275" s="1" t="n">
        <v>46298</v>
      </c>
      <c r="F275" t="inlineStr">
        <is>
          <t>ÖSTERGÖTLANDS LÄN</t>
        </is>
      </c>
      <c r="G275" t="inlineStr">
        <is>
          <t>NORRKÖPING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46298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46298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49778-2022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44862</v>
      </c>
      <c r="E279" s="1" t="n">
        <v>46298</v>
      </c>
      <c r="F279" t="inlineStr">
        <is>
          <t>ÖSTERGÖTLANDS LÄN</t>
        </is>
      </c>
      <c r="G279" t="inlineStr">
        <is>
          <t>NORRKÖPING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46298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45895</v>
      </c>
      <c r="E281" s="1" t="n">
        <v>46298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45254</v>
      </c>
      <c r="E282" s="1" t="n">
        <v>46298</v>
      </c>
      <c r="F282" t="inlineStr">
        <is>
          <t>ÖSTERGÖTLANDS LÄN</t>
        </is>
      </c>
      <c r="G282" t="inlineStr">
        <is>
          <t>NORRKÖPING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46298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46298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46298</v>
      </c>
      <c r="F285" t="inlineStr">
        <is>
          <t>ÖSTERGÖTLANDS LÄN</t>
        </is>
      </c>
      <c r="G285" t="inlineStr">
        <is>
          <t>NORRKÖPING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46298</v>
      </c>
      <c r="F286" t="inlineStr">
        <is>
          <t>ÖSTERGÖTLANDS LÄN</t>
        </is>
      </c>
      <c r="G286" t="inlineStr">
        <is>
          <t>NORRKÖPING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45583</v>
      </c>
      <c r="E287" s="1" t="n">
        <v>46298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36412-2024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45535</v>
      </c>
      <c r="E288" s="1" t="n">
        <v>46298</v>
      </c>
      <c r="F288" t="inlineStr">
        <is>
          <t>ÖSTERGÖTLANDS LÄN</t>
        </is>
      </c>
      <c r="G288" t="inlineStr">
        <is>
          <t>NORRKÖPING</t>
        </is>
      </c>
      <c r="I288" t="n">
        <v>12.8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45896</v>
      </c>
      <c r="E289" s="1" t="n">
        <v>46298</v>
      </c>
      <c r="F289" t="inlineStr">
        <is>
          <t>ÖSTERGÖTLANDS LÄN</t>
        </is>
      </c>
      <c r="G289" t="inlineStr">
        <is>
          <t>NORRKÖPING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63944-2025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46298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Allmännings- och besparingsskogar</t>
        </is>
      </c>
      <c r="I290" t="n">
        <v>11.6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46298</v>
      </c>
      <c r="F291" t="inlineStr">
        <is>
          <t>ÖSTERGÖTLANDS LÄN</t>
        </is>
      </c>
      <c r="G291" t="inlineStr">
        <is>
          <t>NORRKÖPING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41321-2025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46298</v>
      </c>
      <c r="F292" t="inlineStr">
        <is>
          <t>ÖSTERGÖTLANDS LÄN</t>
        </is>
      </c>
      <c r="G292" t="inlineStr">
        <is>
          <t>NORRKÖPING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46298</v>
      </c>
      <c r="F293" t="inlineStr">
        <is>
          <t>ÖSTERGÖTLANDS LÄN</t>
        </is>
      </c>
      <c r="G293" t="inlineStr">
        <is>
          <t>NORRKÖPING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46298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46298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44980</v>
      </c>
      <c r="E296" s="1" t="n">
        <v>46298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46298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Allmännings- och besparingsskogar</t>
        </is>
      </c>
      <c r="I297" t="n">
        <v>12.4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46298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44956</v>
      </c>
      <c r="E299" s="1" t="n">
        <v>46298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46298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46298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46298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Kommuner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46298</v>
      </c>
      <c r="F303" t="inlineStr">
        <is>
          <t>ÖSTERGÖTLANDS LÄN</t>
        </is>
      </c>
      <c r="G303" t="inlineStr">
        <is>
          <t>NORRKÖPING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46298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46298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45246</v>
      </c>
      <c r="E306" s="1" t="n">
        <v>46298</v>
      </c>
      <c r="F306" t="inlineStr">
        <is>
          <t>ÖSTERGÖTLANDS LÄN</t>
        </is>
      </c>
      <c r="G306" t="inlineStr">
        <is>
          <t>NORRKÖPING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46298</v>
      </c>
      <c r="F307" t="inlineStr">
        <is>
          <t>ÖSTERGÖTLANDS LÄN</t>
        </is>
      </c>
      <c r="G307" t="inlineStr">
        <is>
          <t>NORRKÖPING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44575</v>
      </c>
      <c r="E308" s="1" t="n">
        <v>46298</v>
      </c>
      <c r="F308" t="inlineStr">
        <is>
          <t>ÖSTERGÖTLANDS LÄN</t>
        </is>
      </c>
      <c r="G308" t="inlineStr">
        <is>
          <t>NORRKÖPING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46298</v>
      </c>
      <c r="F309" t="inlineStr">
        <is>
          <t>ÖSTERGÖTLANDS LÄN</t>
        </is>
      </c>
      <c r="G309" t="inlineStr">
        <is>
          <t>NORRKÖPING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46298</v>
      </c>
      <c r="F310" t="inlineStr">
        <is>
          <t>ÖSTERGÖTLANDS LÄN</t>
        </is>
      </c>
      <c r="G310" t="inlineStr">
        <is>
          <t>NORRKÖPING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45414</v>
      </c>
      <c r="E311" s="1" t="n">
        <v>46298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46298</v>
      </c>
      <c r="F312" t="inlineStr">
        <is>
          <t>ÖSTERGÖTLANDS LÄN</t>
        </is>
      </c>
      <c r="G312" t="inlineStr">
        <is>
          <t>NORRKÖPING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60800-2023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45259</v>
      </c>
      <c r="E313" s="1" t="n">
        <v>46298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23954-2025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46298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46298</v>
      </c>
      <c r="F315" t="inlineStr">
        <is>
          <t>ÖSTERGÖTLANDS LÄN</t>
        </is>
      </c>
      <c r="G315" t="inlineStr">
        <is>
          <t>NORRKÖPING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46298</v>
      </c>
      <c r="F316" t="inlineStr">
        <is>
          <t>ÖSTERGÖTLANDS LÄN</t>
        </is>
      </c>
      <c r="G316" t="inlineStr">
        <is>
          <t>NORRKÖPING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46298</v>
      </c>
      <c r="F317" t="inlineStr">
        <is>
          <t>ÖSTERGÖTLANDS LÄN</t>
        </is>
      </c>
      <c r="G317" t="inlineStr">
        <is>
          <t>NORRKÖPING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46298</v>
      </c>
      <c r="F318" t="inlineStr">
        <is>
          <t>ÖSTERGÖTLANDS LÄN</t>
        </is>
      </c>
      <c r="G318" t="inlineStr">
        <is>
          <t>NORRKÖPING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62875-2023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46298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46298</v>
      </c>
      <c r="F320" t="inlineStr">
        <is>
          <t>ÖSTERGÖTLANDS LÄN</t>
        </is>
      </c>
      <c r="G320" t="inlineStr">
        <is>
          <t>NORRKÖPING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45798</v>
      </c>
      <c r="E321" s="1" t="n">
        <v>46298</v>
      </c>
      <c r="F321" t="inlineStr">
        <is>
          <t>ÖSTERGÖTLANDS LÄN</t>
        </is>
      </c>
      <c r="G321" t="inlineStr">
        <is>
          <t>NORRKÖPING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51112-2024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46298</v>
      </c>
      <c r="F322" t="inlineStr">
        <is>
          <t>ÖSTERGÖTLANDS LÄN</t>
        </is>
      </c>
      <c r="G322" t="inlineStr">
        <is>
          <t>NORRKÖPING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46298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46046</v>
      </c>
      <c r="E324" s="1" t="n">
        <v>46298</v>
      </c>
      <c r="F324" t="inlineStr">
        <is>
          <t>ÖSTERGÖTLANDS LÄN</t>
        </is>
      </c>
      <c r="G324" t="inlineStr">
        <is>
          <t>NORRKÖPING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46298</v>
      </c>
      <c r="F325" t="inlineStr">
        <is>
          <t>ÖSTERGÖTLANDS LÄN</t>
        </is>
      </c>
      <c r="G325" t="inlineStr">
        <is>
          <t>NORRKÖPING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46298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Allmännings- och besparingsskogar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45274</v>
      </c>
      <c r="E327" s="1" t="n">
        <v>46298</v>
      </c>
      <c r="F327" t="inlineStr">
        <is>
          <t>ÖSTERGÖTLANDS LÄN</t>
        </is>
      </c>
      <c r="G327" t="inlineStr">
        <is>
          <t>NORRKÖPING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46298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16582-2024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46298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45565</v>
      </c>
      <c r="E330" s="1" t="n">
        <v>46298</v>
      </c>
      <c r="F330" t="inlineStr">
        <is>
          <t>ÖSTERGÖTLANDS LÄN</t>
        </is>
      </c>
      <c r="G330" t="inlineStr">
        <is>
          <t>NORRKÖPING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46298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46298</v>
      </c>
      <c r="F332" t="inlineStr">
        <is>
          <t>ÖSTERGÖTLANDS LÄN</t>
        </is>
      </c>
      <c r="G332" t="inlineStr">
        <is>
          <t>NORRKÖPING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29622-2022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44754</v>
      </c>
      <c r="E333" s="1" t="n">
        <v>46298</v>
      </c>
      <c r="F333" t="inlineStr">
        <is>
          <t>ÖSTERGÖTLANDS LÄN</t>
        </is>
      </c>
      <c r="G333" t="inlineStr">
        <is>
          <t>NORRKÖPING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46298</v>
      </c>
      <c r="F334" t="inlineStr">
        <is>
          <t>ÖSTERGÖTLANDS LÄN</t>
        </is>
      </c>
      <c r="G334" t="inlineStr">
        <is>
          <t>NORRKÖPING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46298</v>
      </c>
      <c r="F335" t="inlineStr">
        <is>
          <t>ÖSTERGÖTLANDS LÄN</t>
        </is>
      </c>
      <c r="G335" t="inlineStr">
        <is>
          <t>NORRKÖPING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46298</v>
      </c>
      <c r="F336" t="inlineStr">
        <is>
          <t>ÖSTERGÖTLANDS LÄN</t>
        </is>
      </c>
      <c r="G336" t="inlineStr">
        <is>
          <t>NORRKÖPING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45804</v>
      </c>
      <c r="E337" s="1" t="n">
        <v>46298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Kommuner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46298</v>
      </c>
      <c r="F338" t="inlineStr">
        <is>
          <t>ÖSTERGÖTLANDS LÄN</t>
        </is>
      </c>
      <c r="G338" t="inlineStr">
        <is>
          <t>NORRKÖPING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46298</v>
      </c>
      <c r="F339" t="inlineStr">
        <is>
          <t>ÖSTERGÖTLANDS LÄN</t>
        </is>
      </c>
      <c r="G339" t="inlineStr">
        <is>
          <t>NORRKÖPING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46298</v>
      </c>
      <c r="F340" t="inlineStr">
        <is>
          <t>ÖSTERGÖTLANDS LÄN</t>
        </is>
      </c>
      <c r="G340" t="inlineStr">
        <is>
          <t>NORRKÖPING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46298</v>
      </c>
      <c r="F341" t="inlineStr">
        <is>
          <t>ÖSTERGÖTLANDS LÄN</t>
        </is>
      </c>
      <c r="G341" t="inlineStr">
        <is>
          <t>NORRKÖPING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46298</v>
      </c>
      <c r="F342" t="inlineStr">
        <is>
          <t>ÖSTERGÖTLANDS LÄN</t>
        </is>
      </c>
      <c r="G342" t="inlineStr">
        <is>
          <t>NORRKÖPING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46298</v>
      </c>
      <c r="F343" t="inlineStr">
        <is>
          <t>ÖSTERGÖTLANDS LÄN</t>
        </is>
      </c>
      <c r="G343" t="inlineStr">
        <is>
          <t>NORRKÖPING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46298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46298</v>
      </c>
      <c r="F345" t="inlineStr">
        <is>
          <t>ÖSTERGÖTLANDS LÄN</t>
        </is>
      </c>
      <c r="G345" t="inlineStr">
        <is>
          <t>NORRKÖPING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46298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46298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46298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46298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57733-2022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44897</v>
      </c>
      <c r="E350" s="1" t="n">
        <v>46298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46298</v>
      </c>
      <c r="F351" t="inlineStr">
        <is>
          <t>ÖSTERGÖTLANDS LÄN</t>
        </is>
      </c>
      <c r="G351" t="inlineStr">
        <is>
          <t>NORRKÖPING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44935</v>
      </c>
      <c r="E352" s="1" t="n">
        <v>46298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46298</v>
      </c>
      <c r="F353" t="inlineStr">
        <is>
          <t>ÖSTERGÖTLANDS LÄN</t>
        </is>
      </c>
      <c r="G353" t="inlineStr">
        <is>
          <t>NORRKÖPING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57413-2022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44896</v>
      </c>
      <c r="E354" s="1" t="n">
        <v>46298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48462-2022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44858</v>
      </c>
      <c r="E355" s="1" t="n">
        <v>46298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46298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46298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44644</v>
      </c>
      <c r="E358" s="1" t="n">
        <v>46298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Allmännings- och besparingsskogar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48500-2025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46298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46298</v>
      </c>
      <c r="F360" t="inlineStr">
        <is>
          <t>ÖSTERGÖTLANDS LÄN</t>
        </is>
      </c>
      <c r="G360" t="inlineStr">
        <is>
          <t>NORRKÖPING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46298</v>
      </c>
      <c r="F361" t="inlineStr">
        <is>
          <t>ÖSTERGÖTLANDS LÄN</t>
        </is>
      </c>
      <c r="G361" t="inlineStr">
        <is>
          <t>NORRKÖPING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45873</v>
      </c>
      <c r="E362" s="1" t="n">
        <v>46298</v>
      </c>
      <c r="F362" t="inlineStr">
        <is>
          <t>ÖSTERGÖTLANDS LÄN</t>
        </is>
      </c>
      <c r="G362" t="inlineStr">
        <is>
          <t>NORRKÖPING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46072</v>
      </c>
      <c r="E363" s="1" t="n">
        <v>46298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Kyrkan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45943</v>
      </c>
      <c r="E364" s="1" t="n">
        <v>46298</v>
      </c>
      <c r="F364" t="inlineStr">
        <is>
          <t>ÖSTERGÖTLANDS LÄN</t>
        </is>
      </c>
      <c r="G364" t="inlineStr">
        <is>
          <t>NORRKÖPING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35701-2024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45532</v>
      </c>
      <c r="E365" s="1" t="n">
        <v>46298</v>
      </c>
      <c r="F365" t="inlineStr">
        <is>
          <t>ÖSTERGÖTLANDS LÄN</t>
        </is>
      </c>
      <c r="G365" t="inlineStr">
        <is>
          <t>NORRKÖPING</t>
        </is>
      </c>
      <c r="I365" t="n">
        <v>11.7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45202</v>
      </c>
      <c r="E366" s="1" t="n">
        <v>46298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46298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Kyrkan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45121</v>
      </c>
      <c r="E368" s="1" t="n">
        <v>46298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49818-2024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45597</v>
      </c>
      <c r="E369" s="1" t="n">
        <v>46298</v>
      </c>
      <c r="F369" t="inlineStr">
        <is>
          <t>ÖSTERGÖTLANDS LÄN</t>
        </is>
      </c>
      <c r="G369" t="inlineStr">
        <is>
          <t>NORRKÖPING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46298</v>
      </c>
      <c r="F370" t="inlineStr">
        <is>
          <t>ÖSTERGÖTLANDS LÄN</t>
        </is>
      </c>
      <c r="G370" t="inlineStr">
        <is>
          <t>NORRKÖPING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46298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22651-2023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46298</v>
      </c>
      <c r="F372" t="inlineStr">
        <is>
          <t>ÖSTERGÖTLANDS LÄN</t>
        </is>
      </c>
      <c r="G372" t="inlineStr">
        <is>
          <t>NORRKÖPING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45678</v>
      </c>
      <c r="E373" s="1" t="n">
        <v>46298</v>
      </c>
      <c r="F373" t="inlineStr">
        <is>
          <t>ÖSTERGÖTLANDS LÄN</t>
        </is>
      </c>
      <c r="G373" t="inlineStr">
        <is>
          <t>NORRKÖPING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44889</v>
      </c>
      <c r="E374" s="1" t="n">
        <v>46298</v>
      </c>
      <c r="F374" t="inlineStr">
        <is>
          <t>ÖSTERGÖTLANDS LÄN</t>
        </is>
      </c>
      <c r="G374" t="inlineStr">
        <is>
          <t>NORRKÖPING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46298</v>
      </c>
      <c r="F375" t="inlineStr">
        <is>
          <t>ÖSTERGÖTLANDS LÄN</t>
        </is>
      </c>
      <c r="G375" t="inlineStr">
        <is>
          <t>NORRKÖPING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45317</v>
      </c>
      <c r="E376" s="1" t="n">
        <v>46298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46298</v>
      </c>
      <c r="F377" t="inlineStr">
        <is>
          <t>ÖSTERGÖTLANDS LÄN</t>
        </is>
      </c>
      <c r="G377" t="inlineStr">
        <is>
          <t>NORRKÖPING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45369</v>
      </c>
      <c r="E378" s="1" t="n">
        <v>46298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46298</v>
      </c>
      <c r="F379" t="inlineStr">
        <is>
          <t>ÖSTERGÖTLANDS LÄN</t>
        </is>
      </c>
      <c r="G379" t="inlineStr">
        <is>
          <t>NORRKÖPING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45043</v>
      </c>
      <c r="E380" s="1" t="n">
        <v>46298</v>
      </c>
      <c r="F380" t="inlineStr">
        <is>
          <t>ÖSTERGÖTLANDS LÄN</t>
        </is>
      </c>
      <c r="G380" t="inlineStr">
        <is>
          <t>NORRKÖPING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46298</v>
      </c>
      <c r="F381" t="inlineStr">
        <is>
          <t>ÖSTERGÖTLANDS LÄN</t>
        </is>
      </c>
      <c r="G381" t="inlineStr">
        <is>
          <t>NORRKÖPING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45478</v>
      </c>
      <c r="E382" s="1" t="n">
        <v>46298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45098</v>
      </c>
      <c r="E383" s="1" t="n">
        <v>46298</v>
      </c>
      <c r="F383" t="inlineStr">
        <is>
          <t>ÖSTERGÖTLANDS LÄN</t>
        </is>
      </c>
      <c r="G383" t="inlineStr">
        <is>
          <t>NORRKÖPING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45414</v>
      </c>
      <c r="E384" s="1" t="n">
        <v>46298</v>
      </c>
      <c r="F384" t="inlineStr">
        <is>
          <t>ÖSTERGÖTLANDS LÄN</t>
        </is>
      </c>
      <c r="G384" t="inlineStr">
        <is>
          <t>NORRKÖPING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12584-2026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46298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46298</v>
      </c>
      <c r="F386" t="inlineStr">
        <is>
          <t>ÖSTERGÖTLANDS LÄN</t>
        </is>
      </c>
      <c r="G386" t="inlineStr">
        <is>
          <t>NORRKÖPING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46298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45960</v>
      </c>
      <c r="E388" s="1" t="n">
        <v>46298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46298</v>
      </c>
      <c r="F389" t="inlineStr">
        <is>
          <t>ÖSTERGÖTLANDS LÄN</t>
        </is>
      </c>
      <c r="G389" t="inlineStr">
        <is>
          <t>NORRKÖPING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46298</v>
      </c>
      <c r="F390" t="inlineStr">
        <is>
          <t>ÖSTERGÖTLANDS LÄN</t>
        </is>
      </c>
      <c r="G390" t="inlineStr">
        <is>
          <t>NORRKÖPING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45043</v>
      </c>
      <c r="E391" s="1" t="n">
        <v>46298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46298</v>
      </c>
      <c r="F392" t="inlineStr">
        <is>
          <t>ÖSTERGÖTLANDS LÄN</t>
        </is>
      </c>
      <c r="G392" t="inlineStr">
        <is>
          <t>NORRKÖPING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46298</v>
      </c>
      <c r="F393" t="inlineStr">
        <is>
          <t>ÖSTERGÖTLANDS LÄN</t>
        </is>
      </c>
      <c r="G393" t="inlineStr">
        <is>
          <t>NORRKÖPING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46298</v>
      </c>
      <c r="F394" t="inlineStr">
        <is>
          <t>ÖSTERGÖTLANDS LÄN</t>
        </is>
      </c>
      <c r="G394" t="inlineStr">
        <is>
          <t>NORRKÖPING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46093</v>
      </c>
      <c r="E395" s="1" t="n">
        <v>46298</v>
      </c>
      <c r="F395" t="inlineStr">
        <is>
          <t>ÖSTERGÖTLANDS LÄN</t>
        </is>
      </c>
      <c r="G395" t="inlineStr">
        <is>
          <t>NORRKÖPING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56210-2023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45240</v>
      </c>
      <c r="E396" s="1" t="n">
        <v>46298</v>
      </c>
      <c r="F396" t="inlineStr">
        <is>
          <t>ÖSTERGÖTLANDS LÄN</t>
        </is>
      </c>
      <c r="G396" t="inlineStr">
        <is>
          <t>NORRKÖPING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45817</v>
      </c>
      <c r="E397" s="1" t="n">
        <v>46298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13253-2026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46298</v>
      </c>
      <c r="F398" t="inlineStr">
        <is>
          <t>ÖSTERGÖTLANDS LÄN</t>
        </is>
      </c>
      <c r="G398" t="inlineStr">
        <is>
          <t>NORRKÖPING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31883-2023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45118</v>
      </c>
      <c r="E399" s="1" t="n">
        <v>46298</v>
      </c>
      <c r="F399" t="inlineStr">
        <is>
          <t>ÖSTERGÖTLANDS LÄN</t>
        </is>
      </c>
      <c r="G399" t="inlineStr">
        <is>
          <t>NORRKÖPING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13330-2026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46298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46298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46093</v>
      </c>
      <c r="E402" s="1" t="n">
        <v>46298</v>
      </c>
      <c r="F402" t="inlineStr">
        <is>
          <t>ÖSTERGÖTLANDS LÄN</t>
        </is>
      </c>
      <c r="G402" t="inlineStr">
        <is>
          <t>NORRKÖPING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13342-2026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46298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13091-2026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46298</v>
      </c>
      <c r="F404" t="inlineStr">
        <is>
          <t>ÖSTERGÖTLANDS LÄN</t>
        </is>
      </c>
      <c r="G404" t="inlineStr">
        <is>
          <t>NORRKÖPING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46298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70378-2021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44536</v>
      </c>
      <c r="E406" s="1" t="n">
        <v>46298</v>
      </c>
      <c r="F406" t="inlineStr">
        <is>
          <t>ÖSTERGÖTLANDS LÄN</t>
        </is>
      </c>
      <c r="G406" t="inlineStr">
        <is>
          <t>NORRKÖPING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46298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46298</v>
      </c>
      <c r="F408" t="inlineStr">
        <is>
          <t>ÖSTERGÖTLANDS LÄN</t>
        </is>
      </c>
      <c r="G408" t="inlineStr">
        <is>
          <t>NORRKÖPING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46298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46298</v>
      </c>
      <c r="F410" t="inlineStr">
        <is>
          <t>ÖSTERGÖTLANDS LÄN</t>
        </is>
      </c>
      <c r="G410" t="inlineStr">
        <is>
          <t>NORRKÖPING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44999</v>
      </c>
      <c r="E411" s="1" t="n">
        <v>46298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46298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46298</v>
      </c>
      <c r="F413" t="inlineStr">
        <is>
          <t>ÖSTERGÖTLANDS LÄN</t>
        </is>
      </c>
      <c r="G413" t="inlineStr">
        <is>
          <t>NORRKÖPING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46298</v>
      </c>
      <c r="F414" t="inlineStr">
        <is>
          <t>ÖSTERGÖTLANDS LÄN</t>
        </is>
      </c>
      <c r="G414" t="inlineStr">
        <is>
          <t>NORRKÖPING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45330</v>
      </c>
      <c r="E415" s="1" t="n">
        <v>46298</v>
      </c>
      <c r="F415" t="inlineStr">
        <is>
          <t>ÖSTERGÖTLANDS LÄN</t>
        </is>
      </c>
      <c r="G415" t="inlineStr">
        <is>
          <t>NORRKÖPING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46298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51124-2023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46298</v>
      </c>
      <c r="F417" t="inlineStr">
        <is>
          <t>ÖSTERGÖTLANDS LÄN</t>
        </is>
      </c>
      <c r="G417" t="inlineStr">
        <is>
          <t>NORRKÖPING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46298</v>
      </c>
      <c r="F418" t="inlineStr">
        <is>
          <t>ÖSTERGÖTLANDS LÄN</t>
        </is>
      </c>
      <c r="G418" t="inlineStr">
        <is>
          <t>NORRKÖPING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46298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45201</v>
      </c>
      <c r="E420" s="1" t="n">
        <v>46298</v>
      </c>
      <c r="F420" t="inlineStr">
        <is>
          <t>ÖSTERGÖTLANDS LÄN</t>
        </is>
      </c>
      <c r="G420" t="inlineStr">
        <is>
          <t>NORRKÖPING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46298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46298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46298</v>
      </c>
      <c r="F423" t="inlineStr">
        <is>
          <t>ÖSTERGÖTLANDS LÄN</t>
        </is>
      </c>
      <c r="G423" t="inlineStr">
        <is>
          <t>NORRKÖPING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46298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46298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45820</v>
      </c>
      <c r="E426" s="1" t="n">
        <v>46298</v>
      </c>
      <c r="F426" t="inlineStr">
        <is>
          <t>ÖSTERGÖTLANDS LÄN</t>
        </is>
      </c>
      <c r="G426" t="inlineStr">
        <is>
          <t>NORRKÖPING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46298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45820</v>
      </c>
      <c r="E428" s="1" t="n">
        <v>46298</v>
      </c>
      <c r="F428" t="inlineStr">
        <is>
          <t>ÖSTERGÖTLANDS LÄN</t>
        </is>
      </c>
      <c r="G428" t="inlineStr">
        <is>
          <t>NORRKÖPING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58814-2025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46298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Allmännings- och besparingsskogar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58575-2025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46298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46298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46298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10393-2024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45365</v>
      </c>
      <c r="E433" s="1" t="n">
        <v>46298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Kommuner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46298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45405</v>
      </c>
      <c r="E435" s="1" t="n">
        <v>46298</v>
      </c>
      <c r="F435" t="inlineStr">
        <is>
          <t>ÖSTERGÖTLANDS LÄN</t>
        </is>
      </c>
      <c r="G435" t="inlineStr">
        <is>
          <t>NORRKÖPING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46298</v>
      </c>
      <c r="F436" t="inlineStr">
        <is>
          <t>ÖSTERGÖTLANDS LÄN</t>
        </is>
      </c>
      <c r="G436" t="inlineStr">
        <is>
          <t>NORRKÖPING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46298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62376-2022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44923</v>
      </c>
      <c r="E438" s="1" t="n">
        <v>46298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46298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44930</v>
      </c>
      <c r="E440" s="1" t="n">
        <v>46298</v>
      </c>
      <c r="F440" t="inlineStr">
        <is>
          <t>ÖSTERGÖTLANDS LÄN</t>
        </is>
      </c>
      <c r="G440" t="inlineStr">
        <is>
          <t>NORRKÖPING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18661-2023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46298</v>
      </c>
      <c r="F441" t="inlineStr">
        <is>
          <t>ÖSTERGÖTLANDS LÄN</t>
        </is>
      </c>
      <c r="G441" t="inlineStr">
        <is>
          <t>NORRKÖPING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45092</v>
      </c>
      <c r="E442" s="1" t="n">
        <v>46298</v>
      </c>
      <c r="F442" t="inlineStr">
        <is>
          <t>ÖSTERGÖTLANDS LÄN</t>
        </is>
      </c>
      <c r="G442" t="inlineStr">
        <is>
          <t>NORRKÖPING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46298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46128</v>
      </c>
      <c r="E444" s="1" t="n">
        <v>46298</v>
      </c>
      <c r="F444" t="inlineStr">
        <is>
          <t>ÖSTERGÖTLANDS LÄN</t>
        </is>
      </c>
      <c r="G444" t="inlineStr">
        <is>
          <t>NORRKÖPING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50157-2022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44865</v>
      </c>
      <c r="E445" s="1" t="n">
        <v>46298</v>
      </c>
      <c r="F445" t="inlineStr">
        <is>
          <t>ÖSTERGÖTLANDS LÄN</t>
        </is>
      </c>
      <c r="G445" t="inlineStr">
        <is>
          <t>NORRKÖPING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46298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49462-2023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45211</v>
      </c>
      <c r="E447" s="1" t="n">
        <v>46298</v>
      </c>
      <c r="F447" t="inlineStr">
        <is>
          <t>ÖSTERGÖTLANDS LÄN</t>
        </is>
      </c>
      <c r="G447" t="inlineStr">
        <is>
          <t>NORRKÖPING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49465-2023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45211</v>
      </c>
      <c r="E448" s="1" t="n">
        <v>46298</v>
      </c>
      <c r="F448" t="inlineStr">
        <is>
          <t>ÖSTERGÖTLANDS LÄN</t>
        </is>
      </c>
      <c r="G448" t="inlineStr">
        <is>
          <t>NORRKÖPING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45833</v>
      </c>
      <c r="E449" s="1" t="n">
        <v>46298</v>
      </c>
      <c r="F449" t="inlineStr">
        <is>
          <t>ÖSTERGÖTLANDS LÄN</t>
        </is>
      </c>
      <c r="G449" t="inlineStr">
        <is>
          <t>NORRKÖPING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20001-2026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46135</v>
      </c>
      <c r="E450" s="1" t="n">
        <v>46298</v>
      </c>
      <c r="F450" t="inlineStr">
        <is>
          <t>ÖSTERGÖTLANDS LÄN</t>
        </is>
      </c>
      <c r="G450" t="inlineStr">
        <is>
          <t>NORRKÖPING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46298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50117-2023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46298</v>
      </c>
      <c r="F452" t="inlineStr">
        <is>
          <t>ÖSTERGÖTLANDS LÄN</t>
        </is>
      </c>
      <c r="G452" t="inlineStr">
        <is>
          <t>NORRKÖPING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39863-2025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45891</v>
      </c>
      <c r="E453" s="1" t="n">
        <v>46298</v>
      </c>
      <c r="F453" t="inlineStr">
        <is>
          <t>ÖSTERGÖTLANDS LÄN</t>
        </is>
      </c>
      <c r="G453" t="inlineStr">
        <is>
          <t>NORRKÖPING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46298</v>
      </c>
      <c r="F454" t="inlineStr">
        <is>
          <t>ÖSTERGÖTLANDS LÄN</t>
        </is>
      </c>
      <c r="G454" t="inlineStr">
        <is>
          <t>NORRKÖPING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45657</v>
      </c>
      <c r="E455" s="1" t="n">
        <v>46298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45436</v>
      </c>
      <c r="E456" s="1" t="n">
        <v>46298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46298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Naturvårdsverket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45356</v>
      </c>
      <c r="E458" s="1" t="n">
        <v>46298</v>
      </c>
      <c r="F458" t="inlineStr">
        <is>
          <t>ÖSTERGÖTLANDS LÄN</t>
        </is>
      </c>
      <c r="G458" t="inlineStr">
        <is>
          <t>NORRKÖPING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50112-2023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46298</v>
      </c>
      <c r="F459" t="inlineStr">
        <is>
          <t>ÖSTERGÖTLANDS LÄN</t>
        </is>
      </c>
      <c r="G459" t="inlineStr">
        <is>
          <t>NORRKÖPING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20352-2026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46139</v>
      </c>
      <c r="E460" s="1" t="n">
        <v>46298</v>
      </c>
      <c r="F460" t="inlineStr">
        <is>
          <t>ÖSTERGÖTLANDS LÄN</t>
        </is>
      </c>
      <c r="G460" t="inlineStr">
        <is>
          <t>NORRKÖPING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38571-2025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45884</v>
      </c>
      <c r="E461" s="1" t="n">
        <v>46298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45141</v>
      </c>
      <c r="E462" s="1" t="n">
        <v>46298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46298</v>
      </c>
      <c r="F463" t="inlineStr">
        <is>
          <t>ÖSTERGÖTLANDS LÄN</t>
        </is>
      </c>
      <c r="G463" t="inlineStr">
        <is>
          <t>NORRKÖPING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46298</v>
      </c>
      <c r="F464" t="inlineStr">
        <is>
          <t>ÖSTERGÖTLANDS LÄN</t>
        </is>
      </c>
      <c r="G464" t="inlineStr">
        <is>
          <t>NORRKÖPING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46298</v>
      </c>
      <c r="F465" t="inlineStr">
        <is>
          <t>ÖSTERGÖTLANDS LÄN</t>
        </is>
      </c>
      <c r="G465" t="inlineStr">
        <is>
          <t>NORRKÖPING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44936</v>
      </c>
      <c r="E466" s="1" t="n">
        <v>46298</v>
      </c>
      <c r="F466" t="inlineStr">
        <is>
          <t>ÖSTERGÖTLANDS LÄN</t>
        </is>
      </c>
      <c r="G466" t="inlineStr">
        <is>
          <t>NORRKÖPING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46298</v>
      </c>
      <c r="F467" t="inlineStr">
        <is>
          <t>ÖSTERGÖTLANDS LÄN</t>
        </is>
      </c>
      <c r="G467" t="inlineStr">
        <is>
          <t>NORRKÖPING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45006</v>
      </c>
      <c r="E468" s="1" t="n">
        <v>46298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34231-2025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45845</v>
      </c>
      <c r="E469" s="1" t="n">
        <v>46298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45582</v>
      </c>
      <c r="E470" s="1" t="n">
        <v>46298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45678</v>
      </c>
      <c r="E471" s="1" t="n">
        <v>46298</v>
      </c>
      <c r="F471" t="inlineStr">
        <is>
          <t>ÖSTERGÖTLANDS LÄN</t>
        </is>
      </c>
      <c r="G471" t="inlineStr">
        <is>
          <t>NORRKÖPING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38719-2025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45886</v>
      </c>
      <c r="E472" s="1" t="n">
        <v>46298</v>
      </c>
      <c r="F472" t="inlineStr">
        <is>
          <t>ÖSTERGÖTLANDS LÄN</t>
        </is>
      </c>
      <c r="G472" t="inlineStr">
        <is>
          <t>NORRKÖPING</t>
        </is>
      </c>
      <c r="I472" t="n">
        <v>14.3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46298</v>
      </c>
      <c r="F473" t="inlineStr">
        <is>
          <t>ÖSTERGÖTLANDS LÄN</t>
        </is>
      </c>
      <c r="G473" t="inlineStr">
        <is>
          <t>NORRKÖPING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46298</v>
      </c>
      <c r="F474" t="inlineStr">
        <is>
          <t>ÖSTERGÖTLANDS LÄN</t>
        </is>
      </c>
      <c r="G474" t="inlineStr">
        <is>
          <t>NORRKÖPING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23941-2025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45796</v>
      </c>
      <c r="E475" s="1" t="n">
        <v>46298</v>
      </c>
      <c r="F475" t="inlineStr">
        <is>
          <t>ÖSTERGÖTLANDS LÄN</t>
        </is>
      </c>
      <c r="G475" t="inlineStr">
        <is>
          <t>NORRKÖPING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45386</v>
      </c>
      <c r="E476" s="1" t="n">
        <v>46298</v>
      </c>
      <c r="F476" t="inlineStr">
        <is>
          <t>ÖSTERGÖTLANDS LÄN</t>
        </is>
      </c>
      <c r="G476" t="inlineStr">
        <is>
          <t>NORRKÖPING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41083-2022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44825</v>
      </c>
      <c r="E477" s="1" t="n">
        <v>46298</v>
      </c>
      <c r="F477" t="inlineStr">
        <is>
          <t>ÖSTERGÖTLANDS LÄN</t>
        </is>
      </c>
      <c r="G477" t="inlineStr">
        <is>
          <t>NORRKÖPING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46298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45736</v>
      </c>
      <c r="E479" s="1" t="n">
        <v>46298</v>
      </c>
      <c r="F479" t="inlineStr">
        <is>
          <t>ÖSTERGÖTLANDS LÄN</t>
        </is>
      </c>
      <c r="G479" t="inlineStr">
        <is>
          <t>NORRKÖPING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45891</v>
      </c>
      <c r="E480" s="1" t="n">
        <v>46298</v>
      </c>
      <c r="F480" t="inlineStr">
        <is>
          <t>ÖSTERGÖTLANDS LÄN</t>
        </is>
      </c>
      <c r="G480" t="inlineStr">
        <is>
          <t>NORRKÖPING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45030</v>
      </c>
      <c r="E481" s="1" t="n">
        <v>46298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2021-2023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44939</v>
      </c>
      <c r="E482" s="1" t="n">
        <v>46298</v>
      </c>
      <c r="F482" t="inlineStr">
        <is>
          <t>ÖSTERGÖTLANDS LÄN</t>
        </is>
      </c>
      <c r="G482" t="inlineStr">
        <is>
          <t>NORRKÖPING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45093</v>
      </c>
      <c r="E483" s="1" t="n">
        <v>46298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46298</v>
      </c>
      <c r="F484" t="inlineStr">
        <is>
          <t>ÖSTERGÖTLANDS LÄN</t>
        </is>
      </c>
      <c r="G484" t="inlineStr">
        <is>
          <t>NORRKÖPING</t>
        </is>
      </c>
      <c r="I484" t="n">
        <v>9.9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46298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46298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46139</v>
      </c>
      <c r="E487" s="1" t="n">
        <v>46298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46298</v>
      </c>
      <c r="F488" t="inlineStr">
        <is>
          <t>ÖSTERGÖTLANDS LÄN</t>
        </is>
      </c>
      <c r="G488" t="inlineStr">
        <is>
          <t>NORRKÖPING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45836</v>
      </c>
      <c r="E489" s="1" t="n">
        <v>46298</v>
      </c>
      <c r="F489" t="inlineStr">
        <is>
          <t>ÖSTERGÖTLANDS LÄN</t>
        </is>
      </c>
      <c r="G489" t="inlineStr">
        <is>
          <t>NORRKÖPING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50960-2022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44867</v>
      </c>
      <c r="E490" s="1" t="n">
        <v>46298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Allmännings- och besparingsskogar</t>
        </is>
      </c>
      <c r="I490" t="n">
        <v>10.3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45178</v>
      </c>
      <c r="E491" s="1" t="n">
        <v>46298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45373</v>
      </c>
      <c r="E492" s="1" t="n">
        <v>46298</v>
      </c>
      <c r="F492" t="inlineStr">
        <is>
          <t>ÖSTERGÖTLANDS LÄN</t>
        </is>
      </c>
      <c r="G492" t="inlineStr">
        <is>
          <t>NORRKÖPING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46298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45016</v>
      </c>
      <c r="E494" s="1" t="n">
        <v>46298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45254</v>
      </c>
      <c r="E495" s="1" t="n">
        <v>46298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45742</v>
      </c>
      <c r="E496" s="1" t="n">
        <v>46298</v>
      </c>
      <c r="F496" t="inlineStr">
        <is>
          <t>ÖSTERGÖTLANDS LÄN</t>
        </is>
      </c>
      <c r="G496" t="inlineStr">
        <is>
          <t>NORRKÖPING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46298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30865-2024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45497</v>
      </c>
      <c r="E498" s="1" t="n">
        <v>46298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49487-2022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44861</v>
      </c>
      <c r="E499" s="1" t="n">
        <v>46298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44607</v>
      </c>
      <c r="E500" s="1" t="n">
        <v>46298</v>
      </c>
      <c r="F500" t="inlineStr">
        <is>
          <t>ÖSTERGÖTLANDS LÄN</t>
        </is>
      </c>
      <c r="G500" t="inlineStr">
        <is>
          <t>NORRKÖPING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57405-2024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45629</v>
      </c>
      <c r="E501" s="1" t="n">
        <v>46298</v>
      </c>
      <c r="F501" t="inlineStr">
        <is>
          <t>ÖSTERGÖTLANDS LÄN</t>
        </is>
      </c>
      <c r="G501" t="inlineStr">
        <is>
          <t>NORRKÖPING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46298</v>
      </c>
      <c r="F502" t="inlineStr">
        <is>
          <t>ÖSTERGÖTLANDS LÄN</t>
        </is>
      </c>
      <c r="G502" t="inlineStr">
        <is>
          <t>NORRKÖPING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45716</v>
      </c>
      <c r="E503" s="1" t="n">
        <v>46298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31834-2023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45106</v>
      </c>
      <c r="E504" s="1" t="n">
        <v>46298</v>
      </c>
      <c r="F504" t="inlineStr">
        <is>
          <t>ÖSTERGÖTLANDS LÄN</t>
        </is>
      </c>
      <c r="G504" t="inlineStr">
        <is>
          <t>NORRKÖPING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45706</v>
      </c>
      <c r="E505" s="1" t="n">
        <v>46298</v>
      </c>
      <c r="F505" t="inlineStr">
        <is>
          <t>ÖSTERGÖTLANDS LÄN</t>
        </is>
      </c>
      <c r="G505" t="inlineStr">
        <is>
          <t>NORRKÖPING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19298-2025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46298</v>
      </c>
      <c r="F506" t="inlineStr">
        <is>
          <t>ÖSTERGÖTLANDS LÄN</t>
        </is>
      </c>
      <c r="G506" t="inlineStr">
        <is>
          <t>NORRKÖPING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45266</v>
      </c>
      <c r="E507" s="1" t="n">
        <v>46298</v>
      </c>
      <c r="F507" t="inlineStr">
        <is>
          <t>ÖSTERGÖTLANDS LÄN</t>
        </is>
      </c>
      <c r="G507" t="inlineStr">
        <is>
          <t>NORRKÖPING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45435</v>
      </c>
      <c r="E508" s="1" t="n">
        <v>46298</v>
      </c>
      <c r="F508" t="inlineStr">
        <is>
          <t>ÖSTERGÖTLANDS LÄN</t>
        </is>
      </c>
      <c r="G508" t="inlineStr">
        <is>
          <t>NORRKÖPING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44977</v>
      </c>
      <c r="E509" s="1" t="n">
        <v>46298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45709</v>
      </c>
      <c r="E510" s="1" t="n">
        <v>46298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46298</v>
      </c>
      <c r="F511" t="inlineStr">
        <is>
          <t>ÖSTERGÖTLANDS LÄN</t>
        </is>
      </c>
      <c r="G511" t="inlineStr">
        <is>
          <t>NORRKÖPING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44630</v>
      </c>
      <c r="E512" s="1" t="n">
        <v>46298</v>
      </c>
      <c r="F512" t="inlineStr">
        <is>
          <t>ÖSTERGÖTLANDS LÄN</t>
        </is>
      </c>
      <c r="G512" t="inlineStr">
        <is>
          <t>NORRKÖPING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46298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32574-2022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44783</v>
      </c>
      <c r="E514" s="1" t="n">
        <v>46298</v>
      </c>
      <c r="F514" t="inlineStr">
        <is>
          <t>ÖSTERGÖTLANDS LÄN</t>
        </is>
      </c>
      <c r="G514" t="inlineStr">
        <is>
          <t>NORRKÖPING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8569-2023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44977</v>
      </c>
      <c r="E515" s="1" t="n">
        <v>46298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23051-2022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44719</v>
      </c>
      <c r="E516" s="1" t="n">
        <v>46298</v>
      </c>
      <c r="F516" t="inlineStr">
        <is>
          <t>ÖSTERGÖTLANDS LÄN</t>
        </is>
      </c>
      <c r="G516" t="inlineStr">
        <is>
          <t>NORRKÖPING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45012</v>
      </c>
      <c r="E517" s="1" t="n">
        <v>46298</v>
      </c>
      <c r="F517" t="inlineStr">
        <is>
          <t>ÖSTERGÖTLANDS LÄN</t>
        </is>
      </c>
      <c r="G517" t="inlineStr">
        <is>
          <t>NORRKÖPING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46298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46298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46298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46298</v>
      </c>
      <c r="F521" t="inlineStr">
        <is>
          <t>ÖSTERGÖTLANDS LÄN</t>
        </is>
      </c>
      <c r="G521" t="inlineStr">
        <is>
          <t>NORRKÖPING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45761</v>
      </c>
      <c r="E522" s="1" t="n">
        <v>46298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45153</v>
      </c>
      <c r="E523" s="1" t="n">
        <v>46298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45490</v>
      </c>
      <c r="E524" s="1" t="n">
        <v>46298</v>
      </c>
      <c r="F524" t="inlineStr">
        <is>
          <t>ÖSTERGÖTLANDS LÄN</t>
        </is>
      </c>
      <c r="G524" t="inlineStr">
        <is>
          <t>NORRKÖPING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46298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36887-2022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46298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Allmännings- och besparingsskogar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59580-2022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44907</v>
      </c>
      <c r="E527" s="1" t="n">
        <v>46298</v>
      </c>
      <c r="F527" t="inlineStr">
        <is>
          <t>ÖSTERGÖTLANDS LÄN</t>
        </is>
      </c>
      <c r="G527" t="inlineStr">
        <is>
          <t>NORRKÖPING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31668-2023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45117</v>
      </c>
      <c r="E528" s="1" t="n">
        <v>46298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45121</v>
      </c>
      <c r="E529" s="1" t="n">
        <v>46298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45733</v>
      </c>
      <c r="E530" s="1" t="n">
        <v>46298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30834-2022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44767</v>
      </c>
      <c r="E531" s="1" t="n">
        <v>46298</v>
      </c>
      <c r="F531" t="inlineStr">
        <is>
          <t>ÖSTERGÖTLANDS LÄN</t>
        </is>
      </c>
      <c r="G531" t="inlineStr">
        <is>
          <t>NORRKÖPING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22956-2023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45072</v>
      </c>
      <c r="E532" s="1" t="n">
        <v>46298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45106</v>
      </c>
      <c r="E533" s="1" t="n">
        <v>46298</v>
      </c>
      <c r="F533" t="inlineStr">
        <is>
          <t>ÖSTERGÖTLANDS LÄN</t>
        </is>
      </c>
      <c r="G533" t="inlineStr">
        <is>
          <t>NORRKÖPING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47477-2022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44853</v>
      </c>
      <c r="E534" s="1" t="n">
        <v>46298</v>
      </c>
      <c r="F534" t="inlineStr">
        <is>
          <t>ÖSTERGÖTLANDS LÄN</t>
        </is>
      </c>
      <c r="G534" t="inlineStr">
        <is>
          <t>NORRKÖPING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46298</v>
      </c>
      <c r="F535" t="inlineStr">
        <is>
          <t>ÖSTERGÖTLANDS LÄN</t>
        </is>
      </c>
      <c r="G535" t="inlineStr">
        <is>
          <t>NORRKÖPING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57376-2024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45629</v>
      </c>
      <c r="E536" s="1" t="n">
        <v>46298</v>
      </c>
      <c r="F536" t="inlineStr">
        <is>
          <t>ÖSTERGÖTLANDS LÄN</t>
        </is>
      </c>
      <c r="G536" t="inlineStr">
        <is>
          <t>NORRKÖPING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45478</v>
      </c>
      <c r="E537" s="1" t="n">
        <v>46298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46298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45090</v>
      </c>
      <c r="E539" s="1" t="n">
        <v>46298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23625-2026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46298</v>
      </c>
      <c r="F540" t="inlineStr">
        <is>
          <t>ÖSTERGÖTLANDS LÄN</t>
        </is>
      </c>
      <c r="G540" t="inlineStr">
        <is>
          <t>NORRKÖPING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45758</v>
      </c>
      <c r="E541" s="1" t="n">
        <v>46298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44936</v>
      </c>
      <c r="E542" s="1" t="n">
        <v>46298</v>
      </c>
      <c r="F542" t="inlineStr">
        <is>
          <t>ÖSTERGÖTLANDS LÄN</t>
        </is>
      </c>
      <c r="G542" t="inlineStr">
        <is>
          <t>NORRKÖPING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46298</v>
      </c>
      <c r="F543" t="inlineStr">
        <is>
          <t>ÖSTERGÖTLANDS LÄN</t>
        </is>
      </c>
      <c r="G543" t="inlineStr">
        <is>
          <t>NORRKÖPING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48122-2023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45205</v>
      </c>
      <c r="E544" s="1" t="n">
        <v>46298</v>
      </c>
      <c r="F544" t="inlineStr">
        <is>
          <t>ÖSTERGÖTLANDS LÄN</t>
        </is>
      </c>
      <c r="G544" t="inlineStr">
        <is>
          <t>NORRKÖPING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46298</v>
      </c>
      <c r="F545" t="inlineStr">
        <is>
          <t>ÖSTERGÖTLANDS LÄN</t>
        </is>
      </c>
      <c r="G545" t="inlineStr">
        <is>
          <t>NORRKÖPING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22319-2024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45446</v>
      </c>
      <c r="E546" s="1" t="n">
        <v>46298</v>
      </c>
      <c r="F546" t="inlineStr">
        <is>
          <t>ÖSTERGÖTLANDS LÄN</t>
        </is>
      </c>
      <c r="G546" t="inlineStr">
        <is>
          <t>NORRKÖPING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22322-2024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45446</v>
      </c>
      <c r="E547" s="1" t="n">
        <v>46298</v>
      </c>
      <c r="F547" t="inlineStr">
        <is>
          <t>ÖSTERGÖTLANDS LÄN</t>
        </is>
      </c>
      <c r="G547" t="inlineStr">
        <is>
          <t>NORRKÖPING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57380-2024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46298</v>
      </c>
      <c r="F548" t="inlineStr">
        <is>
          <t>ÖSTERGÖTLANDS LÄN</t>
        </is>
      </c>
      <c r="G548" t="inlineStr">
        <is>
          <t>NORRKÖPING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45077</v>
      </c>
      <c r="E549" s="1" t="n">
        <v>46298</v>
      </c>
      <c r="F549" t="inlineStr">
        <is>
          <t>ÖSTERGÖTLANDS LÄN</t>
        </is>
      </c>
      <c r="G549" t="inlineStr">
        <is>
          <t>NORRKÖPING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46298</v>
      </c>
      <c r="F550" t="inlineStr">
        <is>
          <t>ÖSTERGÖTLANDS LÄN</t>
        </is>
      </c>
      <c r="G550" t="inlineStr">
        <is>
          <t>NORRKÖPING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46298</v>
      </c>
      <c r="F551" t="inlineStr">
        <is>
          <t>ÖSTERGÖTLANDS LÄN</t>
        </is>
      </c>
      <c r="G551" t="inlineStr">
        <is>
          <t>NORRKÖPING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7853-2026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46061</v>
      </c>
      <c r="E552" s="1" t="n">
        <v>46298</v>
      </c>
      <c r="F552" t="inlineStr">
        <is>
          <t>ÖSTERGÖTLANDS LÄN</t>
        </is>
      </c>
      <c r="G552" t="inlineStr">
        <is>
          <t>NORRKÖPING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23946-2025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45796</v>
      </c>
      <c r="E553" s="1" t="n">
        <v>46298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45030</v>
      </c>
      <c r="E554" s="1" t="n">
        <v>46298</v>
      </c>
      <c r="F554" t="inlineStr">
        <is>
          <t>ÖSTERGÖTLANDS LÄN</t>
        </is>
      </c>
      <c r="G554" t="inlineStr">
        <is>
          <t>NORRKÖPING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45399</v>
      </c>
      <c r="E555" s="1" t="n">
        <v>46298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45547</v>
      </c>
      <c r="E556" s="1" t="n">
        <v>46298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45159</v>
      </c>
      <c r="E557" s="1" t="n">
        <v>46298</v>
      </c>
      <c r="F557" t="inlineStr">
        <is>
          <t>ÖSTERGÖTLANDS LÄN</t>
        </is>
      </c>
      <c r="G557" t="inlineStr">
        <is>
          <t>NORRKÖPING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45881</v>
      </c>
      <c r="E558" s="1" t="n">
        <v>46298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45121</v>
      </c>
      <c r="E559" s="1" t="n">
        <v>46298</v>
      </c>
      <c r="F559" t="inlineStr">
        <is>
          <t>ÖSTERGÖTLANDS LÄN</t>
        </is>
      </c>
      <c r="G559" t="inlineStr">
        <is>
          <t>NORRKÖPING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45699</v>
      </c>
      <c r="E560" s="1" t="n">
        <v>46298</v>
      </c>
      <c r="F560" t="inlineStr">
        <is>
          <t>ÖSTERGÖTLANDS LÄN</t>
        </is>
      </c>
      <c r="G560" t="inlineStr">
        <is>
          <t>NORRKÖPING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46298</v>
      </c>
      <c r="F561" t="inlineStr">
        <is>
          <t>ÖSTERGÖTLANDS LÄN</t>
        </is>
      </c>
      <c r="G561" t="inlineStr">
        <is>
          <t>NORRKÖPING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46298</v>
      </c>
      <c r="F562" t="inlineStr">
        <is>
          <t>ÖSTERGÖTLANDS LÄN</t>
        </is>
      </c>
      <c r="G562" t="inlineStr">
        <is>
          <t>NORRKÖPING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46298</v>
      </c>
      <c r="F563" t="inlineStr">
        <is>
          <t>ÖSTERGÖTLANDS LÄN</t>
        </is>
      </c>
      <c r="G563" t="inlineStr">
        <is>
          <t>NORRKÖPING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60233-2022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44910</v>
      </c>
      <c r="E564" s="1" t="n">
        <v>46298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44928</v>
      </c>
      <c r="E565" s="1" t="n">
        <v>46298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46298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Allmännings- och besparingsskogar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59221-2024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45637</v>
      </c>
      <c r="E567" s="1" t="n">
        <v>46298</v>
      </c>
      <c r="F567" t="inlineStr">
        <is>
          <t>ÖSTERGÖTLANDS LÄN</t>
        </is>
      </c>
      <c r="G567" t="inlineStr">
        <is>
          <t>NORRKÖPING</t>
        </is>
      </c>
      <c r="I567" t="n">
        <v>24.7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31653-2023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45117</v>
      </c>
      <c r="E568" s="1" t="n">
        <v>46298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45883</v>
      </c>
      <c r="E569" s="1" t="n">
        <v>46298</v>
      </c>
      <c r="F569" t="inlineStr">
        <is>
          <t>ÖSTERGÖTLANDS LÄN</t>
        </is>
      </c>
      <c r="G569" t="inlineStr">
        <is>
          <t>NORRKÖPING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46298</v>
      </c>
      <c r="F570" t="inlineStr">
        <is>
          <t>ÖSTERGÖTLANDS LÄN</t>
        </is>
      </c>
      <c r="G570" t="inlineStr">
        <is>
          <t>NORRKÖPING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46298</v>
      </c>
      <c r="F571" t="inlineStr">
        <is>
          <t>ÖSTERGÖTLANDS LÄN</t>
        </is>
      </c>
      <c r="G571" t="inlineStr">
        <is>
          <t>NORRKÖPING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46298</v>
      </c>
      <c r="F572" t="inlineStr">
        <is>
          <t>ÖSTERGÖTLANDS LÄN</t>
        </is>
      </c>
      <c r="G572" t="inlineStr">
        <is>
          <t>NORRKÖPING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25700-2026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46298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45678</v>
      </c>
      <c r="E574" s="1" t="n">
        <v>46298</v>
      </c>
      <c r="F574" t="inlineStr">
        <is>
          <t>ÖSTERGÖTLANDS LÄN</t>
        </is>
      </c>
      <c r="G574" t="inlineStr">
        <is>
          <t>NORRKÖPING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46298</v>
      </c>
      <c r="F575" t="inlineStr">
        <is>
          <t>ÖSTERGÖTLANDS LÄN</t>
        </is>
      </c>
      <c r="G575" t="inlineStr">
        <is>
          <t>NORRKÖPING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46298</v>
      </c>
      <c r="F576" t="inlineStr">
        <is>
          <t>ÖSTERGÖTLANDS LÄN</t>
        </is>
      </c>
      <c r="G576" t="inlineStr">
        <is>
          <t>NORRKÖPING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14901-2023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45014</v>
      </c>
      <c r="E577" s="1" t="n">
        <v>46298</v>
      </c>
      <c r="F577" t="inlineStr">
        <is>
          <t>ÖSTERGÖTLANDS LÄN</t>
        </is>
      </c>
      <c r="G577" t="inlineStr">
        <is>
          <t>NORRKÖPING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46298</v>
      </c>
      <c r="F578" t="inlineStr">
        <is>
          <t>ÖSTERGÖTLANDS LÄN</t>
        </is>
      </c>
      <c r="G578" t="inlineStr">
        <is>
          <t>NORRKÖPING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46298</v>
      </c>
      <c r="F579" t="inlineStr">
        <is>
          <t>ÖSTERGÖTLANDS LÄN</t>
        </is>
      </c>
      <c r="G579" t="inlineStr">
        <is>
          <t>NORRKÖPING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62028-2023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45266</v>
      </c>
      <c r="E580" s="1" t="n">
        <v>46298</v>
      </c>
      <c r="F580" t="inlineStr">
        <is>
          <t>ÖSTERGÖTLANDS LÄN</t>
        </is>
      </c>
      <c r="G580" t="inlineStr">
        <is>
          <t>NORRKÖPING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46298</v>
      </c>
      <c r="F581" t="inlineStr">
        <is>
          <t>ÖSTERGÖTLANDS LÄN</t>
        </is>
      </c>
      <c r="G581" t="inlineStr">
        <is>
          <t>NORRKÖPING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45049</v>
      </c>
      <c r="E582" s="1" t="n">
        <v>46298</v>
      </c>
      <c r="F582" t="inlineStr">
        <is>
          <t>ÖSTERGÖTLANDS LÄN</t>
        </is>
      </c>
      <c r="G582" t="inlineStr">
        <is>
          <t>NORRKÖPING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45266</v>
      </c>
      <c r="E583" s="1" t="n">
        <v>46298</v>
      </c>
      <c r="F583" t="inlineStr">
        <is>
          <t>ÖSTERGÖTLANDS LÄN</t>
        </is>
      </c>
      <c r="G583" t="inlineStr">
        <is>
          <t>NORRKÖPING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46298</v>
      </c>
      <c r="F584" t="inlineStr">
        <is>
          <t>ÖSTERGÖTLANDS LÄN</t>
        </is>
      </c>
      <c r="G584" t="inlineStr">
        <is>
          <t>NORRKÖPING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46298</v>
      </c>
      <c r="F585" t="inlineStr">
        <is>
          <t>ÖSTERGÖTLANDS LÄN</t>
        </is>
      </c>
      <c r="G585" t="inlineStr">
        <is>
          <t>NORRKÖPING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55063-2023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46298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Kyrkan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8220-2023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44974</v>
      </c>
      <c r="E587" s="1" t="n">
        <v>46298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46298</v>
      </c>
      <c r="F588" t="inlineStr">
        <is>
          <t>ÖSTERGÖTLANDS LÄN</t>
        </is>
      </c>
      <c r="G588" t="inlineStr">
        <is>
          <t>NORRKÖPING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46298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6261-2023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44965</v>
      </c>
      <c r="E590" s="1" t="n">
        <v>46298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46298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27119-2026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46298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46298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44834</v>
      </c>
      <c r="E594" s="1" t="n">
        <v>46298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5868-2022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44596</v>
      </c>
      <c r="E595" s="1" t="n">
        <v>46298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Allmännings- och besparingsskogar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26085-2026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46298</v>
      </c>
      <c r="F596" t="inlineStr">
        <is>
          <t>ÖSTERGÖTLANDS LÄN</t>
        </is>
      </c>
      <c r="G596" t="inlineStr">
        <is>
          <t>NORRKÖPING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45771</v>
      </c>
      <c r="E597" s="1" t="n">
        <v>46298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45546</v>
      </c>
      <c r="E598" s="1" t="n">
        <v>46298</v>
      </c>
      <c r="F598" t="inlineStr">
        <is>
          <t>ÖSTERGÖTLANDS LÄN</t>
        </is>
      </c>
      <c r="G598" t="inlineStr">
        <is>
          <t>NORRKÖPING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28259-2026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46298</v>
      </c>
      <c r="F599" t="inlineStr">
        <is>
          <t>ÖSTERGÖTLANDS LÄN</t>
        </is>
      </c>
      <c r="G599" t="inlineStr">
        <is>
          <t>NORRKÖPING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53278-2023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46298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46298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46298</v>
      </c>
      <c r="F602" t="inlineStr">
        <is>
          <t>ÖSTERGÖTLANDS LÄN</t>
        </is>
      </c>
      <c r="G602" t="inlineStr">
        <is>
          <t>NORRKÖPING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45030</v>
      </c>
      <c r="E603" s="1" t="n">
        <v>46298</v>
      </c>
      <c r="F603" t="inlineStr">
        <is>
          <t>ÖSTERGÖTLANDS LÄN</t>
        </is>
      </c>
      <c r="G603" t="inlineStr">
        <is>
          <t>NORRKÖPING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45030</v>
      </c>
      <c r="E604" s="1" t="n">
        <v>46298</v>
      </c>
      <c r="F604" t="inlineStr">
        <is>
          <t>ÖSTERGÖTLANDS LÄN</t>
        </is>
      </c>
      <c r="G604" t="inlineStr">
        <is>
          <t>NORRKÖPING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46298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46298</v>
      </c>
      <c r="F606" t="inlineStr">
        <is>
          <t>ÖSTERGÖTLANDS LÄN</t>
        </is>
      </c>
      <c r="G606" t="inlineStr">
        <is>
          <t>NORRKÖPING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46196</v>
      </c>
      <c r="E607" s="1" t="n">
        <v>46298</v>
      </c>
      <c r="F607" t="inlineStr">
        <is>
          <t>ÖSTERGÖTLANDS LÄN</t>
        </is>
      </c>
      <c r="G607" t="inlineStr">
        <is>
          <t>NORRKÖPING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44197-2023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45188</v>
      </c>
      <c r="E608" s="1" t="n">
        <v>46298</v>
      </c>
      <c r="F608" t="inlineStr">
        <is>
          <t>ÖSTERGÖTLANDS LÄN</t>
        </is>
      </c>
      <c r="G608" t="inlineStr">
        <is>
          <t>NORRKÖPING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46197</v>
      </c>
      <c r="E609" s="1" t="n">
        <v>46298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Allmännings- och besparingsskogar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45268</v>
      </c>
      <c r="E610" s="1" t="n">
        <v>46298</v>
      </c>
      <c r="F610" t="inlineStr">
        <is>
          <t>ÖSTERGÖTLANDS LÄN</t>
        </is>
      </c>
      <c r="G610" t="inlineStr">
        <is>
          <t>NORRKÖPING</t>
        </is>
      </c>
      <c r="I610" t="n">
        <v>12.5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39232-2024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45550</v>
      </c>
      <c r="E611" s="1" t="n">
        <v>46298</v>
      </c>
      <c r="F611" t="inlineStr">
        <is>
          <t>ÖSTERGÖTLANDS LÄN</t>
        </is>
      </c>
      <c r="G611" t="inlineStr">
        <is>
          <t>NORRKÖPING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46298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46298</v>
      </c>
      <c r="F613" t="inlineStr">
        <is>
          <t>ÖSTERGÖTLANDS LÄN</t>
        </is>
      </c>
      <c r="G613" t="inlineStr">
        <is>
          <t>NORRKÖPING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46298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45053</v>
      </c>
      <c r="E615" s="1" t="n">
        <v>46298</v>
      </c>
      <c r="F615" t="inlineStr">
        <is>
          <t>ÖSTERGÖTLANDS LÄN</t>
        </is>
      </c>
      <c r="G615" t="inlineStr">
        <is>
          <t>NORRKÖPING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44860</v>
      </c>
      <c r="E616" s="1" t="n">
        <v>46298</v>
      </c>
      <c r="F616" t="inlineStr">
        <is>
          <t>ÖSTERGÖTLANDS LÄN</t>
        </is>
      </c>
      <c r="G616" t="inlineStr">
        <is>
          <t>NORRKÖPING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46202</v>
      </c>
      <c r="E617" s="1" t="n">
        <v>46298</v>
      </c>
      <c r="F617" t="inlineStr">
        <is>
          <t>ÖSTERGÖTLANDS LÄN</t>
        </is>
      </c>
      <c r="G617" t="inlineStr">
        <is>
          <t>NORRKÖPING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44597</v>
      </c>
      <c r="E618" s="1" t="n">
        <v>46298</v>
      </c>
      <c r="F618" t="inlineStr">
        <is>
          <t>ÖSTERGÖTLANDS LÄN</t>
        </is>
      </c>
      <c r="G618" t="inlineStr">
        <is>
          <t>NORRKÖPING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29033-2026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46199</v>
      </c>
      <c r="E619" s="1" t="n">
        <v>46298</v>
      </c>
      <c r="F619" t="inlineStr">
        <is>
          <t>ÖSTERGÖTLANDS LÄN</t>
        </is>
      </c>
      <c r="G619" t="inlineStr">
        <is>
          <t>NORRKÖPING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29034-2026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46199</v>
      </c>
      <c r="E620" s="1" t="n">
        <v>46298</v>
      </c>
      <c r="F620" t="inlineStr">
        <is>
          <t>ÖSTERGÖTLANDS LÄN</t>
        </is>
      </c>
      <c r="G620" t="inlineStr">
        <is>
          <t>NORRKÖPING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45014</v>
      </c>
      <c r="E621" s="1" t="n">
        <v>46298</v>
      </c>
      <c r="F621" t="inlineStr">
        <is>
          <t>ÖSTERGÖTLANDS LÄN</t>
        </is>
      </c>
      <c r="G621" t="inlineStr">
        <is>
          <t>NORRKÖPING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46298</v>
      </c>
      <c r="F622" t="inlineStr">
        <is>
          <t>ÖSTERGÖTLANDS LÄN</t>
        </is>
      </c>
      <c r="G622" t="inlineStr">
        <is>
          <t>NORRKÖPING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46298</v>
      </c>
      <c r="F623" t="inlineStr">
        <is>
          <t>ÖSTERGÖTLANDS LÄN</t>
        </is>
      </c>
      <c r="G623" t="inlineStr">
        <is>
          <t>NORRKÖPING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46298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45723</v>
      </c>
      <c r="E625" s="1" t="n">
        <v>46298</v>
      </c>
      <c r="F625" t="inlineStr">
        <is>
          <t>ÖSTERGÖTLANDS LÄN</t>
        </is>
      </c>
      <c r="G625" t="inlineStr">
        <is>
          <t>NORRKÖPING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46298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46298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Allmännings- och besparingsskogar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12727-2022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44641</v>
      </c>
      <c r="E628" s="1" t="n">
        <v>46298</v>
      </c>
      <c r="F628" t="inlineStr">
        <is>
          <t>ÖSTERGÖTLANDS LÄN</t>
        </is>
      </c>
      <c r="G628" t="inlineStr">
        <is>
          <t>NORRKÖPING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46298</v>
      </c>
      <c r="F629" t="inlineStr">
        <is>
          <t>ÖSTERGÖTLANDS LÄN</t>
        </is>
      </c>
      <c r="G629" t="inlineStr">
        <is>
          <t>NORRKÖPING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46298</v>
      </c>
      <c r="F630" t="inlineStr">
        <is>
          <t>ÖSTERGÖTLANDS LÄN</t>
        </is>
      </c>
      <c r="G630" t="inlineStr">
        <is>
          <t>NORRKÖPING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59768-2021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44494</v>
      </c>
      <c r="E631" s="1" t="n">
        <v>46298</v>
      </c>
      <c r="F631" t="inlineStr">
        <is>
          <t>ÖSTERGÖTLANDS LÄN</t>
        </is>
      </c>
      <c r="G631" t="inlineStr">
        <is>
          <t>NORRKÖPING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46298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63349-2023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45274</v>
      </c>
      <c r="E633" s="1" t="n">
        <v>46298</v>
      </c>
      <c r="F633" t="inlineStr">
        <is>
          <t>ÖSTERGÖTLANDS LÄN</t>
        </is>
      </c>
      <c r="G633" t="inlineStr">
        <is>
          <t>NORRKÖPING</t>
        </is>
      </c>
      <c r="I633" t="n">
        <v>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45558</v>
      </c>
      <c r="E634" s="1" t="n">
        <v>46298</v>
      </c>
      <c r="F634" t="inlineStr">
        <is>
          <t>ÖSTERGÖTLANDS LÄN</t>
        </is>
      </c>
      <c r="G634" t="inlineStr">
        <is>
          <t>NORRKÖPING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48786-2022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44859</v>
      </c>
      <c r="E635" s="1" t="n">
        <v>46298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46298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46216</v>
      </c>
      <c r="E637" s="1" t="n">
        <v>46298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5938-2024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45336</v>
      </c>
      <c r="E638" s="1" t="n">
        <v>46298</v>
      </c>
      <c r="F638" t="inlineStr">
        <is>
          <t>ÖSTERGÖTLANDS LÄN</t>
        </is>
      </c>
      <c r="G638" t="inlineStr">
        <is>
          <t>NORRKÖPING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46298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44582</v>
      </c>
      <c r="E640" s="1" t="n">
        <v>46298</v>
      </c>
      <c r="F640" t="inlineStr">
        <is>
          <t>ÖSTERGÖTLANDS LÄN</t>
        </is>
      </c>
      <c r="G640" t="inlineStr">
        <is>
          <t>NORRKÖPING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45442</v>
      </c>
      <c r="E641" s="1" t="n">
        <v>46298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34815-2026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46258</v>
      </c>
      <c r="E642" s="1" t="n">
        <v>46298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43344-2023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45183</v>
      </c>
      <c r="E643" s="1" t="n">
        <v>46298</v>
      </c>
      <c r="F643" t="inlineStr">
        <is>
          <t>ÖSTERGÖTLANDS LÄN</t>
        </is>
      </c>
      <c r="G643" t="inlineStr">
        <is>
          <t>NORRKÖPING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45183</v>
      </c>
      <c r="E644" s="1" t="n">
        <v>46298</v>
      </c>
      <c r="F644" t="inlineStr">
        <is>
          <t>ÖSTERGÖTLANDS LÄN</t>
        </is>
      </c>
      <c r="G644" t="inlineStr">
        <is>
          <t>NORRKÖPING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34787-2026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46258</v>
      </c>
      <c r="E645" s="1" t="n">
        <v>46298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24634-2025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46298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18658-2023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45043</v>
      </c>
      <c r="E647" s="1" t="n">
        <v>46298</v>
      </c>
      <c r="F647" t="inlineStr">
        <is>
          <t>ÖSTERGÖTLANDS LÄN</t>
        </is>
      </c>
      <c r="G647" t="inlineStr">
        <is>
          <t>NORRKÖPING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46298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34800-2026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46298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34809-2026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46258</v>
      </c>
      <c r="E650" s="1" t="n">
        <v>46298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30901-2026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46213</v>
      </c>
      <c r="E651" s="1" t="n">
        <v>46298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31801-2024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45509</v>
      </c>
      <c r="E652" s="1" t="n">
        <v>46298</v>
      </c>
      <c r="F652" t="inlineStr">
        <is>
          <t>ÖSTERGÖTLANDS LÄN</t>
        </is>
      </c>
      <c r="G652" t="inlineStr">
        <is>
          <t>NORRKÖPING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46260</v>
      </c>
      <c r="E653" s="1" t="n">
        <v>46298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46218</v>
      </c>
      <c r="E654" s="1" t="n">
        <v>46298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45145</v>
      </c>
      <c r="E655" s="1" t="n">
        <v>46298</v>
      </c>
      <c r="F655" t="inlineStr">
        <is>
          <t>ÖSTERGÖTLANDS LÄN</t>
        </is>
      </c>
      <c r="G655" t="inlineStr">
        <is>
          <t>NORRKÖPING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46217</v>
      </c>
      <c r="E656" s="1" t="n">
        <v>46298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46218</v>
      </c>
      <c r="E657" s="1" t="n">
        <v>46298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46217</v>
      </c>
      <c r="E658" s="1" t="n">
        <v>46298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46260</v>
      </c>
      <c r="E659" s="1" t="n">
        <v>46298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50119-2023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45215</v>
      </c>
      <c r="E660" s="1" t="n">
        <v>46298</v>
      </c>
      <c r="F660" t="inlineStr">
        <is>
          <t>ÖSTERGÖTLANDS LÄN</t>
        </is>
      </c>
      <c r="G660" t="inlineStr">
        <is>
          <t>NORRKÖPING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35669-2026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46265</v>
      </c>
      <c r="E661" s="1" t="n">
        <v>46298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35795-2026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46298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44936</v>
      </c>
      <c r="E663" s="1" t="n">
        <v>46298</v>
      </c>
      <c r="F663" t="inlineStr">
        <is>
          <t>ÖSTERGÖTLANDS LÄN</t>
        </is>
      </c>
      <c r="G663" t="inlineStr">
        <is>
          <t>NORRKÖPING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56331-2022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44890</v>
      </c>
      <c r="E664" s="1" t="n">
        <v>46298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45769</v>
      </c>
      <c r="E665" s="1" t="n">
        <v>46298</v>
      </c>
      <c r="F665" t="inlineStr">
        <is>
          <t>ÖSTERGÖTLANDS LÄN</t>
        </is>
      </c>
      <c r="G665" t="inlineStr">
        <is>
          <t>NORRKÖPING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45013</v>
      </c>
      <c r="E666" s="1" t="n">
        <v>46298</v>
      </c>
      <c r="F666" t="inlineStr">
        <is>
          <t>ÖSTERGÖTLANDS LÄN</t>
        </is>
      </c>
      <c r="G666" t="inlineStr">
        <is>
          <t>NORRKÖPING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4494-2023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44956</v>
      </c>
      <c r="E667" s="1" t="n">
        <v>46298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23783-2022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44721</v>
      </c>
      <c r="E668" s="1" t="n">
        <v>46298</v>
      </c>
      <c r="F668" t="inlineStr">
        <is>
          <t>ÖSTERGÖTLANDS LÄN</t>
        </is>
      </c>
      <c r="G668" t="inlineStr">
        <is>
          <t>NORRKÖPING</t>
        </is>
      </c>
      <c r="I668" t="n">
        <v>11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46178</v>
      </c>
      <c r="E669" s="1" t="n">
        <v>46298</v>
      </c>
      <c r="F669" t="inlineStr">
        <is>
          <t>ÖSTERGÖTLANDS LÄN</t>
        </is>
      </c>
      <c r="G669" t="inlineStr">
        <is>
          <t>NORRKÖPING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50678-2023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45217</v>
      </c>
      <c r="E670" s="1" t="n">
        <v>46298</v>
      </c>
      <c r="F670" t="inlineStr">
        <is>
          <t>ÖSTERGÖTLANDS LÄN</t>
        </is>
      </c>
      <c r="G670" t="inlineStr">
        <is>
          <t>NORRKÖPING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45075-2023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45191</v>
      </c>
      <c r="E671" s="1" t="n">
        <v>46298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46298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36368-2026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46268</v>
      </c>
      <c r="E673" s="1" t="n">
        <v>46298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BillerudKorsnäs AB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36581-2026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46298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46298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45733</v>
      </c>
      <c r="E676" s="1" t="n">
        <v>46298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36258-2022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44803</v>
      </c>
      <c r="E677" s="1" t="n">
        <v>46298</v>
      </c>
      <c r="F677" t="inlineStr">
        <is>
          <t>ÖSTERGÖTLANDS LÄN</t>
        </is>
      </c>
      <c r="G677" t="inlineStr">
        <is>
          <t>NORRKÖPING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49062-2022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44860</v>
      </c>
      <c r="E678" s="1" t="n">
        <v>46298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1914-2023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44939</v>
      </c>
      <c r="E679" s="1" t="n">
        <v>46298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Naturvårdsverket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4546-2023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44956</v>
      </c>
      <c r="E680" s="1" t="n">
        <v>46298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12538-2024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45379</v>
      </c>
      <c r="E681" s="1" t="n">
        <v>46298</v>
      </c>
      <c r="F681" t="inlineStr">
        <is>
          <t>ÖSTERGÖTLANDS LÄN</t>
        </is>
      </c>
      <c r="G681" t="inlineStr">
        <is>
          <t>NORRKÖPING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31880-2026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46231</v>
      </c>
      <c r="E682" s="1" t="n">
        <v>46298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32068-2026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46233</v>
      </c>
      <c r="E683" s="1" t="n">
        <v>46298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46298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46298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46233</v>
      </c>
      <c r="E686" s="1" t="n">
        <v>46298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32073-2026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46233</v>
      </c>
      <c r="E687" s="1" t="n">
        <v>46298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46298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17138-2022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44677</v>
      </c>
      <c r="E689" s="1" t="n">
        <v>46298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46298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46298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46298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33170-2023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45126</v>
      </c>
      <c r="E693" s="1" t="n">
        <v>46298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33171-2023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45126</v>
      </c>
      <c r="E694" s="1" t="n">
        <v>46298</v>
      </c>
      <c r="F694" t="inlineStr">
        <is>
          <t>ÖSTERGÖTLANDS LÄN</t>
        </is>
      </c>
      <c r="G694" t="inlineStr">
        <is>
          <t>NORRKÖPING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38056-2026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46280</v>
      </c>
      <c r="E695" s="1" t="n">
        <v>46298</v>
      </c>
      <c r="F695" t="inlineStr">
        <is>
          <t>ÖSTERGÖTLANDS LÄN</t>
        </is>
      </c>
      <c r="G695" t="inlineStr">
        <is>
          <t>NORRKÖPING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46298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62529-2023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45268</v>
      </c>
      <c r="E697" s="1" t="n">
        <v>46298</v>
      </c>
      <c r="F697" t="inlineStr">
        <is>
          <t>ÖSTERGÖTLANDS LÄN</t>
        </is>
      </c>
      <c r="G697" t="inlineStr">
        <is>
          <t>NORRKÖPING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59586-2022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44907</v>
      </c>
      <c r="E698" s="1" t="n">
        <v>46298</v>
      </c>
      <c r="F698" t="inlineStr">
        <is>
          <t>ÖSTERGÖTLANDS LÄN</t>
        </is>
      </c>
      <c r="G698" t="inlineStr">
        <is>
          <t>NORRKÖPING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45114</v>
      </c>
      <c r="E699" s="1" t="n">
        <v>46298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31361-2023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45114</v>
      </c>
      <c r="E700" s="1" t="n">
        <v>46298</v>
      </c>
      <c r="F700" t="inlineStr">
        <is>
          <t>ÖSTERGÖTLANDS LÄN</t>
        </is>
      </c>
      <c r="G700" t="inlineStr">
        <is>
          <t>NORRKÖPING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11140-2025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45723</v>
      </c>
      <c r="E701" s="1" t="n">
        <v>46298</v>
      </c>
      <c r="F701" t="inlineStr">
        <is>
          <t>ÖSTERGÖTLANDS LÄN</t>
        </is>
      </c>
      <c r="G701" t="inlineStr">
        <is>
          <t>NORRKÖPING</t>
        </is>
      </c>
      <c r="I701" t="n">
        <v>13.9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38702-2026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46283</v>
      </c>
      <c r="E702" s="1" t="n">
        <v>46298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17503-2022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44679</v>
      </c>
      <c r="E703" s="1" t="n">
        <v>46298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46298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Allmännings- och besparingsskogar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9528-2024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45359</v>
      </c>
      <c r="E705" s="1" t="n">
        <v>46298</v>
      </c>
      <c r="F705" t="inlineStr">
        <is>
          <t>ÖSTERGÖTLANDS LÄN</t>
        </is>
      </c>
      <c r="G705" t="inlineStr">
        <is>
          <t>NORRKÖPING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46241</v>
      </c>
      <c r="E706" s="1" t="n">
        <v>46298</v>
      </c>
      <c r="F706" t="inlineStr">
        <is>
          <t>ÖSTERGÖTLANDS LÄN</t>
        </is>
      </c>
      <c r="G706" t="inlineStr">
        <is>
          <t>NORRKÖPING</t>
        </is>
      </c>
      <c r="I706" t="n">
        <v>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53747-2022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44880</v>
      </c>
      <c r="E707" s="1" t="n">
        <v>46298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46298</v>
      </c>
      <c r="F708" t="inlineStr">
        <is>
          <t>ÖSTERGÖTLANDS LÄN</t>
        </is>
      </c>
      <c r="G708" t="inlineStr">
        <is>
          <t>NORRKÖPING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46298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46241</v>
      </c>
      <c r="E710" s="1" t="n">
        <v>46298</v>
      </c>
      <c r="F710" t="inlineStr">
        <is>
          <t>ÖSTERGÖTLANDS LÄN</t>
        </is>
      </c>
      <c r="G710" t="inlineStr">
        <is>
          <t>NORRKÖPING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32967-2026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46244</v>
      </c>
      <c r="E711" s="1" t="n">
        <v>46298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46244</v>
      </c>
      <c r="E712" s="1" t="n">
        <v>46298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Allmännings- och besparingsskogar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32880-2026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46244</v>
      </c>
      <c r="E713" s="1" t="n">
        <v>46298</v>
      </c>
      <c r="F713" t="inlineStr">
        <is>
          <t>ÖSTERGÖTLANDS LÄN</t>
        </is>
      </c>
      <c r="G713" t="inlineStr">
        <is>
          <t>NORRKÖPING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46244</v>
      </c>
      <c r="E714" s="1" t="n">
        <v>46298</v>
      </c>
      <c r="F714" t="inlineStr">
        <is>
          <t>ÖSTERGÖTLANDS LÄN</t>
        </is>
      </c>
      <c r="G714" t="inlineStr">
        <is>
          <t>NORRKÖPING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44936</v>
      </c>
      <c r="E715" s="1" t="n">
        <v>46298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44936</v>
      </c>
      <c r="E716" s="1" t="n">
        <v>46298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45769</v>
      </c>
      <c r="E717" s="1" t="n">
        <v>46298</v>
      </c>
      <c r="F717" t="inlineStr">
        <is>
          <t>ÖSTERGÖTLANDS LÄN</t>
        </is>
      </c>
      <c r="G717" t="inlineStr">
        <is>
          <t>NORRKÖPING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58525-2021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44488</v>
      </c>
      <c r="E718" s="1" t="n">
        <v>46298</v>
      </c>
      <c r="F718" t="inlineStr">
        <is>
          <t>ÖSTERGÖTLANDS LÄN</t>
        </is>
      </c>
      <c r="G718" t="inlineStr">
        <is>
          <t>NORRKÖPING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11612-2023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44994</v>
      </c>
      <c r="E719" s="1" t="n">
        <v>46298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46298</v>
      </c>
      <c r="F720" t="inlineStr">
        <is>
          <t>ÖSTERGÖTLANDS LÄN</t>
        </is>
      </c>
      <c r="G720" t="inlineStr">
        <is>
          <t>NORRKÖPING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21664-2024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45442</v>
      </c>
      <c r="E721" s="1" t="n">
        <v>46298</v>
      </c>
      <c r="F721" t="inlineStr">
        <is>
          <t>ÖSTERGÖTLANDS LÄN</t>
        </is>
      </c>
      <c r="G721" t="inlineStr">
        <is>
          <t>NORRKÖPING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39536-2026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46298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46298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Kyrkan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33075-2026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46298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16590-2024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46298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33124-2026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46298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31844-2023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45106</v>
      </c>
      <c r="E727" s="1" t="n">
        <v>46298</v>
      </c>
      <c r="F727" t="inlineStr">
        <is>
          <t>ÖSTERGÖTLANDS LÄN</t>
        </is>
      </c>
      <c r="G727" t="inlineStr">
        <is>
          <t>NORRKÖPING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46050</v>
      </c>
      <c r="E728" s="1" t="n">
        <v>46298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Allmännings- och besparingsskogar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33094-2026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46245</v>
      </c>
      <c r="E729" s="1" t="n">
        <v>46298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49799-2022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44862</v>
      </c>
      <c r="E730" s="1" t="n">
        <v>46298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39439-2026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46288</v>
      </c>
      <c r="E731" s="1" t="n">
        <v>46298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Kyrkan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36954-2022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44805</v>
      </c>
      <c r="E732" s="1" t="n">
        <v>46298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6011-2026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46298</v>
      </c>
      <c r="F733" t="inlineStr">
        <is>
          <t>ÖSTERGÖTLANDS LÄN</t>
        </is>
      </c>
      <c r="G733" t="inlineStr">
        <is>
          <t>NORRKÖPING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47051-2023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46298</v>
      </c>
      <c r="F734" t="inlineStr">
        <is>
          <t>ÖSTERGÖTLANDS LÄN</t>
        </is>
      </c>
      <c r="G734" t="inlineStr">
        <is>
          <t>NORRKÖPING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34393-2023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45132</v>
      </c>
      <c r="E735" s="1" t="n">
        <v>46298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11641-2024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46298</v>
      </c>
      <c r="F736" t="inlineStr">
        <is>
          <t>ÖSTERGÖTLANDS LÄN</t>
        </is>
      </c>
      <c r="G736" t="inlineStr">
        <is>
          <t>NORRKÖPING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11261-2023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44992</v>
      </c>
      <c r="E737" s="1" t="n">
        <v>46298</v>
      </c>
      <c r="F737" t="inlineStr">
        <is>
          <t>ÖSTERGÖTLANDS LÄN</t>
        </is>
      </c>
      <c r="G737" t="inlineStr">
        <is>
          <t>NORRKÖPING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40072-2026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46298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45252</v>
      </c>
      <c r="E739" s="1" t="n">
        <v>46298</v>
      </c>
      <c r="F739" t="inlineStr">
        <is>
          <t>ÖSTERGÖTLANDS LÄN</t>
        </is>
      </c>
      <c r="G739" t="inlineStr">
        <is>
          <t>NORRKÖPING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46298</v>
      </c>
      <c r="F740" t="inlineStr">
        <is>
          <t>ÖSTERGÖTLANDS LÄN</t>
        </is>
      </c>
      <c r="G740" t="inlineStr">
        <is>
          <t>NORRKÖPING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45673</v>
      </c>
      <c r="E741" s="1" t="n">
        <v>46298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33341-2023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45128</v>
      </c>
      <c r="E742" s="1" t="n">
        <v>46298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14441-2025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45741</v>
      </c>
      <c r="E743" s="1" t="n">
        <v>46298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46298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29010-2023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45096</v>
      </c>
      <c r="E745" s="1" t="n">
        <v>46298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Allmännings- och besparingsskogar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57492-2023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45246</v>
      </c>
      <c r="E746" s="1" t="n">
        <v>46298</v>
      </c>
      <c r="F746" t="inlineStr">
        <is>
          <t>ÖSTERGÖTLANDS LÄN</t>
        </is>
      </c>
      <c r="G746" t="inlineStr">
        <is>
          <t>NORRKÖPING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57496-2023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45246</v>
      </c>
      <c r="E747" s="1" t="n">
        <v>46298</v>
      </c>
      <c r="F747" t="inlineStr">
        <is>
          <t>ÖSTERGÖTLANDS LÄN</t>
        </is>
      </c>
      <c r="G747" t="inlineStr">
        <is>
          <t>NORRKÖPING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46298</v>
      </c>
      <c r="F748" t="inlineStr">
        <is>
          <t>ÖSTERGÖTLANDS LÄN</t>
        </is>
      </c>
      <c r="G748" t="inlineStr">
        <is>
          <t>NORRKÖPING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41382-2023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45174</v>
      </c>
      <c r="E749" s="1" t="n">
        <v>46298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24354-2024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45457</v>
      </c>
      <c r="E750" s="1" t="n">
        <v>46298</v>
      </c>
      <c r="F750" t="inlineStr">
        <is>
          <t>ÖSTERGÖTLANDS LÄN</t>
        </is>
      </c>
      <c r="G750" t="inlineStr">
        <is>
          <t>NORRKÖPING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26407-2023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45092</v>
      </c>
      <c r="E751" s="1" t="n">
        <v>46298</v>
      </c>
      <c r="F751" t="inlineStr">
        <is>
          <t>ÖSTERGÖTLANDS LÄN</t>
        </is>
      </c>
      <c r="G751" t="inlineStr">
        <is>
          <t>NORRKÖPING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59964-2023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46298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16594-2023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45027</v>
      </c>
      <c r="E753" s="1" t="n">
        <v>46298</v>
      </c>
      <c r="F753" t="inlineStr">
        <is>
          <t>ÖSTERGÖTLANDS LÄN</t>
        </is>
      </c>
      <c r="G753" t="inlineStr">
        <is>
          <t>NORRKÖPING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18592-2024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45425</v>
      </c>
      <c r="E754" s="1" t="n">
        <v>46298</v>
      </c>
      <c r="F754" t="inlineStr">
        <is>
          <t>ÖSTERGÖTLANDS LÄN</t>
        </is>
      </c>
      <c r="G754" t="inlineStr">
        <is>
          <t>NORRKÖPING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46270-2024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45581</v>
      </c>
      <c r="E755" s="1" t="n">
        <v>46298</v>
      </c>
      <c r="F755" t="inlineStr">
        <is>
          <t>ÖSTERGÖTLANDS LÄN</t>
        </is>
      </c>
      <c r="G755" t="inlineStr">
        <is>
          <t>NORRKÖPING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45091</v>
      </c>
      <c r="E756" s="1" t="n">
        <v>46298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10798-2024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45369</v>
      </c>
      <c r="E757" s="1" t="n">
        <v>46298</v>
      </c>
      <c r="F757" t="inlineStr">
        <is>
          <t>ÖSTERGÖTLANDS LÄN</t>
        </is>
      </c>
      <c r="G757" t="inlineStr">
        <is>
          <t>NORRKÖPING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46298</v>
      </c>
      <c r="F758" t="inlineStr">
        <is>
          <t>ÖSTERGÖTLANDS LÄN</t>
        </is>
      </c>
      <c r="G758" t="inlineStr">
        <is>
          <t>NORRKÖPING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18667-2023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45043</v>
      </c>
      <c r="E759" s="1" t="n">
        <v>46298</v>
      </c>
      <c r="F759" t="inlineStr">
        <is>
          <t>ÖSTERGÖTLANDS LÄN</t>
        </is>
      </c>
      <c r="G759" t="inlineStr">
        <is>
          <t>NORRKÖPING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21772-2024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45442</v>
      </c>
      <c r="E760" s="1" t="n">
        <v>46298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45008</v>
      </c>
      <c r="E761" s="1" t="n">
        <v>46298</v>
      </c>
      <c r="F761" t="inlineStr">
        <is>
          <t>ÖSTERGÖTLANDS LÄN</t>
        </is>
      </c>
      <c r="G761" t="inlineStr">
        <is>
          <t>NORRKÖPING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45763</v>
      </c>
      <c r="E762" s="1" t="n">
        <v>46298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9.300000000000001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6490-2024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45339</v>
      </c>
      <c r="E763" s="1" t="n">
        <v>46298</v>
      </c>
      <c r="F763" t="inlineStr">
        <is>
          <t>ÖSTERGÖTLANDS LÄN</t>
        </is>
      </c>
      <c r="G763" t="inlineStr">
        <is>
          <t>NORRKÖPING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40724-2026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46294</v>
      </c>
      <c r="E764" s="1" t="n">
        <v>46298</v>
      </c>
      <c r="F764" t="inlineStr">
        <is>
          <t>ÖSTERGÖTLANDS LÄN</t>
        </is>
      </c>
      <c r="G764" t="inlineStr">
        <is>
          <t>NORRKÖPING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32623-2026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46240</v>
      </c>
      <c r="E765" s="1" t="n">
        <v>46298</v>
      </c>
      <c r="F765" t="inlineStr">
        <is>
          <t>ÖSTERGÖTLANDS LÄN</t>
        </is>
      </c>
      <c r="G765" t="inlineStr">
        <is>
          <t>NORRKÖPING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46298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11587-2023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44992</v>
      </c>
      <c r="E767" s="1" t="n">
        <v>46298</v>
      </c>
      <c r="F767" t="inlineStr">
        <is>
          <t>ÖSTERGÖTLANDS LÄN</t>
        </is>
      </c>
      <c r="G767" t="inlineStr">
        <is>
          <t>NORRKÖPING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9233-2023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46298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23349-2024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46298</v>
      </c>
      <c r="F769" t="inlineStr">
        <is>
          <t>ÖSTERGÖTLANDS LÄN</t>
        </is>
      </c>
      <c r="G769" t="inlineStr">
        <is>
          <t>NORRKÖPING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59077-2023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45252</v>
      </c>
      <c r="E770" s="1" t="n">
        <v>46298</v>
      </c>
      <c r="F770" t="inlineStr">
        <is>
          <t>ÖSTERGÖTLANDS LÄN</t>
        </is>
      </c>
      <c r="G770" t="inlineStr">
        <is>
          <t>NORRKÖPING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58884-2024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45636</v>
      </c>
      <c r="E771" s="1" t="n">
        <v>46298</v>
      </c>
      <c r="F771" t="inlineStr">
        <is>
          <t>ÖSTERGÖTLANDS LÄN</t>
        </is>
      </c>
      <c r="G771" t="inlineStr">
        <is>
          <t>NORRKÖPING</t>
        </is>
      </c>
      <c r="I771" t="n">
        <v>4.9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58901-2024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45636</v>
      </c>
      <c r="E772" s="1" t="n">
        <v>46298</v>
      </c>
      <c r="F772" t="inlineStr">
        <is>
          <t>ÖSTERGÖTLANDS LÄN</t>
        </is>
      </c>
      <c r="G772" t="inlineStr">
        <is>
          <t>NORRKÖPING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44573</v>
      </c>
      <c r="E773" s="1" t="n">
        <v>46298</v>
      </c>
      <c r="F773" t="inlineStr">
        <is>
          <t>ÖSTERGÖTLANDS LÄN</t>
        </is>
      </c>
      <c r="G773" t="inlineStr">
        <is>
          <t>NORRKÖPING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46298</v>
      </c>
      <c r="F774" t="inlineStr">
        <is>
          <t>ÖSTERGÖTLANDS LÄN</t>
        </is>
      </c>
      <c r="G774" t="inlineStr">
        <is>
          <t>NORRKÖPING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49617-2022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44862</v>
      </c>
      <c r="E775" s="1" t="n">
        <v>46298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44573</v>
      </c>
      <c r="E776" s="1" t="n">
        <v>46298</v>
      </c>
      <c r="F776" t="inlineStr">
        <is>
          <t>ÖSTERGÖTLANDS LÄN</t>
        </is>
      </c>
      <c r="G776" t="inlineStr">
        <is>
          <t>NORRKÖPING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30062-2023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45110</v>
      </c>
      <c r="E777" s="1" t="n">
        <v>46298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22470-2022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44713</v>
      </c>
      <c r="E778" s="1" t="n">
        <v>46298</v>
      </c>
      <c r="F778" t="inlineStr">
        <is>
          <t>ÖSTERGÖTLANDS LÄN</t>
        </is>
      </c>
      <c r="G778" t="inlineStr">
        <is>
          <t>NORRKÖPING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30784-2023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45112</v>
      </c>
      <c r="E779" s="1" t="n">
        <v>46298</v>
      </c>
      <c r="F779" t="inlineStr">
        <is>
          <t>ÖSTERGÖTLANDS LÄN</t>
        </is>
      </c>
      <c r="G779" t="inlineStr">
        <is>
          <t>NORRKÖPING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18686-2023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45043</v>
      </c>
      <c r="E780" s="1" t="n">
        <v>46298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26583-2022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44739</v>
      </c>
      <c r="E781" s="1" t="n">
        <v>46298</v>
      </c>
      <c r="F781" t="inlineStr">
        <is>
          <t>ÖSTERGÖTLANDS LÄN</t>
        </is>
      </c>
      <c r="G781" t="inlineStr">
        <is>
          <t>NORRKÖPING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45317</v>
      </c>
      <c r="E782" s="1" t="n">
        <v>46298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19702-2024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45432</v>
      </c>
      <c r="E783" s="1" t="n">
        <v>46298</v>
      </c>
      <c r="F783" t="inlineStr">
        <is>
          <t>ÖSTERGÖTLANDS LÄN</t>
        </is>
      </c>
      <c r="G783" t="inlineStr">
        <is>
          <t>NORRKÖPING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45715</v>
      </c>
      <c r="E784" s="1" t="n">
        <v>46298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11519-2025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45726</v>
      </c>
      <c r="E785" s="1" t="n">
        <v>46298</v>
      </c>
      <c r="F785" t="inlineStr">
        <is>
          <t>ÖSTERGÖTLANDS LÄN</t>
        </is>
      </c>
      <c r="G785" t="inlineStr">
        <is>
          <t>NORRKÖPING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11144-2025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45723</v>
      </c>
      <c r="E786" s="1" t="n">
        <v>46298</v>
      </c>
      <c r="F786" t="inlineStr">
        <is>
          <t>ÖSTERGÖTLANDS LÄN</t>
        </is>
      </c>
      <c r="G786" t="inlineStr">
        <is>
          <t>NORRKÖPING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16696-2023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45030</v>
      </c>
      <c r="E787" s="1" t="n">
        <v>46298</v>
      </c>
      <c r="F787" t="inlineStr">
        <is>
          <t>ÖSTERGÖTLANDS LÄN</t>
        </is>
      </c>
      <c r="G787" t="inlineStr">
        <is>
          <t>NORRKÖPING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45030</v>
      </c>
      <c r="E788" s="1" t="n">
        <v>46298</v>
      </c>
      <c r="F788" t="inlineStr">
        <is>
          <t>ÖSTERGÖTLANDS LÄN</t>
        </is>
      </c>
      <c r="G788" t="inlineStr">
        <is>
          <t>NORRKÖPING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59520-2023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45254</v>
      </c>
      <c r="E789" s="1" t="n">
        <v>46298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BillerudKorsnäs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48091-2023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45205</v>
      </c>
      <c r="E790" s="1" t="n">
        <v>46298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46738-2022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44851</v>
      </c>
      <c r="E791" s="1" t="n">
        <v>46298</v>
      </c>
      <c r="F791" t="inlineStr">
        <is>
          <t>ÖSTERGÖTLANDS LÄN</t>
        </is>
      </c>
      <c r="G791" t="inlineStr">
        <is>
          <t>NORRKÖPING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33446-2023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45129</v>
      </c>
      <c r="E792" s="1" t="n">
        <v>46298</v>
      </c>
      <c r="F792" t="inlineStr">
        <is>
          <t>ÖSTERGÖTLANDS LÄN</t>
        </is>
      </c>
      <c r="G792" t="inlineStr">
        <is>
          <t>NORRKÖPING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28663-2024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46298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44957</v>
      </c>
      <c r="E794" s="1" t="n">
        <v>46298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15640-2024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45403</v>
      </c>
      <c r="E795" s="1" t="n">
        <v>46298</v>
      </c>
      <c r="F795" t="inlineStr">
        <is>
          <t>ÖSTERGÖTLANDS LÄN</t>
        </is>
      </c>
      <c r="G795" t="inlineStr">
        <is>
          <t>NORRKÖPING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16949-2023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45033</v>
      </c>
      <c r="E796" s="1" t="n">
        <v>46298</v>
      </c>
      <c r="F796" t="inlineStr">
        <is>
          <t>ÖSTERGÖTLANDS LÄN</t>
        </is>
      </c>
      <c r="G796" t="inlineStr">
        <is>
          <t>NORRKÖPING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48758-2024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46298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17714-2023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45037</v>
      </c>
      <c r="E798" s="1" t="n">
        <v>46298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45030</v>
      </c>
      <c r="E799" s="1" t="n">
        <v>46298</v>
      </c>
      <c r="F799" t="inlineStr">
        <is>
          <t>ÖSTERGÖTLANDS LÄN</t>
        </is>
      </c>
      <c r="G799" t="inlineStr">
        <is>
          <t>NORRKÖPING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19114-2023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45048</v>
      </c>
      <c r="E800" s="1" t="n">
        <v>46298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21093-2025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45777</v>
      </c>
      <c r="E801" s="1" t="n">
        <v>46298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46298</v>
      </c>
      <c r="F802" t="inlineStr">
        <is>
          <t>ÖSTERGÖTLANDS LÄN</t>
        </is>
      </c>
      <c r="G802" t="inlineStr">
        <is>
          <t>NORRKÖPING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46298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45671</v>
      </c>
      <c r="E804" s="1" t="n">
        <v>46298</v>
      </c>
      <c r="F804" t="inlineStr">
        <is>
          <t>ÖSTERGÖTLANDS LÄN</t>
        </is>
      </c>
      <c r="G804" t="inlineStr">
        <is>
          <t>NORRKÖPING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21909-2025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45784</v>
      </c>
      <c r="E805" s="1" t="n">
        <v>46298</v>
      </c>
      <c r="F805" t="inlineStr">
        <is>
          <t>ÖSTERGÖTLANDS LÄN</t>
        </is>
      </c>
      <c r="G805" t="inlineStr">
        <is>
          <t>NORRKÖPING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46298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22439-2025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46298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Naturvårdsverket</t>
        </is>
      </c>
      <c r="I807" t="n">
        <v>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46298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2289-2020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44130</v>
      </c>
      <c r="E809" s="1" t="n">
        <v>46298</v>
      </c>
      <c r="F809" t="inlineStr">
        <is>
          <t>ÖSTERGÖTLANDS LÄN</t>
        </is>
      </c>
      <c r="G809" t="inlineStr">
        <is>
          <t>NORRKÖPING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1519-2021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44313</v>
      </c>
      <c r="E810" s="1" t="n">
        <v>46298</v>
      </c>
      <c r="F810" t="inlineStr">
        <is>
          <t>ÖSTERGÖTLANDS LÄN</t>
        </is>
      </c>
      <c r="G810" t="inlineStr">
        <is>
          <t>NORRKÖPING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161-2021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44230</v>
      </c>
      <c r="E811" s="1" t="n">
        <v>46298</v>
      </c>
      <c r="F811" t="inlineStr">
        <is>
          <t>ÖSTERGÖTLANDS LÄN</t>
        </is>
      </c>
      <c r="G811" t="inlineStr">
        <is>
          <t>NORRKÖPING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211-2024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45316</v>
      </c>
      <c r="E812" s="1" t="n">
        <v>46298</v>
      </c>
      <c r="F812" t="inlineStr">
        <is>
          <t>ÖSTERGÖTLANDS LÄN</t>
        </is>
      </c>
      <c r="G812" t="inlineStr">
        <is>
          <t>NORRKÖPING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1484-2022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44638</v>
      </c>
      <c r="E813" s="1" t="n">
        <v>46298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1678-2022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44649</v>
      </c>
      <c r="E814" s="1" t="n">
        <v>46298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10364-2021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44551</v>
      </c>
      <c r="E815" s="1" t="n">
        <v>46298</v>
      </c>
      <c r="F815" t="inlineStr">
        <is>
          <t>ÖSTERGÖTLANDS LÄN</t>
        </is>
      </c>
      <c r="G815" t="inlineStr">
        <is>
          <t>NORRKÖPING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4973-2024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45629</v>
      </c>
      <c r="E816" s="1" t="n">
        <v>46298</v>
      </c>
      <c r="F816" t="inlineStr">
        <is>
          <t>ÖSTERGÖTLANDS LÄN</t>
        </is>
      </c>
      <c r="G816" t="inlineStr">
        <is>
          <t>NORRKÖPING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45571</v>
      </c>
      <c r="E817" s="1" t="n">
        <v>46298</v>
      </c>
      <c r="F817" t="inlineStr">
        <is>
          <t>ÖSTERGÖTLANDS LÄN</t>
        </is>
      </c>
      <c r="G817" t="inlineStr">
        <is>
          <t>NORRKÖPING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1663-2024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45432</v>
      </c>
      <c r="E818" s="1" t="n">
        <v>46298</v>
      </c>
      <c r="F818" t="inlineStr">
        <is>
          <t>ÖSTERGÖTLANDS LÄN</t>
        </is>
      </c>
      <c r="G818" t="inlineStr">
        <is>
          <t>NORRKÖPING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46298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4012-2024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45571</v>
      </c>
      <c r="E820" s="1" t="n">
        <v>46298</v>
      </c>
      <c r="F820" t="inlineStr">
        <is>
          <t>ÖSTERGÖTLANDS LÄN</t>
        </is>
      </c>
      <c r="G820" t="inlineStr">
        <is>
          <t>NORRKÖPING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1486-2025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45789</v>
      </c>
      <c r="E821" s="1" t="n">
        <v>46298</v>
      </c>
      <c r="F821" t="inlineStr">
        <is>
          <t>ÖSTERGÖTLANDS LÄN</t>
        </is>
      </c>
      <c r="G821" t="inlineStr">
        <is>
          <t>NORRKÖPING</t>
        </is>
      </c>
      <c r="I821" t="n">
        <v>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1433-2025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45784</v>
      </c>
      <c r="E822" s="1" t="n">
        <v>46298</v>
      </c>
      <c r="F822" t="inlineStr">
        <is>
          <t>ÖSTERGÖTLANDS LÄN</t>
        </is>
      </c>
      <c r="G822" t="inlineStr">
        <is>
          <t>NORRKÖPING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2026-10-03T01:59:10Z</dcterms:created>
  <dcterms:modified xmlns:dcterms="http://purl.org/dc/terms/" xmlns:xsi="http://www.w3.org/2001/XMLSchema-instance" xsi:type="dcterms:W3CDTF">2026-10-03T01:59:11Z</dcterms:modified>
</cp:coreProperties>
</file>