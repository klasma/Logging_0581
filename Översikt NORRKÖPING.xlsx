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46307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46307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46307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46307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46307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46307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46307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46307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46307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27912-2025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45817</v>
      </c>
      <c r="E18" s="1" t="n">
        <v>46307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</v>
      </c>
      <c r="J18" t="n">
        <v>1</v>
      </c>
      <c r="K18" t="n">
        <v>3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9</v>
      </c>
      <c r="V18" s="2" t="inlineStr">
        <is>
          <t>Ostticka
Dropptaggsvamp
Stubbtrådmossa
Tretåig hackspett
Vedskivlav
Vedtrappmossa
Bronshjon
Flagellkvastmossa
Kornknutmossa</t>
        </is>
      </c>
      <c r="W18">
        <f>HYPERLINK("https://klasma.github.io/Logging_0581/artfynd/A 27912-2025 artfynd.xlsx", "A 27912-2025")</f>
        <v/>
      </c>
      <c r="X18">
        <f>HYPERLINK("https://klasma.github.io/Logging_0581/kartor/A 27912-2025 karta.png", "A 27912-2025")</f>
        <v/>
      </c>
      <c r="Y18">
        <f>HYPERLINK("https://klasma.github.io/Logging_0581/kartor_geotiff/A 27912-2025 georefererad karta.tif", "A 27912-2025")</f>
        <v/>
      </c>
      <c r="AA18">
        <f>HYPERLINK("https://klasma.github.io/Logging_0581/klagomål/A 27912-2025 FSC-klagomål.docx", "A 27912-2025")</f>
        <v/>
      </c>
      <c r="AB18">
        <f>HYPERLINK("https://klasma.github.io/Logging_0581/klagomålsmail/A 27912-2025 FSC-klagomål mail.docx", "A 27912-2025")</f>
        <v/>
      </c>
      <c r="AC18">
        <f>HYPERLINK("https://klasma.github.io/Logging_0581/tillsyn/A 27912-2025 tillsynsbegäran.docx", "A 27912-2025")</f>
        <v/>
      </c>
      <c r="AD18">
        <f>HYPERLINK("https://klasma.github.io/Logging_0581/tillsynsmail/A 27912-2025 tillsynsbegäran mail.docx", "A 27912-2025")</f>
        <v/>
      </c>
      <c r="AE18">
        <f>HYPERLINK("https://klasma.github.io/Logging_0581/fåglar/A 27912-2025 prioriterade fågelarter.docx", "A 27912-2025")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46307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46307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46307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46307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46307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46307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46307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46307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46307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21536-2025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46307</v>
      </c>
      <c r="F32" t="inlineStr">
        <is>
          <t>ÖSTERGÖTLANDS LÄN</t>
        </is>
      </c>
      <c r="G32" t="inlineStr">
        <is>
          <t>NORRKÖPING</t>
        </is>
      </c>
      <c r="I32" t="n">
        <v>6.2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Reliktbock
Tjockfotad fingersvamp
Grovticka
Grön sköldmossa
Stubbspretmossa</t>
        </is>
      </c>
      <c r="W32">
        <f>HYPERLINK("https://klasma.github.io/Logging_0581/artfynd/A 21536-2025 artfynd.xlsx", "A 21536-2025")</f>
        <v/>
      </c>
      <c r="X32">
        <f>HYPERLINK("https://klasma.github.io/Logging_0581/kartor/A 21536-2025 karta.png", "A 21536-2025")</f>
        <v/>
      </c>
      <c r="Y32">
        <f>HYPERLINK("https://klasma.github.io/Logging_0581/kartor_geotiff/A 21536-2025 georefererad karta.tif", "A 21536-2025")</f>
        <v/>
      </c>
      <c r="AA32">
        <f>HYPERLINK("https://klasma.github.io/Logging_0581/klagomål/A 21536-2025 FSC-klagomål.docx", "A 21536-2025")</f>
        <v/>
      </c>
      <c r="AB32">
        <f>HYPERLINK("https://klasma.github.io/Logging_0581/klagomålsmail/A 21536-2025 FSC-klagomål mail.docx", "A 21536-2025")</f>
        <v/>
      </c>
      <c r="AC32">
        <f>HYPERLINK("https://klasma.github.io/Logging_0581/tillsyn/A 21536-2025 tillsynsbegäran.docx", "A 21536-2025")</f>
        <v/>
      </c>
      <c r="AD32">
        <f>HYPERLINK("https://klasma.github.io/Logging_0581/tillsynsmail/A 21536-2025 tillsynsbegäran mail.docx", "A 21536-2025")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46307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46307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46307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46307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t="n">
        <v>3</v>
      </c>
      <c r="V36" s="2" t="inlineStr">
        <is>
          <t>Tofsmes
Fläcknycklar
Grönvit nattviol
Revlummer
Äkta lopplummer</t>
        </is>
      </c>
      <c r="W36">
        <f>HYPERLINK("https://klasma.github.io/Logging_0581/artfynd/A 19113-2023 artfynd.xlsx", "A 19113-2023")</f>
        <v/>
      </c>
      <c r="X36">
        <f>HYPERLINK("https://klasma.github.io/Logging_0581/kartor/A 19113-2023 karta.png", "A 19113-2023")</f>
        <v/>
      </c>
      <c r="Y36">
        <f>HYPERLINK("https://klasma.github.io/Logging_0581/kartor_geotiff/A 19113-2023 georefererad karta.tif", "A 19113-2023")</f>
        <v/>
      </c>
      <c r="AA36">
        <f>HYPERLINK("https://klasma.github.io/Logging_0581/klagomål/A 19113-2023 FSC-klagomål.docx", "A 19113-2023")</f>
        <v/>
      </c>
      <c r="AB36">
        <f>HYPERLINK("https://klasma.github.io/Logging_0581/klagomålsmail/A 19113-2023 FSC-klagomål mail.docx", "A 19113-2023")</f>
        <v/>
      </c>
      <c r="AC36">
        <f>HYPERLINK("https://klasma.github.io/Logging_0581/tillsyn/A 19113-2023 tillsynsbegäran.docx", "A 19113-2023")</f>
        <v/>
      </c>
      <c r="AD36">
        <f>HYPERLINK("https://klasma.github.io/Logging_0581/tillsynsmail/A 19113-2023 tillsynsbegäran mail.docx", "A 19113-2023")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46307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46307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54081-2025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46307</v>
      </c>
      <c r="F39" t="inlineStr">
        <is>
          <t>ÖSTERGÖTLANDS LÄN</t>
        </is>
      </c>
      <c r="G39" t="inlineStr">
        <is>
          <t>NORRKÖPING</t>
        </is>
      </c>
      <c r="I39" t="n">
        <v>0.8</v>
      </c>
      <c r="J39" t="n">
        <v>1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4</v>
      </c>
      <c r="V39" s="2" t="inlineStr">
        <is>
          <t>Sårläka
Guldlockmossa
Gulpudrad spiklav
Svart trolldruva
Blåsippa</t>
        </is>
      </c>
      <c r="W39">
        <f>HYPERLINK("https://klasma.github.io/Logging_0581/artfynd/A 54081-2025 artfynd.xlsx", "A 54081-2025")</f>
        <v/>
      </c>
      <c r="X39">
        <f>HYPERLINK("https://klasma.github.io/Logging_0581/kartor/A 54081-2025 karta.png", "A 54081-2025")</f>
        <v/>
      </c>
      <c r="Y39">
        <f>HYPERLINK("https://klasma.github.io/Logging_0581/kartor_geotiff/A 54081-2025 georefererad karta.tif", "A 54081-2025")</f>
        <v/>
      </c>
      <c r="AA39">
        <f>HYPERLINK("https://klasma.github.io/Logging_0581/klagomål/A 54081-2025 FSC-klagomål.docx", "A 54081-2025")</f>
        <v/>
      </c>
      <c r="AB39">
        <f>HYPERLINK("https://klasma.github.io/Logging_0581/klagomålsmail/A 54081-2025 FSC-klagomål mail.docx", "A 54081-2025")</f>
        <v/>
      </c>
      <c r="AC39">
        <f>HYPERLINK("https://klasma.github.io/Logging_0581/tillsyn/A 54081-2025 tillsynsbegäran.docx", "A 54081-2025")</f>
        <v/>
      </c>
      <c r="AD39">
        <f>HYPERLINK("https://klasma.github.io/Logging_0581/tillsynsmail/A 54081-2025 tillsynsbegäran mail.docx", "A 54081-2025")</f>
        <v/>
      </c>
    </row>
    <row r="40" ht="15" customHeight="1">
      <c r="A40" t="inlineStr">
        <is>
          <t>A 30829-2026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46212</v>
      </c>
      <c r="E40" s="1" t="n">
        <v>46307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5</v>
      </c>
      <c r="T40" t="n">
        <v>11</v>
      </c>
      <c r="U40" t="n">
        <v>9</v>
      </c>
      <c r="V40" s="2" t="inlineStr">
        <is>
          <t>Björksplintborre
Kornknutmossa
Stor aspticka
Spillkråka
Fläcknycklar</t>
        </is>
      </c>
      <c r="W40">
        <f>HYPERLINK("https://klasma.github.io/Logging_0581/artfynd/A 30829-2026 artfynd.xlsx", "A 30829-2026")</f>
        <v/>
      </c>
      <c r="X40">
        <f>HYPERLINK("https://klasma.github.io/Logging_0581/kartor/A 30829-2026 karta.png", "A 30829-2026")</f>
        <v/>
      </c>
      <c r="Y40">
        <f>HYPERLINK("https://klasma.github.io/Logging_0581/kartor_geotiff/A 30829-2026 georefererad karta.tif", "A 30829-2026")</f>
        <v/>
      </c>
      <c r="AA40">
        <f>HYPERLINK("https://klasma.github.io/Logging_0581/klagomål/A 30829-2026 FSC-klagomål.docx", "A 30829-2026")</f>
        <v/>
      </c>
      <c r="AB40">
        <f>HYPERLINK("https://klasma.github.io/Logging_0581/klagomålsmail/A 30829-2026 FSC-klagomål mail.docx", "A 30829-2026")</f>
        <v/>
      </c>
      <c r="AC40">
        <f>HYPERLINK("https://klasma.github.io/Logging_0581/tillsyn/A 30829-2026 tillsynsbegäran.docx", "A 30829-2026")</f>
        <v/>
      </c>
      <c r="AD40">
        <f>HYPERLINK("https://klasma.github.io/Logging_0581/tillsynsmail/A 30829-2026 tillsynsbegäran mail.docx", "A 30829-2026")</f>
        <v/>
      </c>
      <c r="AE40">
        <f>HYPERLINK("https://klasma.github.io/Logging_0581/fåglar/A 30829-2026 prioriterade fågelarter.docx", "A 30829-2026")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46307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46307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46307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51538-2024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45604</v>
      </c>
      <c r="E44" s="1" t="n">
        <v>46307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1.6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9</v>
      </c>
      <c r="U44" t="n">
        <v>9</v>
      </c>
      <c r="V44" s="2" t="inlineStr">
        <is>
          <t>Bårdlav
Fällmossa
Hasselticka
Blåsippa</t>
        </is>
      </c>
      <c r="W44">
        <f>HYPERLINK("https://klasma.github.io/Logging_0581/artfynd/A 51538-2024 artfynd.xlsx", "A 51538-2024")</f>
        <v/>
      </c>
      <c r="X44">
        <f>HYPERLINK("https://klasma.github.io/Logging_0581/kartor/A 51538-2024 karta.png", "A 51538-2024")</f>
        <v/>
      </c>
      <c r="Y44">
        <f>HYPERLINK("https://klasma.github.io/Logging_0581/kartor_geotiff/A 51538-2024 georefererad karta.tif", "A 51538-2024")</f>
        <v/>
      </c>
      <c r="AA44">
        <f>HYPERLINK("https://klasma.github.io/Logging_0581/klagomål/A 51538-2024 FSC-klagomål.docx", "A 51538-2024")</f>
        <v/>
      </c>
      <c r="AB44">
        <f>HYPERLINK("https://klasma.github.io/Logging_0581/klagomålsmail/A 51538-2024 FSC-klagomål mail.docx", "A 51538-2024")</f>
        <v/>
      </c>
      <c r="AC44">
        <f>HYPERLINK("https://klasma.github.io/Logging_0581/tillsyn/A 51538-2024 tillsynsbegäran.docx", "A 51538-2024")</f>
        <v/>
      </c>
      <c r="AD44">
        <f>HYPERLINK("https://klasma.github.io/Logging_0581/tillsynsmail/A 51538-2024 tillsynsbegäran mail.docx", "A 51538-2024")</f>
        <v/>
      </c>
    </row>
    <row r="45" ht="15" customHeight="1">
      <c r="A45" t="inlineStr">
        <is>
          <t>A 31468-2025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46307</v>
      </c>
      <c r="F45" t="inlineStr">
        <is>
          <t>ÖSTERGÖTLANDS LÄN</t>
        </is>
      </c>
      <c r="G45" t="inlineStr">
        <is>
          <t>NORRKÖPING</t>
        </is>
      </c>
      <c r="I45" t="n">
        <v>6.3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Talltita
Vedskivlav
Grönpyrola
Blåsippa</t>
        </is>
      </c>
      <c r="W45">
        <f>HYPERLINK("https://klasma.github.io/Logging_0581/artfynd/A 31468-2025 artfynd.xlsx", "A 31468-2025")</f>
        <v/>
      </c>
      <c r="X45">
        <f>HYPERLINK("https://klasma.github.io/Logging_0581/kartor/A 31468-2025 karta.png", "A 31468-2025")</f>
        <v/>
      </c>
      <c r="Y45">
        <f>HYPERLINK("https://klasma.github.io/Logging_0581/kartor_geotiff/A 31468-2025 georefererad karta.tif", "A 31468-2025")</f>
        <v/>
      </c>
      <c r="AA45">
        <f>HYPERLINK("https://klasma.github.io/Logging_0581/klagomål/A 31468-2025 FSC-klagomål.docx", "A 31468-2025")</f>
        <v/>
      </c>
      <c r="AB45">
        <f>HYPERLINK("https://klasma.github.io/Logging_0581/klagomålsmail/A 31468-2025 FSC-klagomål mail.docx", "A 31468-2025")</f>
        <v/>
      </c>
      <c r="AC45">
        <f>HYPERLINK("https://klasma.github.io/Logging_0581/tillsyn/A 31468-2025 tillsynsbegäran.docx", "A 31468-2025")</f>
        <v/>
      </c>
      <c r="AD45">
        <f>HYPERLINK("https://klasma.github.io/Logging_0581/tillsynsmail/A 31468-2025 tillsynsbegäran mail.docx", "A 31468-2025")</f>
        <v/>
      </c>
      <c r="AE45">
        <f>HYPERLINK("https://klasma.github.io/Logging_0581/fåglar/A 31468-2025 prioriterade fågelarter.docx", "A 31468-2025")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46307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4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46307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46307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46307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46307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46307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14646-2023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46307</v>
      </c>
      <c r="F53" t="inlineStr">
        <is>
          <t>ÖSTERGÖTLANDS LÄN</t>
        </is>
      </c>
      <c r="G53" t="inlineStr">
        <is>
          <t>NORRKÖPING</t>
        </is>
      </c>
      <c r="I53" t="n">
        <v>5.4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Skogsalm
Vanlig backsmörblomma
Fläcknycklar</t>
        </is>
      </c>
      <c r="W53">
        <f>HYPERLINK("https://klasma.github.io/Logging_0581/artfynd/A 14646-2023 artfynd.xlsx", "A 14646-2023")</f>
        <v/>
      </c>
      <c r="X53">
        <f>HYPERLINK("https://klasma.github.io/Logging_0581/kartor/A 14646-2023 karta.png", "A 14646-2023")</f>
        <v/>
      </c>
      <c r="Y53">
        <f>HYPERLINK("https://klasma.github.io/Logging_0581/kartor_geotiff/A 14646-2023 georefererad karta.tif", "A 14646-2023")</f>
        <v/>
      </c>
      <c r="AA53">
        <f>HYPERLINK("https://klasma.github.io/Logging_0581/klagomål/A 14646-2023 FSC-klagomål.docx", "A 14646-2023")</f>
        <v/>
      </c>
      <c r="AB53">
        <f>HYPERLINK("https://klasma.github.io/Logging_0581/klagomålsmail/A 14646-2023 FSC-klagomål mail.docx", "A 14646-2023")</f>
        <v/>
      </c>
      <c r="AC53">
        <f>HYPERLINK("https://klasma.github.io/Logging_0581/tillsyn/A 14646-2023 tillsynsbegäran.docx", "A 14646-2023")</f>
        <v/>
      </c>
      <c r="AD53">
        <f>HYPERLINK("https://klasma.github.io/Logging_0581/tillsynsmail/A 14646-2023 tillsynsbegäran mail.docx", "A 14646-2023")</f>
        <v/>
      </c>
    </row>
    <row r="54" ht="15" customHeight="1">
      <c r="A54" t="inlineStr">
        <is>
          <t>A 60171-2023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45258</v>
      </c>
      <c r="E54" s="1" t="n">
        <v>46307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1.7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Blomkålssvamp
Kransmossa</t>
        </is>
      </c>
      <c r="W54">
        <f>HYPERLINK("https://klasma.github.io/Logging_0581/artfynd/A 60171-2023 artfynd.xlsx", "A 60171-2023")</f>
        <v/>
      </c>
      <c r="X54">
        <f>HYPERLINK("https://klasma.github.io/Logging_0581/kartor/A 60171-2023 karta.png", "A 60171-2023")</f>
        <v/>
      </c>
      <c r="Y54">
        <f>HYPERLINK("https://klasma.github.io/Logging_0581/kartor_geotiff/A 60171-2023 georefererad karta.tif", "A 60171-2023")</f>
        <v/>
      </c>
      <c r="AA54">
        <f>HYPERLINK("https://klasma.github.io/Logging_0581/klagomål/A 60171-2023 FSC-klagomål.docx", "A 60171-2023")</f>
        <v/>
      </c>
      <c r="AB54">
        <f>HYPERLINK("https://klasma.github.io/Logging_0581/klagomålsmail/A 60171-2023 FSC-klagomål mail.docx", "A 60171-2023")</f>
        <v/>
      </c>
      <c r="AC54">
        <f>HYPERLINK("https://klasma.github.io/Logging_0581/tillsyn/A 60171-2023 tillsynsbegäran.docx", "A 60171-2023")</f>
        <v/>
      </c>
      <c r="AD54">
        <f>HYPERLINK("https://klasma.github.io/Logging_0581/tillsynsmail/A 60171-2023 tillsynsbegäran mail.docx", "A 60171-2023")</f>
        <v/>
      </c>
    </row>
    <row r="55" ht="15" customHeight="1">
      <c r="A55" t="inlineStr">
        <is>
          <t>A 8468-2023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46307</v>
      </c>
      <c r="F55" t="inlineStr">
        <is>
          <t>ÖSTERGÖTLANDS LÄN</t>
        </is>
      </c>
      <c r="G55" t="inlineStr">
        <is>
          <t>NORRKÖPING</t>
        </is>
      </c>
      <c r="I55" t="n">
        <v>6.7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0</v>
      </c>
      <c r="V55" s="2" t="inlineStr">
        <is>
          <t>Tallticka
Bronshjon
Blåsippa</t>
        </is>
      </c>
      <c r="W55">
        <f>HYPERLINK("https://klasma.github.io/Logging_0581/artfynd/A 8468-2023 artfynd.xlsx", "A 8468-2023")</f>
        <v/>
      </c>
      <c r="X55">
        <f>HYPERLINK("https://klasma.github.io/Logging_0581/kartor/A 8468-2023 karta.png", "A 8468-2023")</f>
        <v/>
      </c>
      <c r="Y55">
        <f>HYPERLINK("https://klasma.github.io/Logging_0581/kartor_geotiff/A 8468-2023 georefererad karta.tif", "A 8468-2023")</f>
        <v/>
      </c>
      <c r="AA55">
        <f>HYPERLINK("https://klasma.github.io/Logging_0581/klagomål/A 8468-2023 FSC-klagomål.docx", "A 8468-2023")</f>
        <v/>
      </c>
      <c r="AB55">
        <f>HYPERLINK("https://klasma.github.io/Logging_0581/klagomålsmail/A 8468-2023 FSC-klagomål mail.docx", "A 8468-2023")</f>
        <v/>
      </c>
      <c r="AC55">
        <f>HYPERLINK("https://klasma.github.io/Logging_0581/tillsyn/A 8468-2023 tillsynsbegäran.docx", "A 8468-2023")</f>
        <v/>
      </c>
      <c r="AD55">
        <f>HYPERLINK("https://klasma.github.io/Logging_0581/tillsynsmail/A 8468-2023 tillsynsbegäran mail.docx", "A 8468-2023")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23969-2025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45796</v>
      </c>
      <c r="E57" s="1" t="n">
        <v>46307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2</v>
      </c>
      <c r="J57" t="n">
        <v>1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1</v>
      </c>
      <c r="V57" s="2" t="inlineStr">
        <is>
          <t>Crepis tectorum subsp. tectorum
Grönsångare
Tallticka</t>
        </is>
      </c>
      <c r="W57">
        <f>HYPERLINK("https://klasma.github.io/Logging_0581/artfynd/A 23969-2025 artfynd.xlsx", "A 23969-2025")</f>
        <v/>
      </c>
      <c r="X57">
        <f>HYPERLINK("https://klasma.github.io/Logging_0581/kartor/A 23969-2025 karta.png", "A 23969-2025")</f>
        <v/>
      </c>
      <c r="Y57">
        <f>HYPERLINK("https://klasma.github.io/Logging_0581/kartor_geotiff/A 23969-2025 georefererad karta.tif", "A 23969-2025")</f>
        <v/>
      </c>
      <c r="AA57">
        <f>HYPERLINK("https://klasma.github.io/Logging_0581/klagomål/A 23969-2025 FSC-klagomål.docx", "A 23969-2025")</f>
        <v/>
      </c>
      <c r="AB57">
        <f>HYPERLINK("https://klasma.github.io/Logging_0581/klagomålsmail/A 23969-2025 FSC-klagomål mail.docx", "A 23969-2025")</f>
        <v/>
      </c>
      <c r="AC57">
        <f>HYPERLINK("https://klasma.github.io/Logging_0581/tillsyn/A 23969-2025 tillsynsbegäran.docx", "A 23969-2025")</f>
        <v/>
      </c>
      <c r="AD57">
        <f>HYPERLINK("https://klasma.github.io/Logging_0581/tillsynsmail/A 23969-2025 tillsynsbegäran mail.docx", "A 23969-2025")</f>
        <v/>
      </c>
      <c r="AE57">
        <f>HYPERLINK("https://klasma.github.io/Logging_0581/fåglar/A 23969-2025 prioriterade fågelarter.docx", "A 23969-2025")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46307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46307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46307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35736-2025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45860</v>
      </c>
      <c r="E61" s="1" t="n">
        <v>46307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11.5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Vedskivlav
Tjäder</t>
        </is>
      </c>
      <c r="W61">
        <f>HYPERLINK("https://klasma.github.io/Logging_0581/artfynd/A 35736-2025 artfynd.xlsx", "A 35736-2025")</f>
        <v/>
      </c>
      <c r="X61">
        <f>HYPERLINK("https://klasma.github.io/Logging_0581/kartor/A 35736-2025 karta.png", "A 35736-2025")</f>
        <v/>
      </c>
      <c r="Y61">
        <f>HYPERLINK("https://klasma.github.io/Logging_0581/kartor_geotiff/A 35736-2025 georefererad karta.tif", "A 35736-2025")</f>
        <v/>
      </c>
      <c r="AA61">
        <f>HYPERLINK("https://klasma.github.io/Logging_0581/klagomål/A 35736-2025 FSC-klagomål.docx", "A 35736-2025")</f>
        <v/>
      </c>
      <c r="AB61">
        <f>HYPERLINK("https://klasma.github.io/Logging_0581/klagomålsmail/A 35736-2025 FSC-klagomål mail.docx", "A 35736-2025")</f>
        <v/>
      </c>
      <c r="AC61">
        <f>HYPERLINK("https://klasma.github.io/Logging_0581/tillsyn/A 35736-2025 tillsynsbegäran.docx", "A 35736-2025")</f>
        <v/>
      </c>
      <c r="AD61">
        <f>HYPERLINK("https://klasma.github.io/Logging_0581/tillsynsmail/A 35736-2025 tillsynsbegäran mail.docx", "A 35736-2025")</f>
        <v/>
      </c>
      <c r="AE61">
        <f>HYPERLINK("https://klasma.github.io/Logging_0581/fåglar/A 35736-2025 prioriterade fågelarter.docx", "A 35736-2025")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46307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46307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15183-2023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46307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2.4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Motaggsvamp
Vedskivlav
Blomkålssvamp</t>
        </is>
      </c>
      <c r="W64">
        <f>HYPERLINK("https://klasma.github.io/Logging_0581/artfynd/A 15183-2023 artfynd.xlsx", "A 15183-2023")</f>
        <v/>
      </c>
      <c r="X64">
        <f>HYPERLINK("https://klasma.github.io/Logging_0581/kartor/A 15183-2023 karta.png", "A 15183-2023")</f>
        <v/>
      </c>
      <c r="Y64">
        <f>HYPERLINK("https://klasma.github.io/Logging_0581/kartor_geotiff/A 15183-2023 georefererad karta.tif", "A 15183-2023")</f>
        <v/>
      </c>
      <c r="AA64">
        <f>HYPERLINK("https://klasma.github.io/Logging_0581/klagomål/A 15183-2023 FSC-klagomål.docx", "A 15183-2023")</f>
        <v/>
      </c>
      <c r="AB64">
        <f>HYPERLINK("https://klasma.github.io/Logging_0581/klagomålsmail/A 15183-2023 FSC-klagomål mail.docx", "A 15183-2023")</f>
        <v/>
      </c>
      <c r="AC64">
        <f>HYPERLINK("https://klasma.github.io/Logging_0581/tillsyn/A 15183-2023 tillsynsbegäran.docx", "A 15183-2023")</f>
        <v/>
      </c>
      <c r="AD64">
        <f>HYPERLINK("https://klasma.github.io/Logging_0581/tillsynsmail/A 15183-2023 tillsynsbegäran mail.docx", "A 15183-2023")</f>
        <v/>
      </c>
    </row>
    <row r="65" ht="15" customHeight="1">
      <c r="A65" t="inlineStr">
        <is>
          <t>A 19989-2026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46136</v>
      </c>
      <c r="E65" s="1" t="n">
        <v>46307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4.6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Hasselticka
Spillkråka</t>
        </is>
      </c>
      <c r="W65">
        <f>HYPERLINK("https://klasma.github.io/Logging_0581/artfynd/A 19989-2026 artfynd.xlsx", "A 19989-2026")</f>
        <v/>
      </c>
      <c r="X65">
        <f>HYPERLINK("https://klasma.github.io/Logging_0581/kartor/A 19989-2026 karta.png", "A 19989-2026")</f>
        <v/>
      </c>
      <c r="Y65">
        <f>HYPERLINK("https://klasma.github.io/Logging_0581/kartor_geotiff/A 19989-2026 georefererad karta.tif", "A 19989-2026")</f>
        <v/>
      </c>
      <c r="AA65">
        <f>HYPERLINK("https://klasma.github.io/Logging_0581/klagomål/A 19989-2026 FSC-klagomål.docx", "A 19989-2026")</f>
        <v/>
      </c>
      <c r="AB65">
        <f>HYPERLINK("https://klasma.github.io/Logging_0581/klagomålsmail/A 19989-2026 FSC-klagomål mail.docx", "A 19989-2026")</f>
        <v/>
      </c>
      <c r="AC65">
        <f>HYPERLINK("https://klasma.github.io/Logging_0581/tillsyn/A 19989-2026 tillsynsbegäran.docx", "A 19989-2026")</f>
        <v/>
      </c>
      <c r="AD65">
        <f>HYPERLINK("https://klasma.github.io/Logging_0581/tillsynsmail/A 19989-2026 tillsynsbegäran mail.docx", "A 19989-2026")</f>
        <v/>
      </c>
      <c r="AE65">
        <f>HYPERLINK("https://klasma.github.io/Logging_0581/fåglar/A 19989-2026 prioriterade fågelarter.docx", "A 19989-2026")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46307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34439-2023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46307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3.5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Grönpyrola
Plattlummer
Äkta lopplummer</t>
        </is>
      </c>
      <c r="W67">
        <f>HYPERLINK("https://klasma.github.io/Logging_0581/artfynd/A 34439-2023 artfynd.xlsx", "A 34439-2023")</f>
        <v/>
      </c>
      <c r="X67">
        <f>HYPERLINK("https://klasma.github.io/Logging_0581/kartor/A 34439-2023 karta.png", "A 34439-2023")</f>
        <v/>
      </c>
      <c r="Y67">
        <f>HYPERLINK("https://klasma.github.io/Logging_0581/kartor_geotiff/A 34439-2023 georefererad karta.tif", "A 34439-2023")</f>
        <v/>
      </c>
      <c r="Z67">
        <f>HYPERLINK("https://klasma.github.io/Logging_0581/knärot/A 34439-2023 karta knärot.png", "A 34439-2023")</f>
        <v/>
      </c>
      <c r="AA67">
        <f>HYPERLINK("https://klasma.github.io/Logging_0581/klagomål/A 34439-2023 FSC-klagomål.docx", "A 34439-2023")</f>
        <v/>
      </c>
      <c r="AB67">
        <f>HYPERLINK("https://klasma.github.io/Logging_0581/klagomålsmail/A 34439-2023 FSC-klagomål mail.docx", "A 34439-2023")</f>
        <v/>
      </c>
      <c r="AC67">
        <f>HYPERLINK("https://klasma.github.io/Logging_0581/tillsyn/A 34439-2023 tillsynsbegäran.docx", "A 34439-2023")</f>
        <v/>
      </c>
      <c r="AD67">
        <f>HYPERLINK("https://klasma.github.io/Logging_0581/tillsynsmail/A 34439-2023 tillsynsbegäran mail.docx", "A 34439-2023")</f>
        <v/>
      </c>
    </row>
    <row r="68" ht="15" customHeight="1">
      <c r="A68" t="inlineStr">
        <is>
          <t>A 2484-2026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46307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3</v>
      </c>
      <c r="V68" s="2" t="inlineStr">
        <is>
          <t>Dropptaggsvamp
Dvärgbägarlav
Bronshjon</t>
        </is>
      </c>
      <c r="W68">
        <f>HYPERLINK("https://klasma.github.io/Logging_0581/artfynd/A 2484-2026 artfynd.xlsx", "A 2484-2026")</f>
        <v/>
      </c>
      <c r="X68">
        <f>HYPERLINK("https://klasma.github.io/Logging_0581/kartor/A 2484-2026 karta.png", "A 2484-2026")</f>
        <v/>
      </c>
      <c r="Y68">
        <f>HYPERLINK("https://klasma.github.io/Logging_0581/kartor_geotiff/A 2484-2026 georefererad karta.tif", "A 2484-2026")</f>
        <v/>
      </c>
      <c r="AA68">
        <f>HYPERLINK("https://klasma.github.io/Logging_0581/klagomål/A 2484-2026 FSC-klagomål.docx", "A 2484-2026")</f>
        <v/>
      </c>
      <c r="AB68">
        <f>HYPERLINK("https://klasma.github.io/Logging_0581/klagomålsmail/A 2484-2026 FSC-klagomål mail.docx", "A 2484-2026")</f>
        <v/>
      </c>
      <c r="AC68">
        <f>HYPERLINK("https://klasma.github.io/Logging_0581/tillsyn/A 2484-2026 tillsynsbegäran.docx", "A 2484-2026")</f>
        <v/>
      </c>
      <c r="AD68">
        <f>HYPERLINK("https://klasma.github.io/Logging_0581/tillsynsmail/A 2484-2026 tillsynsbegäran mail.docx", "A 2484-2026")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46307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28766-2026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46198</v>
      </c>
      <c r="E70" s="1" t="n">
        <v>46307</v>
      </c>
      <c r="F70" t="inlineStr">
        <is>
          <t>ÖSTERGÖTLANDS LÄN</t>
        </is>
      </c>
      <c r="G70" t="inlineStr">
        <is>
          <t>NORRKÖPING</t>
        </is>
      </c>
      <c r="I70" t="n">
        <v>4.6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Ljungsnärja
Backtimjan
Granbarkgnagare</t>
        </is>
      </c>
      <c r="W70">
        <f>HYPERLINK("https://klasma.github.io/Logging_0581/artfynd/A 28766-2026 artfynd.xlsx", "A 28766-2026")</f>
        <v/>
      </c>
      <c r="X70">
        <f>HYPERLINK("https://klasma.github.io/Logging_0581/kartor/A 28766-2026 karta.png", "A 28766-2026")</f>
        <v/>
      </c>
      <c r="Y70">
        <f>HYPERLINK("https://klasma.github.io/Logging_0581/kartor_geotiff/A 28766-2026 georefererad karta.tif", "A 28766-2026")</f>
        <v/>
      </c>
      <c r="AA70">
        <f>HYPERLINK("https://klasma.github.io/Logging_0581/klagomål/A 28766-2026 FSC-klagomål.docx", "A 28766-2026")</f>
        <v/>
      </c>
      <c r="AB70">
        <f>HYPERLINK("https://klasma.github.io/Logging_0581/klagomålsmail/A 28766-2026 FSC-klagomål mail.docx", "A 28766-2026")</f>
        <v/>
      </c>
      <c r="AC70">
        <f>HYPERLINK("https://klasma.github.io/Logging_0581/tillsyn/A 28766-2026 tillsynsbegäran.docx", "A 28766-2026")</f>
        <v/>
      </c>
      <c r="AD70">
        <f>HYPERLINK("https://klasma.github.io/Logging_0581/tillsynsmail/A 28766-2026 tillsynsbegäran mail.docx", "A 28766-2026")</f>
        <v/>
      </c>
    </row>
    <row r="71" ht="15" customHeight="1">
      <c r="A71" t="inlineStr">
        <is>
          <t>A 31373-2026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46213</v>
      </c>
      <c r="E71" s="1" t="n">
        <v>46307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6.1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Blåmossa
Spillkråka
Revlummer</t>
        </is>
      </c>
      <c r="W71">
        <f>HYPERLINK("https://klasma.github.io/Logging_0581/artfynd/A 31373-2026 artfynd.xlsx", "A 31373-2026")</f>
        <v/>
      </c>
      <c r="X71">
        <f>HYPERLINK("https://klasma.github.io/Logging_0581/kartor/A 31373-2026 karta.png", "A 31373-2026")</f>
        <v/>
      </c>
      <c r="Y71">
        <f>HYPERLINK("https://klasma.github.io/Logging_0581/kartor_geotiff/A 31373-2026 georefererad karta.tif", "A 31373-2026")</f>
        <v/>
      </c>
      <c r="AA71">
        <f>HYPERLINK("https://klasma.github.io/Logging_0581/klagomål/A 31373-2026 FSC-klagomål.docx", "A 31373-2026")</f>
        <v/>
      </c>
      <c r="AB71">
        <f>HYPERLINK("https://klasma.github.io/Logging_0581/klagomålsmail/A 31373-2026 FSC-klagomål mail.docx", "A 31373-2026")</f>
        <v/>
      </c>
      <c r="AC71">
        <f>HYPERLINK("https://klasma.github.io/Logging_0581/tillsyn/A 31373-2026 tillsynsbegäran.docx", "A 31373-2026")</f>
        <v/>
      </c>
      <c r="AD71">
        <f>HYPERLINK("https://klasma.github.io/Logging_0581/tillsynsmail/A 31373-2026 tillsynsbegäran mail.docx", "A 31373-2026")</f>
        <v/>
      </c>
      <c r="AE71">
        <f>HYPERLINK("https://klasma.github.io/Logging_0581/fåglar/A 31373-2026 prioriterade fågelarter.docx", "A 31373-2026")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46307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46307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46307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17248-2024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46307</v>
      </c>
      <c r="F75" t="inlineStr">
        <is>
          <t>ÖSTERGÖTLANDS LÄN</t>
        </is>
      </c>
      <c r="G75" t="inlineStr">
        <is>
          <t>NORRKÖPING</t>
        </is>
      </c>
      <c r="I75" t="n">
        <v>2.6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Tallticka
Vedticka</t>
        </is>
      </c>
      <c r="W75">
        <f>HYPERLINK("https://klasma.github.io/Logging_0581/artfynd/A 17248-2024 artfynd.xlsx", "A 17248-2024")</f>
        <v/>
      </c>
      <c r="X75">
        <f>HYPERLINK("https://klasma.github.io/Logging_0581/kartor/A 17248-2024 karta.png", "A 17248-2024")</f>
        <v/>
      </c>
      <c r="Y75">
        <f>HYPERLINK("https://klasma.github.io/Logging_0581/kartor_geotiff/A 17248-2024 georefererad karta.tif", "A 17248-2024")</f>
        <v/>
      </c>
      <c r="AA75">
        <f>HYPERLINK("https://klasma.github.io/Logging_0581/klagomål/A 17248-2024 FSC-klagomål.docx", "A 17248-2024")</f>
        <v/>
      </c>
      <c r="AB75">
        <f>HYPERLINK("https://klasma.github.io/Logging_0581/klagomålsmail/A 17248-2024 FSC-klagomål mail.docx", "A 17248-2024")</f>
        <v/>
      </c>
      <c r="AC75">
        <f>HYPERLINK("https://klasma.github.io/Logging_0581/tillsyn/A 17248-2024 tillsynsbegäran.docx", "A 17248-2024")</f>
        <v/>
      </c>
      <c r="AD75">
        <f>HYPERLINK("https://klasma.github.io/Logging_0581/tillsynsmail/A 17248-2024 tillsynsbegäran mail.docx", "A 17248-2024")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46307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33659-2022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46307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3.4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Sotlav</t>
        </is>
      </c>
      <c r="W77">
        <f>HYPERLINK("https://klasma.github.io/Logging_0581/artfynd/A 33659-2022 artfynd.xlsx", "A 33659-2022")</f>
        <v/>
      </c>
      <c r="X77">
        <f>HYPERLINK("https://klasma.github.io/Logging_0581/kartor/A 33659-2022 karta.png", "A 33659-2022")</f>
        <v/>
      </c>
      <c r="Y77">
        <f>HYPERLINK("https://klasma.github.io/Logging_0581/kartor_geotiff/A 33659-2022 georefererad karta.tif", "A 33659-2022")</f>
        <v/>
      </c>
      <c r="AA77">
        <f>HYPERLINK("https://klasma.github.io/Logging_0581/klagomål/A 33659-2022 FSC-klagomål.docx", "A 33659-2022")</f>
        <v/>
      </c>
      <c r="AB77">
        <f>HYPERLINK("https://klasma.github.io/Logging_0581/klagomålsmail/A 33659-2022 FSC-klagomål mail.docx", "A 33659-2022")</f>
        <v/>
      </c>
      <c r="AC77">
        <f>HYPERLINK("https://klasma.github.io/Logging_0581/tillsyn/A 33659-2022 tillsynsbegäran.docx", "A 33659-2022")</f>
        <v/>
      </c>
      <c r="AD77">
        <f>HYPERLINK("https://klasma.github.io/Logging_0581/tillsynsmail/A 33659-2022 tillsynsbegäran mail.docx", "A 33659-2022")</f>
        <v/>
      </c>
    </row>
    <row r="78" ht="15" customHeight="1">
      <c r="A78" t="inlineStr">
        <is>
          <t>A 55022-2022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46307</v>
      </c>
      <c r="F78" t="inlineStr">
        <is>
          <t>ÖSTERGÖTLANDS LÄN</t>
        </is>
      </c>
      <c r="G78" t="inlineStr">
        <is>
          <t>NORRKÖPING</t>
        </is>
      </c>
      <c r="I78" t="n">
        <v>1.4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Tallfingersvamp
Purpurknipprot</t>
        </is>
      </c>
      <c r="W78">
        <f>HYPERLINK("https://klasma.github.io/Logging_0581/artfynd/A 55022-2022 artfynd.xlsx", "A 55022-2022")</f>
        <v/>
      </c>
      <c r="X78">
        <f>HYPERLINK("https://klasma.github.io/Logging_0581/kartor/A 55022-2022 karta.png", "A 55022-2022")</f>
        <v/>
      </c>
      <c r="Y78">
        <f>HYPERLINK("https://klasma.github.io/Logging_0581/kartor_geotiff/A 55022-2022 georefererad karta.tif", "A 55022-2022")</f>
        <v/>
      </c>
      <c r="AA78">
        <f>HYPERLINK("https://klasma.github.io/Logging_0581/klagomål/A 55022-2022 FSC-klagomål.docx", "A 55022-2022")</f>
        <v/>
      </c>
      <c r="AB78">
        <f>HYPERLINK("https://klasma.github.io/Logging_0581/klagomålsmail/A 55022-2022 FSC-klagomål mail.docx", "A 55022-2022")</f>
        <v/>
      </c>
      <c r="AC78">
        <f>HYPERLINK("https://klasma.github.io/Logging_0581/tillsyn/A 55022-2022 tillsynsbegäran.docx", "A 55022-2022")</f>
        <v/>
      </c>
      <c r="AD78">
        <f>HYPERLINK("https://klasma.github.io/Logging_0581/tillsynsmail/A 55022-2022 tillsynsbegäran mail.docx", "A 55022-2022")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46307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18682-2025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46307</v>
      </c>
      <c r="F80" t="inlineStr">
        <is>
          <t>ÖSTERGÖTLANDS LÄN</t>
        </is>
      </c>
      <c r="G80" t="inlineStr">
        <is>
          <t>NORRKÖPING</t>
        </is>
      </c>
      <c r="I80" t="n">
        <v>8.1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Jungfrulin
Blåmossa</t>
        </is>
      </c>
      <c r="W80">
        <f>HYPERLINK("https://klasma.github.io/Logging_0581/artfynd/A 18682-2025 artfynd.xlsx", "A 18682-2025")</f>
        <v/>
      </c>
      <c r="X80">
        <f>HYPERLINK("https://klasma.github.io/Logging_0581/kartor/A 18682-2025 karta.png", "A 18682-2025")</f>
        <v/>
      </c>
      <c r="Y80">
        <f>HYPERLINK("https://klasma.github.io/Logging_0581/kartor_geotiff/A 18682-2025 georefererad karta.tif", "A 18682-2025")</f>
        <v/>
      </c>
      <c r="AA80">
        <f>HYPERLINK("https://klasma.github.io/Logging_0581/klagomål/A 18682-2025 FSC-klagomål.docx", "A 18682-2025")</f>
        <v/>
      </c>
      <c r="AB80">
        <f>HYPERLINK("https://klasma.github.io/Logging_0581/klagomålsmail/A 18682-2025 FSC-klagomål mail.docx", "A 18682-2025")</f>
        <v/>
      </c>
      <c r="AC80">
        <f>HYPERLINK("https://klasma.github.io/Logging_0581/tillsyn/A 18682-2025 tillsynsbegäran.docx", "A 18682-2025")</f>
        <v/>
      </c>
      <c r="AD80">
        <f>HYPERLINK("https://klasma.github.io/Logging_0581/tillsynsmail/A 18682-2025 tillsynsbegäran mail.docx", "A 18682-2025")</f>
        <v/>
      </c>
    </row>
    <row r="81" ht="15" customHeight="1">
      <c r="A81" t="inlineStr">
        <is>
          <t>A 21799-2025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45783</v>
      </c>
      <c r="E81" s="1" t="n">
        <v>46307</v>
      </c>
      <c r="F81" t="inlineStr">
        <is>
          <t>ÖSTERGÖTLANDS LÄN</t>
        </is>
      </c>
      <c r="G81" t="inlineStr">
        <is>
          <t>NORRKÖPING</t>
        </is>
      </c>
      <c r="I81" t="n">
        <v>3.5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Blåmossa
Revlummer</t>
        </is>
      </c>
      <c r="W81">
        <f>HYPERLINK("https://klasma.github.io/Logging_0581/artfynd/A 21799-2025 artfynd.xlsx", "A 21799-2025")</f>
        <v/>
      </c>
      <c r="X81">
        <f>HYPERLINK("https://klasma.github.io/Logging_0581/kartor/A 21799-2025 karta.png", "A 21799-2025")</f>
        <v/>
      </c>
      <c r="Y81">
        <f>HYPERLINK("https://klasma.github.io/Logging_0581/kartor_geotiff/A 21799-2025 georefererad karta.tif", "A 21799-2025")</f>
        <v/>
      </c>
      <c r="AA81">
        <f>HYPERLINK("https://klasma.github.io/Logging_0581/klagomål/A 21799-2025 FSC-klagomål.docx", "A 21799-2025")</f>
        <v/>
      </c>
      <c r="AB81">
        <f>HYPERLINK("https://klasma.github.io/Logging_0581/klagomålsmail/A 21799-2025 FSC-klagomål mail.docx", "A 21799-2025")</f>
        <v/>
      </c>
      <c r="AC81">
        <f>HYPERLINK("https://klasma.github.io/Logging_0581/tillsyn/A 21799-2025 tillsynsbegäran.docx", "A 21799-2025")</f>
        <v/>
      </c>
      <c r="AD81">
        <f>HYPERLINK("https://klasma.github.io/Logging_0581/tillsynsmail/A 21799-2025 tillsynsbegäran mail.docx", "A 21799-2025")</f>
        <v/>
      </c>
    </row>
    <row r="82" ht="15" customHeight="1">
      <c r="A82" t="inlineStr">
        <is>
          <t>A 46955-2023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46307</v>
      </c>
      <c r="F82" t="inlineStr">
        <is>
          <t>ÖSTERGÖTLANDS LÄN</t>
        </is>
      </c>
      <c r="G82" t="inlineStr">
        <is>
          <t>NORRKÖPING</t>
        </is>
      </c>
      <c r="I82" t="n">
        <v>4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Sparvuggla</t>
        </is>
      </c>
      <c r="W82">
        <f>HYPERLINK("https://klasma.github.io/Logging_0581/artfynd/A 46955-2023 artfynd.xlsx", "A 46955-2023")</f>
        <v/>
      </c>
      <c r="X82">
        <f>HYPERLINK("https://klasma.github.io/Logging_0581/kartor/A 46955-2023 karta.png", "A 46955-2023")</f>
        <v/>
      </c>
      <c r="Y82">
        <f>HYPERLINK("https://klasma.github.io/Logging_0581/kartor_geotiff/A 46955-2023 georefererad karta.tif", "A 46955-2023")</f>
        <v/>
      </c>
      <c r="AA82">
        <f>HYPERLINK("https://klasma.github.io/Logging_0581/klagomål/A 46955-2023 FSC-klagomål.docx", "A 46955-2023")</f>
        <v/>
      </c>
      <c r="AB82">
        <f>HYPERLINK("https://klasma.github.io/Logging_0581/klagomålsmail/A 46955-2023 FSC-klagomål mail.docx", "A 46955-2023")</f>
        <v/>
      </c>
      <c r="AC82">
        <f>HYPERLINK("https://klasma.github.io/Logging_0581/tillsyn/A 46955-2023 tillsynsbegäran.docx", "A 46955-2023")</f>
        <v/>
      </c>
      <c r="AD82">
        <f>HYPERLINK("https://klasma.github.io/Logging_0581/tillsynsmail/A 46955-2023 tillsynsbegäran mail.docx", "A 46955-2023")</f>
        <v/>
      </c>
      <c r="AE82">
        <f>HYPERLINK("https://klasma.github.io/Logging_0581/fåglar/A 46955-2023 prioriterade fågelarter.docx", "A 46955-2023")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46307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46307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9722-2025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46307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Ask
Blåsippa</t>
        </is>
      </c>
      <c r="W85">
        <f>HYPERLINK("https://klasma.github.io/Logging_0581/artfynd/A 9722-2025 artfynd.xlsx", "A 9722-2025")</f>
        <v/>
      </c>
      <c r="X85">
        <f>HYPERLINK("https://klasma.github.io/Logging_0581/kartor/A 9722-2025 karta.png", "A 9722-2025")</f>
        <v/>
      </c>
      <c r="Y85">
        <f>HYPERLINK("https://klasma.github.io/Logging_0581/kartor_geotiff/A 9722-2025 georefererad karta.tif", "A 9722-2025")</f>
        <v/>
      </c>
      <c r="AA85">
        <f>HYPERLINK("https://klasma.github.io/Logging_0581/klagomål/A 9722-2025 FSC-klagomål.docx", "A 9722-2025")</f>
        <v/>
      </c>
      <c r="AB85">
        <f>HYPERLINK("https://klasma.github.io/Logging_0581/klagomålsmail/A 9722-2025 FSC-klagomål mail.docx", "A 9722-2025")</f>
        <v/>
      </c>
      <c r="AC85">
        <f>HYPERLINK("https://klasma.github.io/Logging_0581/tillsyn/A 9722-2025 tillsynsbegäran.docx", "A 9722-2025")</f>
        <v/>
      </c>
      <c r="AD85">
        <f>HYPERLINK("https://klasma.github.io/Logging_0581/tillsynsmail/A 9722-2025 tillsynsbegäran mail.docx", "A 9722-2025")</f>
        <v/>
      </c>
    </row>
    <row r="86" ht="15" customHeight="1">
      <c r="A86" t="inlineStr">
        <is>
          <t>A 42365-2025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46307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Tibast</t>
        </is>
      </c>
      <c r="W86">
        <f>HYPERLINK("https://klasma.github.io/Logging_0581/artfynd/A 42365-2025 artfynd.xlsx", "A 42365-2025")</f>
        <v/>
      </c>
      <c r="X86">
        <f>HYPERLINK("https://klasma.github.io/Logging_0581/kartor/A 42365-2025 karta.png", "A 42365-2025")</f>
        <v/>
      </c>
      <c r="Y86">
        <f>HYPERLINK("https://klasma.github.io/Logging_0581/kartor_geotiff/A 42365-2025 georefererad karta.tif", "A 42365-2025")</f>
        <v/>
      </c>
      <c r="AA86">
        <f>HYPERLINK("https://klasma.github.io/Logging_0581/klagomål/A 42365-2025 FSC-klagomål.docx", "A 42365-2025")</f>
        <v/>
      </c>
      <c r="AB86">
        <f>HYPERLINK("https://klasma.github.io/Logging_0581/klagomålsmail/A 42365-2025 FSC-klagomål mail.docx", "A 42365-2025")</f>
        <v/>
      </c>
      <c r="AC86">
        <f>HYPERLINK("https://klasma.github.io/Logging_0581/tillsyn/A 42365-2025 tillsynsbegäran.docx", "A 42365-2025")</f>
        <v/>
      </c>
      <c r="AD86">
        <f>HYPERLINK("https://klasma.github.io/Logging_0581/tillsynsmail/A 42365-2025 tillsynsbegäran mail.docx", "A 42365-2025")</f>
        <v/>
      </c>
    </row>
    <row r="87" ht="15" customHeight="1">
      <c r="A87" t="inlineStr">
        <is>
          <t>A 11490-2023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46307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Mattlummer
Trädlärka</t>
        </is>
      </c>
      <c r="W87">
        <f>HYPERLINK("https://klasma.github.io/Logging_0581/artfynd/A 11490-2023 artfynd.xlsx", "A 11490-2023")</f>
        <v/>
      </c>
      <c r="X87">
        <f>HYPERLINK("https://klasma.github.io/Logging_0581/kartor/A 11490-2023 karta.png", "A 11490-2023")</f>
        <v/>
      </c>
      <c r="Y87">
        <f>HYPERLINK("https://klasma.github.io/Logging_0581/kartor_geotiff/A 11490-2023 georefererad karta.tif", "A 11490-2023")</f>
        <v/>
      </c>
      <c r="AA87">
        <f>HYPERLINK("https://klasma.github.io/Logging_0581/klagomål/A 11490-2023 FSC-klagomål.docx", "A 11490-2023")</f>
        <v/>
      </c>
      <c r="AB87">
        <f>HYPERLINK("https://klasma.github.io/Logging_0581/klagomålsmail/A 11490-2023 FSC-klagomål mail.docx", "A 11490-2023")</f>
        <v/>
      </c>
      <c r="AC87">
        <f>HYPERLINK("https://klasma.github.io/Logging_0581/tillsyn/A 11490-2023 tillsynsbegäran.docx", "A 11490-2023")</f>
        <v/>
      </c>
      <c r="AD87">
        <f>HYPERLINK("https://klasma.github.io/Logging_0581/tillsynsmail/A 11490-2023 tillsynsbegäran mail.docx", "A 11490-2023")</f>
        <v/>
      </c>
      <c r="AE87">
        <f>HYPERLINK("https://klasma.github.io/Logging_0581/fåglar/A 11490-2023 prioriterade fågelarter.docx", "A 11490-2023")</f>
        <v/>
      </c>
    </row>
    <row r="88" ht="15" customHeight="1">
      <c r="A88" t="inlineStr">
        <is>
          <t>A 10769-2024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46307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10769-2024 artfynd.xlsx", "A 10769-2024")</f>
        <v/>
      </c>
      <c r="X88">
        <f>HYPERLINK("https://klasma.github.io/Logging_0581/kartor/A 10769-2024 karta.png", "A 10769-2024")</f>
        <v/>
      </c>
      <c r="Y88">
        <f>HYPERLINK("https://klasma.github.io/Logging_0581/kartor_geotiff/A 10769-2024 georefererad karta.tif", "A 10769-2024")</f>
        <v/>
      </c>
      <c r="AA88">
        <f>HYPERLINK("https://klasma.github.io/Logging_0581/klagomål/A 10769-2024 FSC-klagomål.docx", "A 10769-2024")</f>
        <v/>
      </c>
      <c r="AB88">
        <f>HYPERLINK("https://klasma.github.io/Logging_0581/klagomålsmail/A 10769-2024 FSC-klagomål mail.docx", "A 10769-2024")</f>
        <v/>
      </c>
      <c r="AC88">
        <f>HYPERLINK("https://klasma.github.io/Logging_0581/tillsyn/A 10769-2024 tillsynsbegäran.docx", "A 10769-2024")</f>
        <v/>
      </c>
      <c r="AD88">
        <f>HYPERLINK("https://klasma.github.io/Logging_0581/tillsynsmail/A 10769-2024 tillsynsbegäran mail.docx", "A 10769-2024")</f>
        <v/>
      </c>
      <c r="AE88">
        <f>HYPERLINK("https://klasma.github.io/Logging_0581/fåglar/A 10769-2024 prioriterade fågelarter.docx", "A 10769-2024")</f>
        <v/>
      </c>
    </row>
    <row r="89" ht="15" customHeight="1">
      <c r="A89" t="inlineStr">
        <is>
          <t>A 9746-2025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46307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1.6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Blåsippa</t>
        </is>
      </c>
      <c r="W89">
        <f>HYPERLINK("https://klasma.github.io/Logging_0581/artfynd/A 9746-2025 artfynd.xlsx", "A 9746-2025")</f>
        <v/>
      </c>
      <c r="X89">
        <f>HYPERLINK("https://klasma.github.io/Logging_0581/kartor/A 9746-2025 karta.png", "A 9746-2025")</f>
        <v/>
      </c>
      <c r="Y89">
        <f>HYPERLINK("https://klasma.github.io/Logging_0581/kartor_geotiff/A 9746-2025 georefererad karta.tif", "A 9746-2025")</f>
        <v/>
      </c>
      <c r="AA89">
        <f>HYPERLINK("https://klasma.github.io/Logging_0581/klagomål/A 9746-2025 FSC-klagomål.docx", "A 9746-2025")</f>
        <v/>
      </c>
      <c r="AB89">
        <f>HYPERLINK("https://klasma.github.io/Logging_0581/klagomålsmail/A 9746-2025 FSC-klagomål mail.docx", "A 9746-2025")</f>
        <v/>
      </c>
      <c r="AC89">
        <f>HYPERLINK("https://klasma.github.io/Logging_0581/tillsyn/A 9746-2025 tillsynsbegäran.docx", "A 9746-2025")</f>
        <v/>
      </c>
      <c r="AD89">
        <f>HYPERLINK("https://klasma.github.io/Logging_0581/tillsynsmail/A 9746-2025 tillsynsbegäran mail.docx", "A 9746-2025")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46307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46307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46307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56971-2025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46307</v>
      </c>
      <c r="F93" t="inlineStr">
        <is>
          <t>ÖSTERGÖTLANDS LÄN</t>
        </is>
      </c>
      <c r="G93" t="inlineStr">
        <is>
          <t>NORRKÖPING</t>
        </is>
      </c>
      <c r="I93" t="n">
        <v>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Tallticka</t>
        </is>
      </c>
      <c r="W93">
        <f>HYPERLINK("https://klasma.github.io/Logging_0581/artfynd/A 56971-2025 artfynd.xlsx", "A 56971-2025")</f>
        <v/>
      </c>
      <c r="X93">
        <f>HYPERLINK("https://klasma.github.io/Logging_0581/kartor/A 56971-2025 karta.png", "A 56971-2025")</f>
        <v/>
      </c>
      <c r="Y93">
        <f>HYPERLINK("https://klasma.github.io/Logging_0581/kartor_geotiff/A 56971-2025 georefererad karta.tif", "A 56971-2025")</f>
        <v/>
      </c>
      <c r="Z93">
        <f>HYPERLINK("https://klasma.github.io/Logging_0581/knärot/A 56971-2025 karta knärot.png", "A 56971-2025")</f>
        <v/>
      </c>
      <c r="AA93">
        <f>HYPERLINK("https://klasma.github.io/Logging_0581/klagomål/A 56971-2025 FSC-klagomål.docx", "A 56971-2025")</f>
        <v/>
      </c>
      <c r="AB93">
        <f>HYPERLINK("https://klasma.github.io/Logging_0581/klagomålsmail/A 56971-2025 FSC-klagomål mail.docx", "A 56971-2025")</f>
        <v/>
      </c>
      <c r="AC93">
        <f>HYPERLINK("https://klasma.github.io/Logging_0581/tillsyn/A 56971-2025 tillsynsbegäran.docx", "A 56971-2025")</f>
        <v/>
      </c>
      <c r="AD93">
        <f>HYPERLINK("https://klasma.github.io/Logging_0581/tillsynsmail/A 56971-2025 tillsynsbegäran mail.docx", "A 56971-2025")</f>
        <v/>
      </c>
    </row>
    <row r="94" ht="15" customHeight="1">
      <c r="A94" t="inlineStr">
        <is>
          <t>A 53852-2022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44880</v>
      </c>
      <c r="E94" s="1" t="n">
        <v>46307</v>
      </c>
      <c r="F94" t="inlineStr">
        <is>
          <t>ÖSTERGÖTLANDS LÄN</t>
        </is>
      </c>
      <c r="G94" t="inlineStr">
        <is>
          <t>NORRKÖPING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Tibast
Blåsippa</t>
        </is>
      </c>
      <c r="W94">
        <f>HYPERLINK("https://klasma.github.io/Logging_0581/artfynd/A 53852-2022 artfynd.xlsx", "A 53852-2022")</f>
        <v/>
      </c>
      <c r="X94">
        <f>HYPERLINK("https://klasma.github.io/Logging_0581/kartor/A 53852-2022 karta.png", "A 53852-2022")</f>
        <v/>
      </c>
      <c r="Y94">
        <f>HYPERLINK("https://klasma.github.io/Logging_0581/kartor_geotiff/A 53852-2022 georefererad karta.tif", "A 53852-2022")</f>
        <v/>
      </c>
      <c r="AA94">
        <f>HYPERLINK("https://klasma.github.io/Logging_0581/klagomål/A 53852-2022 FSC-klagomål.docx", "A 53852-2022")</f>
        <v/>
      </c>
      <c r="AB94">
        <f>HYPERLINK("https://klasma.github.io/Logging_0581/klagomålsmail/A 53852-2022 FSC-klagomål mail.docx", "A 53852-2022")</f>
        <v/>
      </c>
      <c r="AC94">
        <f>HYPERLINK("https://klasma.github.io/Logging_0581/tillsyn/A 53852-2022 tillsynsbegäran.docx", "A 53852-2022")</f>
        <v/>
      </c>
      <c r="AD94">
        <f>HYPERLINK("https://klasma.github.io/Logging_0581/tillsynsmail/A 53852-2022 tillsynsbegäran mail.docx", "A 53852-2022")</f>
        <v/>
      </c>
    </row>
    <row r="95" ht="15" customHeight="1">
      <c r="A95" t="inlineStr">
        <is>
          <t>A 14636-2025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46307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17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Tjäder</t>
        </is>
      </c>
      <c r="W95">
        <f>HYPERLINK("https://klasma.github.io/Logging_0581/artfynd/A 14636-2025 artfynd.xlsx", "A 14636-2025")</f>
        <v/>
      </c>
      <c r="X95">
        <f>HYPERLINK("https://klasma.github.io/Logging_0581/kartor/A 14636-2025 karta.png", "A 14636-2025")</f>
        <v/>
      </c>
      <c r="Y95">
        <f>HYPERLINK("https://klasma.github.io/Logging_0581/kartor_geotiff/A 14636-2025 georefererad karta.tif", "A 14636-2025")</f>
        <v/>
      </c>
      <c r="AA95">
        <f>HYPERLINK("https://klasma.github.io/Logging_0581/klagomål/A 14636-2025 FSC-klagomål.docx", "A 14636-2025")</f>
        <v/>
      </c>
      <c r="AB95">
        <f>HYPERLINK("https://klasma.github.io/Logging_0581/klagomålsmail/A 14636-2025 FSC-klagomål mail.docx", "A 14636-2025")</f>
        <v/>
      </c>
      <c r="AC95">
        <f>HYPERLINK("https://klasma.github.io/Logging_0581/tillsyn/A 14636-2025 tillsynsbegäran.docx", "A 14636-2025")</f>
        <v/>
      </c>
      <c r="AD95">
        <f>HYPERLINK("https://klasma.github.io/Logging_0581/tillsynsmail/A 14636-2025 tillsynsbegäran mail.docx", "A 14636-2025")</f>
        <v/>
      </c>
      <c r="AE95">
        <f>HYPERLINK("https://klasma.github.io/Logging_0581/fåglar/A 14636-2025 prioriterade fågelarter.docx", "A 14636-2025")</f>
        <v/>
      </c>
    </row>
    <row r="96" ht="15" customHeight="1">
      <c r="A96" t="inlineStr">
        <is>
          <t>A 17793-2025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46307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6.7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Huggorm</t>
        </is>
      </c>
      <c r="W96">
        <f>HYPERLINK("https://klasma.github.io/Logging_0581/artfynd/A 17793-2025 artfynd.xlsx", "A 17793-2025")</f>
        <v/>
      </c>
      <c r="X96">
        <f>HYPERLINK("https://klasma.github.io/Logging_0581/kartor/A 17793-2025 karta.png", "A 17793-2025")</f>
        <v/>
      </c>
      <c r="Y96">
        <f>HYPERLINK("https://klasma.github.io/Logging_0581/kartor_geotiff/A 17793-2025 georefererad karta.tif", "A 17793-2025")</f>
        <v/>
      </c>
      <c r="AA96">
        <f>HYPERLINK("https://klasma.github.io/Logging_0581/klagomål/A 17793-2025 FSC-klagomål.docx", "A 17793-2025")</f>
        <v/>
      </c>
      <c r="AB96">
        <f>HYPERLINK("https://klasma.github.io/Logging_0581/klagomålsmail/A 17793-2025 FSC-klagomål mail.docx", "A 17793-2025")</f>
        <v/>
      </c>
      <c r="AC96">
        <f>HYPERLINK("https://klasma.github.io/Logging_0581/tillsyn/A 17793-2025 tillsynsbegäran.docx", "A 17793-2025")</f>
        <v/>
      </c>
      <c r="AD96">
        <f>HYPERLINK("https://klasma.github.io/Logging_0581/tillsynsmail/A 17793-2025 tillsynsbegäran mail.docx", "A 17793-2025")</f>
        <v/>
      </c>
    </row>
    <row r="97" ht="15" customHeight="1">
      <c r="A97" t="inlineStr">
        <is>
          <t>A 58380-2025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46307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10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Knärot
Tallticka</t>
        </is>
      </c>
      <c r="W97">
        <f>HYPERLINK("https://klasma.github.io/Logging_0581/artfynd/A 58380-2025 artfynd.xlsx", "A 58380-2025")</f>
        <v/>
      </c>
      <c r="X97">
        <f>HYPERLINK("https://klasma.github.io/Logging_0581/kartor/A 58380-2025 karta.png", "A 58380-2025")</f>
        <v/>
      </c>
      <c r="Y97">
        <f>HYPERLINK("https://klasma.github.io/Logging_0581/kartor_geotiff/A 58380-2025 georefererad karta.tif", "A 58380-2025")</f>
        <v/>
      </c>
      <c r="Z97">
        <f>HYPERLINK("https://klasma.github.io/Logging_0581/knärot/A 58380-2025 karta knärot.png", "A 58380-2025")</f>
        <v/>
      </c>
      <c r="AA97">
        <f>HYPERLINK("https://klasma.github.io/Logging_0581/klagomål/A 58380-2025 FSC-klagomål.docx", "A 58380-2025")</f>
        <v/>
      </c>
      <c r="AB97">
        <f>HYPERLINK("https://klasma.github.io/Logging_0581/klagomålsmail/A 58380-2025 FSC-klagomål mail.docx", "A 58380-2025")</f>
        <v/>
      </c>
      <c r="AC97">
        <f>HYPERLINK("https://klasma.github.io/Logging_0581/tillsyn/A 58380-2025 tillsynsbegäran.docx", "A 58380-2025")</f>
        <v/>
      </c>
      <c r="AD97">
        <f>HYPERLINK("https://klasma.github.io/Logging_0581/tillsynsmail/A 58380-2025 tillsynsbegäran mail.docx", "A 58380-2025")</f>
        <v/>
      </c>
    </row>
    <row r="98" ht="15" customHeight="1">
      <c r="A98" t="inlineStr">
        <is>
          <t>A 46692-2024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46307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Dvärgbägarlav
Flagellkvastmossa</t>
        </is>
      </c>
      <c r="W98">
        <f>HYPERLINK("https://klasma.github.io/Logging_0581/artfynd/A 46692-2024 artfynd.xlsx", "A 46692-2024")</f>
        <v/>
      </c>
      <c r="X98">
        <f>HYPERLINK("https://klasma.github.io/Logging_0581/kartor/A 46692-2024 karta.png", "A 46692-2024")</f>
        <v/>
      </c>
      <c r="Y98">
        <f>HYPERLINK("https://klasma.github.io/Logging_0581/kartor_geotiff/A 46692-2024 georefererad karta.tif", "A 46692-2024")</f>
        <v/>
      </c>
      <c r="AA98">
        <f>HYPERLINK("https://klasma.github.io/Logging_0581/klagomål/A 46692-2024 FSC-klagomål.docx", "A 46692-2024")</f>
        <v/>
      </c>
      <c r="AB98">
        <f>HYPERLINK("https://klasma.github.io/Logging_0581/klagomålsmail/A 46692-2024 FSC-klagomål mail.docx", "A 46692-2024")</f>
        <v/>
      </c>
      <c r="AC98">
        <f>HYPERLINK("https://klasma.github.io/Logging_0581/tillsyn/A 46692-2024 tillsynsbegäran.docx", "A 46692-2024")</f>
        <v/>
      </c>
      <c r="AD98">
        <f>HYPERLINK("https://klasma.github.io/Logging_0581/tillsynsmail/A 46692-2024 tillsynsbegäran mail.docx", "A 46692-2024")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Bårdlav
Havsörn</t>
        </is>
      </c>
      <c r="W99">
        <f>HYPERLINK("https://klasma.github.io/Logging_0581/artfynd/A 4826-2023 artfynd.xlsx", "A 4826-2023")</f>
        <v/>
      </c>
      <c r="X99">
        <f>HYPERLINK("https://klasma.github.io/Logging_0581/kartor/A 4826-2023 karta.png", "A 4826-2023")</f>
        <v/>
      </c>
      <c r="Y99">
        <f>HYPERLINK("https://klasma.github.io/Logging_0581/kartor_geotiff/A 4826-2023 georefererad karta.tif", "A 4826-2023")</f>
        <v/>
      </c>
      <c r="AA99">
        <f>HYPERLINK("https://klasma.github.io/Logging_0581/klagomål/A 4826-2023 FSC-klagomål.docx", "A 4826-2023")</f>
        <v/>
      </c>
      <c r="AB99">
        <f>HYPERLINK("https://klasma.github.io/Logging_0581/klagomålsmail/A 4826-2023 FSC-klagomål mail.docx", "A 4826-2023")</f>
        <v/>
      </c>
      <c r="AC99">
        <f>HYPERLINK("https://klasma.github.io/Logging_0581/tillsyn/A 4826-2023 tillsynsbegäran.docx", "A 4826-2023")</f>
        <v/>
      </c>
      <c r="AD99">
        <f>HYPERLINK("https://klasma.github.io/Logging_0581/tillsynsmail/A 4826-2023 tillsynsbegäran mail.docx", "A 4826-2023")</f>
        <v/>
      </c>
      <c r="AE99">
        <f>HYPERLINK("https://klasma.github.io/Logging_0581/fåglar/A 4826-2023 prioriterade fågelarter.docx", "A 4826-2023")</f>
        <v/>
      </c>
    </row>
    <row r="100" ht="15" customHeight="1">
      <c r="A100" t="inlineStr">
        <is>
          <t>A 20377-2023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46307</v>
      </c>
      <c r="F100" t="inlineStr">
        <is>
          <t>ÖSTERGÖTLANDS LÄN</t>
        </is>
      </c>
      <c r="G100" t="inlineStr">
        <is>
          <t>NORRKÖPING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Tallticka
Kungsfågel</t>
        </is>
      </c>
      <c r="W100">
        <f>HYPERLINK("https://klasma.github.io/Logging_0581/artfynd/A 20377-2023 artfynd.xlsx", "A 20377-2023")</f>
        <v/>
      </c>
      <c r="X100">
        <f>HYPERLINK("https://klasma.github.io/Logging_0581/kartor/A 20377-2023 karta.png", "A 20377-2023")</f>
        <v/>
      </c>
      <c r="Y100">
        <f>HYPERLINK("https://klasma.github.io/Logging_0581/kartor_geotiff/A 20377-2023 georefererad karta.tif", "A 20377-2023")</f>
        <v/>
      </c>
      <c r="AA100">
        <f>HYPERLINK("https://klasma.github.io/Logging_0581/klagomål/A 20377-2023 FSC-klagomål.docx", "A 20377-2023")</f>
        <v/>
      </c>
      <c r="AB100">
        <f>HYPERLINK("https://klasma.github.io/Logging_0581/klagomålsmail/A 20377-2023 FSC-klagomål mail.docx", "A 20377-2023")</f>
        <v/>
      </c>
      <c r="AC100">
        <f>HYPERLINK("https://klasma.github.io/Logging_0581/tillsyn/A 20377-2023 tillsynsbegäran.docx", "A 20377-2023")</f>
        <v/>
      </c>
      <c r="AD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25291-2023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46307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Slåtterfibbla
Svartvit flugsnappare</t>
        </is>
      </c>
      <c r="W101">
        <f>HYPERLINK("https://klasma.github.io/Logging_0581/artfynd/A 25291-2023 artfynd.xlsx", "A 25291-2023")</f>
        <v/>
      </c>
      <c r="X101">
        <f>HYPERLINK("https://klasma.github.io/Logging_0581/kartor/A 25291-2023 karta.png", "A 25291-2023")</f>
        <v/>
      </c>
      <c r="Y101">
        <f>HYPERLINK("https://klasma.github.io/Logging_0581/kartor_geotiff/A 25291-2023 georefererad karta.tif", "A 25291-2023")</f>
        <v/>
      </c>
      <c r="AA101">
        <f>HYPERLINK("https://klasma.github.io/Logging_0581/klagomål/A 25291-2023 FSC-klagomål.docx", "A 25291-2023")</f>
        <v/>
      </c>
      <c r="AB101">
        <f>HYPERLINK("https://klasma.github.io/Logging_0581/klagomålsmail/A 25291-2023 FSC-klagomål mail.docx", "A 25291-2023")</f>
        <v/>
      </c>
      <c r="AC101">
        <f>HYPERLINK("https://klasma.github.io/Logging_0581/tillsyn/A 25291-2023 tillsynsbegäran.docx", "A 25291-2023")</f>
        <v/>
      </c>
      <c r="AD101">
        <f>HYPERLINK("https://klasma.github.io/Logging_0581/tillsynsmail/A 25291-2023 tillsynsbegäran mail.docx", "A 25291-2023")</f>
        <v/>
      </c>
    </row>
    <row r="102" ht="15" customHeight="1">
      <c r="A102" t="inlineStr">
        <is>
          <t>A 8987-2023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46307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Allmännings- och besparingsskogar</t>
        </is>
      </c>
      <c r="I102" t="n">
        <v>0.5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Grovticka</t>
        </is>
      </c>
      <c r="W102">
        <f>HYPERLINK("https://klasma.github.io/Logging_0581/artfynd/A 8987-2023 artfynd.xlsx", "A 8987-2023")</f>
        <v/>
      </c>
      <c r="X102">
        <f>HYPERLINK("https://klasma.github.io/Logging_0581/kartor/A 8987-2023 karta.png", "A 8987-2023")</f>
        <v/>
      </c>
      <c r="Y102">
        <f>HYPERLINK("https://klasma.github.io/Logging_0581/kartor_geotiff/A 8987-2023 georefererad karta.tif", "A 8987-2023")</f>
        <v/>
      </c>
      <c r="AA102">
        <f>HYPERLINK("https://klasma.github.io/Logging_0581/klagomål/A 8987-2023 FSC-klagomål.docx", "A 8987-2023")</f>
        <v/>
      </c>
      <c r="AB102">
        <f>HYPERLINK("https://klasma.github.io/Logging_0581/klagomålsmail/A 8987-2023 FSC-klagomål mail.docx", "A 8987-2023")</f>
        <v/>
      </c>
      <c r="AC102">
        <f>HYPERLINK("https://klasma.github.io/Logging_0581/tillsyn/A 8987-2023 tillsynsbegäran.docx", "A 8987-2023")</f>
        <v/>
      </c>
      <c r="AD102">
        <f>HYPERLINK("https://klasma.github.io/Logging_0581/tillsynsmail/A 8987-2023 tillsynsbegäran mail.docx", "A 8987-2023")</f>
        <v/>
      </c>
    </row>
    <row r="103" ht="15" customHeight="1">
      <c r="A103" t="inlineStr">
        <is>
          <t>A 10553-2025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46307</v>
      </c>
      <c r="F103" t="inlineStr">
        <is>
          <t>ÖSTERGÖTLANDS LÄN</t>
        </is>
      </c>
      <c r="G103" t="inlineStr">
        <is>
          <t>NORRKÖPING</t>
        </is>
      </c>
      <c r="I103" t="n">
        <v>2.2</v>
      </c>
      <c r="J103" t="n">
        <v>2</v>
      </c>
      <c r="K103" t="n">
        <v>0</v>
      </c>
      <c r="L103" t="n">
        <v>1</v>
      </c>
      <c r="M103" t="n">
        <v>0</v>
      </c>
      <c r="N103" t="n">
        <v>1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Ejder
Rosenfink</t>
        </is>
      </c>
      <c r="W103">
        <f>HYPERLINK("https://klasma.github.io/Logging_0581/artfynd/A 10553-2025 artfynd.xlsx", "A 10553-2025")</f>
        <v/>
      </c>
      <c r="X103">
        <f>HYPERLINK("https://klasma.github.io/Logging_0581/kartor/A 10553-2025 karta.png", "A 10553-2025")</f>
        <v/>
      </c>
      <c r="Y103">
        <f>HYPERLINK("https://klasma.github.io/Logging_0581/kartor_geotiff/A 10553-2025 georefererad karta.tif", "A 10553-2025")</f>
        <v/>
      </c>
      <c r="AA103">
        <f>HYPERLINK("https://klasma.github.io/Logging_0581/klagomål/A 10553-2025 FSC-klagomål.docx", "A 10553-2025")</f>
        <v/>
      </c>
      <c r="AB103">
        <f>HYPERLINK("https://klasma.github.io/Logging_0581/klagomålsmail/A 10553-2025 FSC-klagomål mail.docx", "A 10553-2025")</f>
        <v/>
      </c>
      <c r="AC103">
        <f>HYPERLINK("https://klasma.github.io/Logging_0581/tillsyn/A 10553-2025 tillsynsbegäran.docx", "A 10553-2025")</f>
        <v/>
      </c>
      <c r="AD103">
        <f>HYPERLINK("https://klasma.github.io/Logging_0581/tillsynsmail/A 10553-2025 tillsynsbegäran mail.docx", "A 10553-2025")</f>
        <v/>
      </c>
      <c r="AE103">
        <f>HYPERLINK("https://klasma.github.io/Logging_0581/fåglar/A 10553-2025 prioriterade fågelarter.docx", "A 10553-2025")</f>
        <v/>
      </c>
    </row>
    <row r="104" ht="15" customHeight="1">
      <c r="A104" t="inlineStr">
        <is>
          <t>A 12188-2026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46307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7.8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Blomkålssvamp
Korallrot</t>
        </is>
      </c>
      <c r="W104">
        <f>HYPERLINK("https://klasma.github.io/Logging_0581/artfynd/A 12188-2026 artfynd.xlsx", "A 12188-2026")</f>
        <v/>
      </c>
      <c r="X104">
        <f>HYPERLINK("https://klasma.github.io/Logging_0581/kartor/A 12188-2026 karta.png", "A 12188-2026")</f>
        <v/>
      </c>
      <c r="Y104">
        <f>HYPERLINK("https://klasma.github.io/Logging_0581/kartor_geotiff/A 12188-2026 georefererad karta.tif", "A 12188-2026")</f>
        <v/>
      </c>
      <c r="AA104">
        <f>HYPERLINK("https://klasma.github.io/Logging_0581/klagomål/A 12188-2026 FSC-klagomål.docx", "A 12188-2026")</f>
        <v/>
      </c>
      <c r="AB104">
        <f>HYPERLINK("https://klasma.github.io/Logging_0581/klagomålsmail/A 12188-2026 FSC-klagomål mail.docx", "A 12188-2026")</f>
        <v/>
      </c>
      <c r="AC104">
        <f>HYPERLINK("https://klasma.github.io/Logging_0581/tillsyn/A 12188-2026 tillsynsbegäran.docx", "A 12188-2026")</f>
        <v/>
      </c>
      <c r="AD104">
        <f>HYPERLINK("https://klasma.github.io/Logging_0581/tillsynsmail/A 12188-2026 tillsynsbegäran mail.docx", "A 12188-2026")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46307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46307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28895-2026 artfynd.xlsx", "A 28895-2026")</f>
        <v/>
      </c>
      <c r="X106">
        <f>HYPERLINK("https://klasma.github.io/Logging_0581/kartor/A 28895-2026 karta.png", "A 28895-2026")</f>
        <v/>
      </c>
      <c r="Y106">
        <f>HYPERLINK("https://klasma.github.io/Logging_0581/kartor_geotiff/A 28895-2026 georefererad karta.tif", "A 28895-2026")</f>
        <v/>
      </c>
      <c r="AA106">
        <f>HYPERLINK("https://klasma.github.io/Logging_0581/klagomål/A 28895-2026 FSC-klagomål.docx", "A 28895-2026")</f>
        <v/>
      </c>
      <c r="AB106">
        <f>HYPERLINK("https://klasma.github.io/Logging_0581/klagomålsmail/A 28895-2026 FSC-klagomål mail.docx", "A 28895-2026")</f>
        <v/>
      </c>
      <c r="AC106">
        <f>HYPERLINK("https://klasma.github.io/Logging_0581/tillsyn/A 28895-2026 tillsynsbegäran.docx", "A 28895-2026")</f>
        <v/>
      </c>
      <c r="AD106">
        <f>HYPERLINK("https://klasma.github.io/Logging_0581/tillsynsmail/A 28895-2026 tillsynsbegäran mail.docx", "A 28895-2026")</f>
        <v/>
      </c>
    </row>
    <row r="107" ht="15" customHeight="1">
      <c r="A107" t="inlineStr">
        <is>
          <t>A 28893-2026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46307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28893-2026 artfynd.xlsx", "A 28893-2026")</f>
        <v/>
      </c>
      <c r="X107">
        <f>HYPERLINK("https://klasma.github.io/Logging_0581/kartor/A 28893-2026 karta.png", "A 28893-2026")</f>
        <v/>
      </c>
      <c r="Y107">
        <f>HYPERLINK("https://klasma.github.io/Logging_0581/kartor_geotiff/A 28893-2026 georefererad karta.tif", "A 28893-2026")</f>
        <v/>
      </c>
      <c r="AA107">
        <f>HYPERLINK("https://klasma.github.io/Logging_0581/klagomål/A 28893-2026 FSC-klagomål.docx", "A 28893-2026")</f>
        <v/>
      </c>
      <c r="AB107">
        <f>HYPERLINK("https://klasma.github.io/Logging_0581/klagomålsmail/A 28893-2026 FSC-klagomål mail.docx", "A 28893-2026")</f>
        <v/>
      </c>
      <c r="AC107">
        <f>HYPERLINK("https://klasma.github.io/Logging_0581/tillsyn/A 28893-2026 tillsynsbegäran.docx", "A 28893-2026")</f>
        <v/>
      </c>
      <c r="AD107">
        <f>HYPERLINK("https://klasma.github.io/Logging_0581/tillsynsmail/A 28893-2026 tillsynsbegäran mail.docx", "A 28893-2026")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46307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46307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46307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46307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32078-2026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46233</v>
      </c>
      <c r="E112" s="1" t="n">
        <v>46307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1.8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Grönpyrola
Mindre märgborre</t>
        </is>
      </c>
      <c r="W112">
        <f>HYPERLINK("https://klasma.github.io/Logging_0581/artfynd/A 32078-2026 artfynd.xlsx", "A 32078-2026")</f>
        <v/>
      </c>
      <c r="X112">
        <f>HYPERLINK("https://klasma.github.io/Logging_0581/kartor/A 32078-2026 karta.png", "A 32078-2026")</f>
        <v/>
      </c>
      <c r="Y112">
        <f>HYPERLINK("https://klasma.github.io/Logging_0581/kartor_geotiff/A 32078-2026 georefererad karta.tif", "A 32078-2026")</f>
        <v/>
      </c>
      <c r="AA112">
        <f>HYPERLINK("https://klasma.github.io/Logging_0581/klagomål/A 32078-2026 FSC-klagomål.docx", "A 32078-2026")</f>
        <v/>
      </c>
      <c r="AB112">
        <f>HYPERLINK("https://klasma.github.io/Logging_0581/klagomålsmail/A 32078-2026 FSC-klagomål mail.docx", "A 32078-2026")</f>
        <v/>
      </c>
      <c r="AC112">
        <f>HYPERLINK("https://klasma.github.io/Logging_0581/tillsyn/A 32078-2026 tillsynsbegäran.docx", "A 32078-2026")</f>
        <v/>
      </c>
      <c r="AD112">
        <f>HYPERLINK("https://klasma.github.io/Logging_0581/tillsynsmail/A 32078-2026 tillsynsbegäran mail.docx", "A 32078-2026")</f>
        <v/>
      </c>
    </row>
    <row r="113" ht="15" customHeight="1">
      <c r="A113" t="inlineStr">
        <is>
          <t>A 32077-2026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46233</v>
      </c>
      <c r="E113" s="1" t="n">
        <v>46307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3.5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3</v>
      </c>
      <c r="U113" t="n">
        <v>3</v>
      </c>
      <c r="V113" s="2" t="inlineStr">
        <is>
          <t>Grönpyrola
Mindre märgborre</t>
        </is>
      </c>
      <c r="W113">
        <f>HYPERLINK("https://klasma.github.io/Logging_0581/artfynd/A 32077-2026 artfynd.xlsx", "A 32077-2026")</f>
        <v/>
      </c>
      <c r="X113">
        <f>HYPERLINK("https://klasma.github.io/Logging_0581/kartor/A 32077-2026 karta.png", "A 32077-2026")</f>
        <v/>
      </c>
      <c r="Y113">
        <f>HYPERLINK("https://klasma.github.io/Logging_0581/kartor_geotiff/A 32077-2026 georefererad karta.tif", "A 32077-2026")</f>
        <v/>
      </c>
      <c r="AA113">
        <f>HYPERLINK("https://klasma.github.io/Logging_0581/klagomål/A 32077-2026 FSC-klagomål.docx", "A 32077-2026")</f>
        <v/>
      </c>
      <c r="AB113">
        <f>HYPERLINK("https://klasma.github.io/Logging_0581/klagomålsmail/A 32077-2026 FSC-klagomål mail.docx", "A 32077-2026")</f>
        <v/>
      </c>
      <c r="AC113">
        <f>HYPERLINK("https://klasma.github.io/Logging_0581/tillsyn/A 32077-2026 tillsynsbegäran.docx", "A 32077-2026")</f>
        <v/>
      </c>
      <c r="AD113">
        <f>HYPERLINK("https://klasma.github.io/Logging_0581/tillsynsmail/A 32077-2026 tillsynsbegäran mail.docx", "A 32077-2026")</f>
        <v/>
      </c>
    </row>
    <row r="114" ht="15" customHeight="1">
      <c r="A114" t="inlineStr">
        <is>
          <t>A 38475-2026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46307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8</v>
      </c>
      <c r="J114" t="n">
        <v>1</v>
      </c>
      <c r="K114" t="n">
        <v>0</v>
      </c>
      <c r="L114" t="n">
        <v>1</v>
      </c>
      <c r="M114" t="n">
        <v>0</v>
      </c>
      <c r="N114" t="n">
        <v>1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Ljungögontröst
Talltita</t>
        </is>
      </c>
      <c r="W114">
        <f>HYPERLINK("https://klasma.github.io/Logging_0581/artfynd/A 38475-2026 artfynd.xlsx", "A 38475-2026")</f>
        <v/>
      </c>
      <c r="X114">
        <f>HYPERLINK("https://klasma.github.io/Logging_0581/kartor/A 38475-2026 karta.png", "A 38475-2026")</f>
        <v/>
      </c>
      <c r="Y114">
        <f>HYPERLINK("https://klasma.github.io/Logging_0581/kartor_geotiff/A 38475-2026 georefererad karta.tif", "A 38475-2026")</f>
        <v/>
      </c>
      <c r="AA114">
        <f>HYPERLINK("https://klasma.github.io/Logging_0581/klagomål/A 38475-2026 FSC-klagomål.docx", "A 38475-2026")</f>
        <v/>
      </c>
      <c r="AB114">
        <f>HYPERLINK("https://klasma.github.io/Logging_0581/klagomålsmail/A 38475-2026 FSC-klagomål mail.docx", "A 38475-2026")</f>
        <v/>
      </c>
      <c r="AC114">
        <f>HYPERLINK("https://klasma.github.io/Logging_0581/tillsyn/A 38475-2026 tillsynsbegäran.docx", "A 38475-2026")</f>
        <v/>
      </c>
      <c r="AD114">
        <f>HYPERLINK("https://klasma.github.io/Logging_0581/tillsynsmail/A 38475-2026 tillsynsbegäran mail.docx", "A 38475-2026")</f>
        <v/>
      </c>
      <c r="AE114">
        <f>HYPERLINK("https://klasma.github.io/Logging_0581/fåglar/A 38475-2026 prioriterade fågelarter.docx", "A 38475-2026")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46307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46307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46307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46307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46307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46307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46307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46307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25982-2023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46307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Linmåra/småsnärjmåra</t>
        </is>
      </c>
      <c r="W123">
        <f>HYPERLINK("https://klasma.github.io/Logging_0581/artfynd/A 25982-2023 artfynd.xlsx", "A 25982-2023")</f>
        <v/>
      </c>
      <c r="X123">
        <f>HYPERLINK("https://klasma.github.io/Logging_0581/kartor/A 25982-2023 karta.png", "A 25982-2023")</f>
        <v/>
      </c>
      <c r="Y123">
        <f>HYPERLINK("https://klasma.github.io/Logging_0581/kartor_geotiff/A 25982-2023 georefererad karta.tif", "A 25982-2023")</f>
        <v/>
      </c>
      <c r="AA123">
        <f>HYPERLINK("https://klasma.github.io/Logging_0581/klagomål/A 25982-2023 FSC-klagomål.docx", "A 25982-2023")</f>
        <v/>
      </c>
      <c r="AB123">
        <f>HYPERLINK("https://klasma.github.io/Logging_0581/klagomålsmail/A 25982-2023 FSC-klagomål mail.docx", "A 25982-2023")</f>
        <v/>
      </c>
      <c r="AC123">
        <f>HYPERLINK("https://klasma.github.io/Logging_0581/tillsyn/A 25982-2023 tillsynsbegäran.docx", "A 25982-2023")</f>
        <v/>
      </c>
      <c r="AD123">
        <f>HYPERLINK("https://klasma.github.io/Logging_0581/tillsynsmail/A 25982-2023 tillsynsbegäran mail.docx", "A 25982-2023")</f>
        <v/>
      </c>
    </row>
    <row r="124" ht="15" customHeight="1">
      <c r="A124" t="inlineStr">
        <is>
          <t>A 14329-2022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46307</v>
      </c>
      <c r="F124" t="inlineStr">
        <is>
          <t>ÖSTERGÖTLANDS LÄN</t>
        </is>
      </c>
      <c r="G124" t="inlineStr">
        <is>
          <t>NORRKÖPING</t>
        </is>
      </c>
      <c r="I124" t="n">
        <v>2.7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Röd skogslilja</t>
        </is>
      </c>
      <c r="W124">
        <f>HYPERLINK("https://klasma.github.io/Logging_0581/artfynd/A 14329-2022 artfynd.xlsx", "A 14329-2022")</f>
        <v/>
      </c>
      <c r="X124">
        <f>HYPERLINK("https://klasma.github.io/Logging_0581/kartor/A 14329-2022 karta.png", "A 14329-2022")</f>
        <v/>
      </c>
      <c r="Y124">
        <f>HYPERLINK("https://klasma.github.io/Logging_0581/kartor_geotiff/A 14329-2022 georefererad karta.tif", "A 14329-2022")</f>
        <v/>
      </c>
      <c r="AA124">
        <f>HYPERLINK("https://klasma.github.io/Logging_0581/klagomål/A 14329-2022 FSC-klagomål.docx", "A 14329-2022")</f>
        <v/>
      </c>
      <c r="AB124">
        <f>HYPERLINK("https://klasma.github.io/Logging_0581/klagomålsmail/A 14329-2022 FSC-klagomål mail.docx", "A 14329-2022")</f>
        <v/>
      </c>
      <c r="AC124">
        <f>HYPERLINK("https://klasma.github.io/Logging_0581/tillsyn/A 14329-2022 tillsynsbegäran.docx", "A 14329-2022")</f>
        <v/>
      </c>
      <c r="AD124">
        <f>HYPERLINK("https://klasma.github.io/Logging_0581/tillsynsmail/A 14329-2022 tillsynsbegäran mail.docx", "A 14329-2022")</f>
        <v/>
      </c>
    </row>
    <row r="125" ht="15" customHeight="1">
      <c r="A125" t="inlineStr">
        <is>
          <t>A 15124-2025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46307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3.8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Vedskivlav</t>
        </is>
      </c>
      <c r="W125">
        <f>HYPERLINK("https://klasma.github.io/Logging_0581/artfynd/A 15124-2025 artfynd.xlsx", "A 15124-2025")</f>
        <v/>
      </c>
      <c r="X125">
        <f>HYPERLINK("https://klasma.github.io/Logging_0581/kartor/A 15124-2025 karta.png", "A 15124-2025")</f>
        <v/>
      </c>
      <c r="Y125">
        <f>HYPERLINK("https://klasma.github.io/Logging_0581/kartor_geotiff/A 15124-2025 georefererad karta.tif", "A 15124-2025")</f>
        <v/>
      </c>
      <c r="AA125">
        <f>HYPERLINK("https://klasma.github.io/Logging_0581/klagomål/A 15124-2025 FSC-klagomål.docx", "A 15124-2025")</f>
        <v/>
      </c>
      <c r="AB125">
        <f>HYPERLINK("https://klasma.github.io/Logging_0581/klagomålsmail/A 15124-2025 FSC-klagomål mail.docx", "A 15124-2025")</f>
        <v/>
      </c>
      <c r="AC125">
        <f>HYPERLINK("https://klasma.github.io/Logging_0581/tillsyn/A 15124-2025 tillsynsbegäran.docx", "A 15124-2025")</f>
        <v/>
      </c>
      <c r="AD125">
        <f>HYPERLINK("https://klasma.github.io/Logging_0581/tillsynsmail/A 15124-2025 tillsynsbegäran mail.docx", "A 15124-2025")</f>
        <v/>
      </c>
    </row>
    <row r="126" ht="15" customHeight="1">
      <c r="A126" t="inlineStr">
        <is>
          <t>A 15143-2025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46307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15143-2025 artfynd.xlsx", "A 15143-2025")</f>
        <v/>
      </c>
      <c r="X126">
        <f>HYPERLINK("https://klasma.github.io/Logging_0581/kartor/A 15143-2025 karta.png", "A 15143-2025")</f>
        <v/>
      </c>
      <c r="Y126">
        <f>HYPERLINK("https://klasma.github.io/Logging_0581/kartor_geotiff/A 15143-2025 georefererad karta.tif", "A 15143-2025")</f>
        <v/>
      </c>
      <c r="AA126">
        <f>HYPERLINK("https://klasma.github.io/Logging_0581/klagomål/A 15143-2025 FSC-klagomål.docx", "A 15143-2025")</f>
        <v/>
      </c>
      <c r="AB126">
        <f>HYPERLINK("https://klasma.github.io/Logging_0581/klagomålsmail/A 15143-2025 FSC-klagomål mail.docx", "A 15143-2025")</f>
        <v/>
      </c>
      <c r="AC126">
        <f>HYPERLINK("https://klasma.github.io/Logging_0581/tillsyn/A 15143-2025 tillsynsbegäran.docx", "A 15143-2025")</f>
        <v/>
      </c>
      <c r="AD126">
        <f>HYPERLINK("https://klasma.github.io/Logging_0581/tillsynsmail/A 15143-2025 tillsynsbegäran mail.docx", "A 15143-2025")</f>
        <v/>
      </c>
    </row>
    <row r="127" ht="15" customHeight="1">
      <c r="A127" t="inlineStr">
        <is>
          <t>A 16610-2024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46307</v>
      </c>
      <c r="F127" t="inlineStr">
        <is>
          <t>ÖSTERGÖTLANDS LÄN</t>
        </is>
      </c>
      <c r="G127" t="inlineStr">
        <is>
          <t>NORRKÖPING</t>
        </is>
      </c>
      <c r="I127" t="n">
        <v>5.8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3</v>
      </c>
      <c r="U127" t="n">
        <v>3</v>
      </c>
      <c r="V127" s="2" t="inlineStr">
        <is>
          <t>Knärot</t>
        </is>
      </c>
      <c r="W127">
        <f>HYPERLINK("https://klasma.github.io/Logging_0581/artfynd/A 16610-2024 artfynd.xlsx", "A 16610-2024")</f>
        <v/>
      </c>
      <c r="X127">
        <f>HYPERLINK("https://klasma.github.io/Logging_0581/kartor/A 16610-2024 karta.png", "A 16610-2024")</f>
        <v/>
      </c>
      <c r="Y127">
        <f>HYPERLINK("https://klasma.github.io/Logging_0581/kartor_geotiff/A 16610-2024 georefererad karta.tif", "A 16610-2024")</f>
        <v/>
      </c>
      <c r="Z127">
        <f>HYPERLINK("https://klasma.github.io/Logging_0581/knärot/A 16610-2024 karta knärot.png", "A 16610-2024")</f>
        <v/>
      </c>
      <c r="AA127">
        <f>HYPERLINK("https://klasma.github.io/Logging_0581/klagomål/A 16610-2024 FSC-klagomål.docx", "A 16610-2024")</f>
        <v/>
      </c>
      <c r="AB127">
        <f>HYPERLINK("https://klasma.github.io/Logging_0581/klagomålsmail/A 16610-2024 FSC-klagomål mail.docx", "A 16610-2024")</f>
        <v/>
      </c>
      <c r="AC127">
        <f>HYPERLINK("https://klasma.github.io/Logging_0581/tillsyn/A 16610-2024 tillsynsbegäran.docx", "A 16610-2024")</f>
        <v/>
      </c>
      <c r="AD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31582-2023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45117</v>
      </c>
      <c r="E128" s="1" t="n">
        <v>46307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31582-2023 artfynd.xlsx", "A 31582-2023")</f>
        <v/>
      </c>
      <c r="X128">
        <f>HYPERLINK("https://klasma.github.io/Logging_0581/kartor/A 31582-2023 karta.png", "A 31582-2023")</f>
        <v/>
      </c>
      <c r="Y128">
        <f>HYPERLINK("https://klasma.github.io/Logging_0581/kartor_geotiff/A 31582-2023 georefererad karta.tif", "A 31582-2023")</f>
        <v/>
      </c>
      <c r="AA128">
        <f>HYPERLINK("https://klasma.github.io/Logging_0581/klagomål/A 31582-2023 FSC-klagomål.docx", "A 31582-2023")</f>
        <v/>
      </c>
      <c r="AB128">
        <f>HYPERLINK("https://klasma.github.io/Logging_0581/klagomålsmail/A 31582-2023 FSC-klagomål mail.docx", "A 31582-2023")</f>
        <v/>
      </c>
      <c r="AC128">
        <f>HYPERLINK("https://klasma.github.io/Logging_0581/tillsyn/A 31582-2023 tillsynsbegäran.docx", "A 31582-2023")</f>
        <v/>
      </c>
      <c r="AD128">
        <f>HYPERLINK("https://klasma.github.io/Logging_0581/tillsynsmail/A 31582-2023 tillsynsbegäran mail.docx", "A 31582-2023")</f>
        <v/>
      </c>
      <c r="AE128">
        <f>HYPERLINK("https://klasma.github.io/Logging_0581/fåglar/A 31582-2023 prioriterade fågelarter.docx", "A 31582-2023")</f>
        <v/>
      </c>
    </row>
    <row r="129" ht="15" customHeight="1">
      <c r="A129" t="inlineStr">
        <is>
          <t>A 1077-2023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46307</v>
      </c>
      <c r="F129" t="inlineStr">
        <is>
          <t>ÖSTERGÖTLANDS LÄN</t>
        </is>
      </c>
      <c r="G129" t="inlineStr">
        <is>
          <t>NORRKÖPING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Äkta lopplummer</t>
        </is>
      </c>
      <c r="W129">
        <f>HYPERLINK("https://klasma.github.io/Logging_0581/artfynd/A 1077-2023 artfynd.xlsx", "A 1077-2023")</f>
        <v/>
      </c>
      <c r="X129">
        <f>HYPERLINK("https://klasma.github.io/Logging_0581/kartor/A 1077-2023 karta.png", "A 1077-2023")</f>
        <v/>
      </c>
      <c r="Y129">
        <f>HYPERLINK("https://klasma.github.io/Logging_0581/kartor_geotiff/A 1077-2023 georefererad karta.tif", "A 1077-2023")</f>
        <v/>
      </c>
      <c r="AA129">
        <f>HYPERLINK("https://klasma.github.io/Logging_0581/klagomål/A 1077-2023 FSC-klagomål.docx", "A 1077-2023")</f>
        <v/>
      </c>
      <c r="AB129">
        <f>HYPERLINK("https://klasma.github.io/Logging_0581/klagomålsmail/A 1077-2023 FSC-klagomål mail.docx", "A 1077-2023")</f>
        <v/>
      </c>
      <c r="AC129">
        <f>HYPERLINK("https://klasma.github.io/Logging_0581/tillsyn/A 1077-2023 tillsynsbegäran.docx", "A 1077-2023")</f>
        <v/>
      </c>
      <c r="AD129">
        <f>HYPERLINK("https://klasma.github.io/Logging_0581/tillsynsmail/A 1077-2023 tillsynsbegäran mail.docx", "A 1077-2023")</f>
        <v/>
      </c>
    </row>
    <row r="130" ht="15" customHeight="1">
      <c r="A130" t="inlineStr">
        <is>
          <t>A 40053-2025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45894</v>
      </c>
      <c r="E130" s="1" t="n">
        <v>46307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HYPERLINK("https://klasma.github.io/Logging_0581/artfynd/A 40053-2025 artfynd.xlsx", "A 40053-2025")</f>
        <v/>
      </c>
      <c r="X130">
        <f>HYPERLINK("https://klasma.github.io/Logging_0581/kartor/A 40053-2025 karta.png", "A 40053-2025")</f>
        <v/>
      </c>
      <c r="Y130">
        <f>HYPERLINK("https://klasma.github.io/Logging_0581/kartor_geotiff/A 40053-2025 georefererad karta.tif", "A 40053-2025")</f>
        <v/>
      </c>
      <c r="AA130">
        <f>HYPERLINK("https://klasma.github.io/Logging_0581/klagomål/A 40053-2025 FSC-klagomål.docx", "A 40053-2025")</f>
        <v/>
      </c>
      <c r="AB130">
        <f>HYPERLINK("https://klasma.github.io/Logging_0581/klagomålsmail/A 40053-2025 FSC-klagomål mail.docx", "A 40053-2025")</f>
        <v/>
      </c>
      <c r="AC130">
        <f>HYPERLINK("https://klasma.github.io/Logging_0581/tillsyn/A 40053-2025 tillsynsbegäran.docx", "A 40053-2025")</f>
        <v/>
      </c>
      <c r="AD130">
        <f>HYPERLINK("https://klasma.github.io/Logging_0581/tillsynsmail/A 40053-2025 tillsynsbegäran mail.docx", "A 40053-2025")</f>
        <v/>
      </c>
    </row>
    <row r="131" ht="15" customHeight="1">
      <c r="A131" t="inlineStr">
        <is>
          <t>A 40095-2025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45894</v>
      </c>
      <c r="E131" s="1" t="n">
        <v>46307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Tjäder</t>
        </is>
      </c>
      <c r="W131">
        <f>HYPERLINK("https://klasma.github.io/Logging_0581/artfynd/A 40095-2025 artfynd.xlsx", "A 40095-2025")</f>
        <v/>
      </c>
      <c r="X131">
        <f>HYPERLINK("https://klasma.github.io/Logging_0581/kartor/A 40095-2025 karta.png", "A 40095-2025")</f>
        <v/>
      </c>
      <c r="Y131">
        <f>HYPERLINK("https://klasma.github.io/Logging_0581/kartor_geotiff/A 40095-2025 georefererad karta.tif", "A 40095-2025")</f>
        <v/>
      </c>
      <c r="AA131">
        <f>HYPERLINK("https://klasma.github.io/Logging_0581/klagomål/A 40095-2025 FSC-klagomål.docx", "A 40095-2025")</f>
        <v/>
      </c>
      <c r="AB131">
        <f>HYPERLINK("https://klasma.github.io/Logging_0581/klagomålsmail/A 40095-2025 FSC-klagomål mail.docx", "A 40095-2025")</f>
        <v/>
      </c>
      <c r="AC131">
        <f>HYPERLINK("https://klasma.github.io/Logging_0581/tillsyn/A 40095-2025 tillsynsbegäran.docx", "A 40095-2025")</f>
        <v/>
      </c>
      <c r="AD131">
        <f>HYPERLINK("https://klasma.github.io/Logging_0581/tillsynsmail/A 40095-2025 tillsynsbegäran mail.docx", "A 40095-2025")</f>
        <v/>
      </c>
      <c r="AE131">
        <f>HYPERLINK("https://klasma.github.io/Logging_0581/fåglar/A 40095-2025 prioriterade fågelarter.docx", "A 40095-2025")</f>
        <v/>
      </c>
    </row>
    <row r="132" ht="15" customHeight="1">
      <c r="A132" t="inlineStr">
        <is>
          <t>A 58318-2023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46307</v>
      </c>
      <c r="F132" t="inlineStr">
        <is>
          <t>ÖSTERGÖTLANDS LÄN</t>
        </is>
      </c>
      <c r="G132" t="inlineStr">
        <is>
          <t>NORRKÖPING</t>
        </is>
      </c>
      <c r="I132" t="n">
        <v>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HYPERLINK("https://klasma.github.io/Logging_0581/artfynd/A 58318-2023 artfynd.xlsx", "A 58318-2023")</f>
        <v/>
      </c>
      <c r="X132">
        <f>HYPERLINK("https://klasma.github.io/Logging_0581/kartor/A 58318-2023 karta.png", "A 58318-2023")</f>
        <v/>
      </c>
      <c r="Y132">
        <f>HYPERLINK("https://klasma.github.io/Logging_0581/kartor_geotiff/A 58318-2023 georefererad karta.tif", "A 58318-2023")</f>
        <v/>
      </c>
      <c r="AA132">
        <f>HYPERLINK("https://klasma.github.io/Logging_0581/klagomål/A 58318-2023 FSC-klagomål.docx", "A 58318-2023")</f>
        <v/>
      </c>
      <c r="AB132">
        <f>HYPERLINK("https://klasma.github.io/Logging_0581/klagomålsmail/A 58318-2023 FSC-klagomål mail.docx", "A 58318-2023")</f>
        <v/>
      </c>
      <c r="AC132">
        <f>HYPERLINK("https://klasma.github.io/Logging_0581/tillsyn/A 58318-2023 tillsynsbegäran.docx", "A 58318-2023")</f>
        <v/>
      </c>
      <c r="AD132">
        <f>HYPERLINK("https://klasma.github.io/Logging_0581/tillsynsmail/A 58318-2023 tillsynsbegäran mail.docx", "A 58318-2023")</f>
        <v/>
      </c>
      <c r="AE132">
        <f>HYPERLINK("https://klasma.github.io/Logging_0581/fåglar/A 58318-2023 prioriterade fågelarter.docx", "A 58318-2023")</f>
        <v/>
      </c>
    </row>
    <row r="133" ht="15" customHeight="1">
      <c r="A133" t="inlineStr">
        <is>
          <t>A 15870-2024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46307</v>
      </c>
      <c r="F133" t="inlineStr">
        <is>
          <t>ÖSTERGÖTLANDS LÄN</t>
        </is>
      </c>
      <c r="G133" t="inlineStr">
        <is>
          <t>NORRKÖPING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dunört</t>
        </is>
      </c>
      <c r="W133">
        <f>HYPERLINK("https://klasma.github.io/Logging_0581/artfynd/A 15870-2024 artfynd.xlsx", "A 15870-2024")</f>
        <v/>
      </c>
      <c r="X133">
        <f>HYPERLINK("https://klasma.github.io/Logging_0581/kartor/A 15870-2024 karta.png", "A 15870-2024")</f>
        <v/>
      </c>
      <c r="Y133">
        <f>HYPERLINK("https://klasma.github.io/Logging_0581/kartor_geotiff/A 15870-2024 georefererad karta.tif", "A 15870-2024")</f>
        <v/>
      </c>
      <c r="AA133">
        <f>HYPERLINK("https://klasma.github.io/Logging_0581/klagomål/A 15870-2024 FSC-klagomål.docx", "A 15870-2024")</f>
        <v/>
      </c>
      <c r="AB133">
        <f>HYPERLINK("https://klasma.github.io/Logging_0581/klagomålsmail/A 15870-2024 FSC-klagomål mail.docx", "A 15870-2024")</f>
        <v/>
      </c>
      <c r="AC133">
        <f>HYPERLINK("https://klasma.github.io/Logging_0581/tillsyn/A 15870-2024 tillsynsbegäran.docx", "A 15870-2024")</f>
        <v/>
      </c>
      <c r="AD133">
        <f>HYPERLINK("https://klasma.github.io/Logging_0581/tillsynsmail/A 15870-2024 tillsynsbegäran mail.docx", "A 15870-2024")</f>
        <v/>
      </c>
    </row>
    <row r="134" ht="15" customHeight="1">
      <c r="A134" t="inlineStr">
        <is>
          <t>A 42233-2025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46307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HYPERLINK("https://klasma.github.io/Logging_0581/artfynd/A 42233-2025 artfynd.xlsx", "A 42233-2025")</f>
        <v/>
      </c>
      <c r="X134">
        <f>HYPERLINK("https://klasma.github.io/Logging_0581/kartor/A 42233-2025 karta.png", "A 42233-2025")</f>
        <v/>
      </c>
      <c r="Y134">
        <f>HYPERLINK("https://klasma.github.io/Logging_0581/kartor_geotiff/A 42233-2025 georefererad karta.tif", "A 42233-2025")</f>
        <v/>
      </c>
      <c r="AA134">
        <f>HYPERLINK("https://klasma.github.io/Logging_0581/klagomål/A 42233-2025 FSC-klagomål.docx", "A 42233-2025")</f>
        <v/>
      </c>
      <c r="AB134">
        <f>HYPERLINK("https://klasma.github.io/Logging_0581/klagomålsmail/A 42233-2025 FSC-klagomål mail.docx", "A 42233-2025")</f>
        <v/>
      </c>
      <c r="AC134">
        <f>HYPERLINK("https://klasma.github.io/Logging_0581/tillsyn/A 42233-2025 tillsynsbegäran.docx", "A 42233-2025")</f>
        <v/>
      </c>
      <c r="AD134">
        <f>HYPERLINK("https://klasma.github.io/Logging_0581/tillsynsmail/A 42233-2025 tillsynsbegäran mail.docx", "A 42233-2025")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46307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11520-2025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46307</v>
      </c>
      <c r="F136" t="inlineStr">
        <is>
          <t>ÖSTERGÖTLANDS LÄN</t>
        </is>
      </c>
      <c r="G136" t="inlineStr">
        <is>
          <t>NORRKÖPING</t>
        </is>
      </c>
      <c r="I136" t="n">
        <v>1.7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Myskbock</t>
        </is>
      </c>
      <c r="W136">
        <f>HYPERLINK("https://klasma.github.io/Logging_0581/artfynd/A 11520-2025 artfynd.xlsx", "A 11520-2025")</f>
        <v/>
      </c>
      <c r="X136">
        <f>HYPERLINK("https://klasma.github.io/Logging_0581/kartor/A 11520-2025 karta.png", "A 11520-2025")</f>
        <v/>
      </c>
      <c r="Y136">
        <f>HYPERLINK("https://klasma.github.io/Logging_0581/kartor_geotiff/A 11520-2025 georefererad karta.tif", "A 11520-2025")</f>
        <v/>
      </c>
      <c r="AA136">
        <f>HYPERLINK("https://klasma.github.io/Logging_0581/klagomål/A 11520-2025 FSC-klagomål.docx", "A 11520-2025")</f>
        <v/>
      </c>
      <c r="AB136">
        <f>HYPERLINK("https://klasma.github.io/Logging_0581/klagomålsmail/A 11520-2025 FSC-klagomål mail.docx", "A 11520-2025")</f>
        <v/>
      </c>
      <c r="AC136">
        <f>HYPERLINK("https://klasma.github.io/Logging_0581/tillsyn/A 11520-2025 tillsynsbegäran.docx", "A 11520-2025")</f>
        <v/>
      </c>
      <c r="AD136">
        <f>HYPERLINK("https://klasma.github.io/Logging_0581/tillsynsmail/A 11520-2025 tillsynsbegäran mail.docx", "A 11520-2025")</f>
        <v/>
      </c>
    </row>
    <row r="137" ht="15" customHeight="1">
      <c r="A137" t="inlineStr">
        <is>
          <t>A 12145-2024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45376</v>
      </c>
      <c r="E137" s="1" t="n">
        <v>46307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Allmännings- och besparingsskogar</t>
        </is>
      </c>
      <c r="I137" t="n">
        <v>10.4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Gullgröppa</t>
        </is>
      </c>
      <c r="W137">
        <f>HYPERLINK("https://klasma.github.io/Logging_0581/artfynd/A 12145-2024 artfynd.xlsx", "A 12145-2024")</f>
        <v/>
      </c>
      <c r="X137">
        <f>HYPERLINK("https://klasma.github.io/Logging_0581/kartor/A 12145-2024 karta.png", "A 12145-2024")</f>
        <v/>
      </c>
      <c r="Y137">
        <f>HYPERLINK("https://klasma.github.io/Logging_0581/kartor_geotiff/A 12145-2024 georefererad karta.tif", "A 12145-2024")</f>
        <v/>
      </c>
      <c r="AA137">
        <f>HYPERLINK("https://klasma.github.io/Logging_0581/klagomål/A 12145-2024 FSC-klagomål.docx", "A 12145-2024")</f>
        <v/>
      </c>
      <c r="AB137">
        <f>HYPERLINK("https://klasma.github.io/Logging_0581/klagomålsmail/A 12145-2024 FSC-klagomål mail.docx", "A 12145-2024")</f>
        <v/>
      </c>
      <c r="AC137">
        <f>HYPERLINK("https://klasma.github.io/Logging_0581/tillsyn/A 12145-2024 tillsynsbegäran.docx", "A 12145-2024")</f>
        <v/>
      </c>
      <c r="AD137">
        <f>HYPERLINK("https://klasma.github.io/Logging_0581/tillsynsmail/A 12145-2024 tillsynsbegäran mail.docx", "A 12145-2024")</f>
        <v/>
      </c>
    </row>
    <row r="138" ht="15" customHeight="1">
      <c r="A138" t="inlineStr">
        <is>
          <t>A 9790-2024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45362</v>
      </c>
      <c r="E138" s="1" t="n">
        <v>46307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Allmännings- och besparingsskogar</t>
        </is>
      </c>
      <c r="I138" t="n">
        <v>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Mattlummer</t>
        </is>
      </c>
      <c r="W138">
        <f>HYPERLINK("https://klasma.github.io/Logging_0581/artfynd/A 9790-2024 artfynd.xlsx", "A 9790-2024")</f>
        <v/>
      </c>
      <c r="X138">
        <f>HYPERLINK("https://klasma.github.io/Logging_0581/kartor/A 9790-2024 karta.png", "A 9790-2024")</f>
        <v/>
      </c>
      <c r="Y138">
        <f>HYPERLINK("https://klasma.github.io/Logging_0581/kartor_geotiff/A 9790-2024 georefererad karta.tif", "A 9790-2024")</f>
        <v/>
      </c>
      <c r="AA138">
        <f>HYPERLINK("https://klasma.github.io/Logging_0581/klagomål/A 9790-2024 FSC-klagomål.docx", "A 9790-2024")</f>
        <v/>
      </c>
      <c r="AB138">
        <f>HYPERLINK("https://klasma.github.io/Logging_0581/klagomålsmail/A 9790-2024 FSC-klagomål mail.docx", "A 9790-2024")</f>
        <v/>
      </c>
      <c r="AC138">
        <f>HYPERLINK("https://klasma.github.io/Logging_0581/tillsyn/A 9790-2024 tillsynsbegäran.docx", "A 9790-2024")</f>
        <v/>
      </c>
      <c r="AD138">
        <f>HYPERLINK("https://klasma.github.io/Logging_0581/tillsynsmail/A 9790-2024 tillsynsbegäran mail.docx", "A 9790-2024")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46307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46957-2023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46307</v>
      </c>
      <c r="F140" t="inlineStr">
        <is>
          <t>ÖSTERGÖTLANDS LÄN</t>
        </is>
      </c>
      <c r="G140" t="inlineStr">
        <is>
          <t>NORRKÖPING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HYPERLINK("https://klasma.github.io/Logging_0581/artfynd/A 46957-2023 artfynd.xlsx", "A 46957-2023")</f>
        <v/>
      </c>
      <c r="X140">
        <f>HYPERLINK("https://klasma.github.io/Logging_0581/kartor/A 46957-2023 karta.png", "A 46957-2023")</f>
        <v/>
      </c>
      <c r="Y140">
        <f>HYPERLINK("https://klasma.github.io/Logging_0581/kartor_geotiff/A 46957-2023 georefererad karta.tif", "A 46957-2023")</f>
        <v/>
      </c>
      <c r="AA140">
        <f>HYPERLINK("https://klasma.github.io/Logging_0581/klagomål/A 46957-2023 FSC-klagomål.docx", "A 46957-2023")</f>
        <v/>
      </c>
      <c r="AB140">
        <f>HYPERLINK("https://klasma.github.io/Logging_0581/klagomålsmail/A 46957-2023 FSC-klagomål mail.docx", "A 46957-2023")</f>
        <v/>
      </c>
      <c r="AC140">
        <f>HYPERLINK("https://klasma.github.io/Logging_0581/tillsyn/A 46957-2023 tillsynsbegäran.docx", "A 46957-2023")</f>
        <v/>
      </c>
      <c r="AD140">
        <f>HYPERLINK("https://klasma.github.io/Logging_0581/tillsynsmail/A 46957-2023 tillsynsbegäran mail.docx", "A 46957-2023")</f>
        <v/>
      </c>
    </row>
    <row r="141" ht="15" customHeight="1">
      <c r="A141" t="inlineStr">
        <is>
          <t>A 27107-2023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46307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0.5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Svartvit flugsnappare</t>
        </is>
      </c>
      <c r="W141">
        <f>HYPERLINK("https://klasma.github.io/Logging_0581/artfynd/A 27107-2023 artfynd.xlsx", "A 27107-2023")</f>
        <v/>
      </c>
      <c r="X141">
        <f>HYPERLINK("https://klasma.github.io/Logging_0581/kartor/A 27107-2023 karta.png", "A 27107-2023")</f>
        <v/>
      </c>
      <c r="Y141">
        <f>HYPERLINK("https://klasma.github.io/Logging_0581/kartor_geotiff/A 27107-2023 georefererad karta.tif", "A 27107-2023")</f>
        <v/>
      </c>
      <c r="AA141">
        <f>HYPERLINK("https://klasma.github.io/Logging_0581/klagomål/A 27107-2023 FSC-klagomål.docx", "A 27107-2023")</f>
        <v/>
      </c>
      <c r="AB141">
        <f>HYPERLINK("https://klasma.github.io/Logging_0581/klagomålsmail/A 27107-2023 FSC-klagomål mail.docx", "A 27107-2023")</f>
        <v/>
      </c>
      <c r="AC141">
        <f>HYPERLINK("https://klasma.github.io/Logging_0581/tillsyn/A 27107-2023 tillsynsbegäran.docx", "A 27107-2023")</f>
        <v/>
      </c>
      <c r="AD141">
        <f>HYPERLINK("https://klasma.github.io/Logging_0581/tillsynsmail/A 27107-2023 tillsynsbegäran mail.docx", "A 27107-2023")</f>
        <v/>
      </c>
    </row>
    <row r="142" ht="15" customHeight="1">
      <c r="A142" t="inlineStr">
        <is>
          <t>A 2545-2023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46307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Hasselticka</t>
        </is>
      </c>
      <c r="W142">
        <f>HYPERLINK("https://klasma.github.io/Logging_0581/artfynd/A 2545-2023 artfynd.xlsx", "A 2545-2023")</f>
        <v/>
      </c>
      <c r="X142">
        <f>HYPERLINK("https://klasma.github.io/Logging_0581/kartor/A 2545-2023 karta.png", "A 2545-2023")</f>
        <v/>
      </c>
      <c r="Y142">
        <f>HYPERLINK("https://klasma.github.io/Logging_0581/kartor_geotiff/A 2545-2023 georefererad karta.tif", "A 2545-2023")</f>
        <v/>
      </c>
      <c r="AA142">
        <f>HYPERLINK("https://klasma.github.io/Logging_0581/klagomål/A 2545-2023 FSC-klagomål.docx", "A 2545-2023")</f>
        <v/>
      </c>
      <c r="AB142">
        <f>HYPERLINK("https://klasma.github.io/Logging_0581/klagomålsmail/A 2545-2023 FSC-klagomål mail.docx", "A 2545-2023")</f>
        <v/>
      </c>
      <c r="AC142">
        <f>HYPERLINK("https://klasma.github.io/Logging_0581/tillsyn/A 2545-2023 tillsynsbegäran.docx", "A 2545-2023")</f>
        <v/>
      </c>
      <c r="AD142">
        <f>HYPERLINK("https://klasma.github.io/Logging_0581/tillsynsmail/A 2545-2023 tillsynsbegäran mail.docx", "A 2545-2023")</f>
        <v/>
      </c>
    </row>
    <row r="143" ht="15" customHeight="1">
      <c r="A143" t="inlineStr">
        <is>
          <t>A 58711-2023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46307</v>
      </c>
      <c r="F143" t="inlineStr">
        <is>
          <t>ÖSTERGÖTLANDS LÄN</t>
        </is>
      </c>
      <c r="G143" t="inlineStr">
        <is>
          <t>NORRKÖPING</t>
        </is>
      </c>
      <c r="I143" t="n">
        <v>4.3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Ängsskära</t>
        </is>
      </c>
      <c r="W143">
        <f>HYPERLINK("https://klasma.github.io/Logging_0581/artfynd/A 58711-2023 artfynd.xlsx", "A 58711-2023")</f>
        <v/>
      </c>
      <c r="X143">
        <f>HYPERLINK("https://klasma.github.io/Logging_0581/kartor/A 58711-2023 karta.png", "A 58711-2023")</f>
        <v/>
      </c>
      <c r="Y143">
        <f>HYPERLINK("https://klasma.github.io/Logging_0581/kartor_geotiff/A 58711-2023 georefererad karta.tif", "A 58711-2023")</f>
        <v/>
      </c>
      <c r="AA143">
        <f>HYPERLINK("https://klasma.github.io/Logging_0581/klagomål/A 58711-2023 FSC-klagomål.docx", "A 58711-2023")</f>
        <v/>
      </c>
      <c r="AB143">
        <f>HYPERLINK("https://klasma.github.io/Logging_0581/klagomålsmail/A 58711-2023 FSC-klagomål mail.docx", "A 58711-2023")</f>
        <v/>
      </c>
      <c r="AC143">
        <f>HYPERLINK("https://klasma.github.io/Logging_0581/tillsyn/A 58711-2023 tillsynsbegäran.docx", "A 58711-2023")</f>
        <v/>
      </c>
      <c r="AD143">
        <f>HYPERLINK("https://klasma.github.io/Logging_0581/tillsynsmail/A 58711-2023 tillsynsbegäran mail.docx", "A 58711-2023")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46307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46671-2024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46307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Kattfotslav</t>
        </is>
      </c>
      <c r="W145">
        <f>HYPERLINK("https://klasma.github.io/Logging_0581/artfynd/A 46671-2024 artfynd.xlsx", "A 46671-2024")</f>
        <v/>
      </c>
      <c r="X145">
        <f>HYPERLINK("https://klasma.github.io/Logging_0581/kartor/A 46671-2024 karta.png", "A 46671-2024")</f>
        <v/>
      </c>
      <c r="Y145">
        <f>HYPERLINK("https://klasma.github.io/Logging_0581/kartor_geotiff/A 46671-2024 georefererad karta.tif", "A 46671-2024")</f>
        <v/>
      </c>
      <c r="AA145">
        <f>HYPERLINK("https://klasma.github.io/Logging_0581/klagomål/A 46671-2024 FSC-klagomål.docx", "A 46671-2024")</f>
        <v/>
      </c>
      <c r="AB145">
        <f>HYPERLINK("https://klasma.github.io/Logging_0581/klagomålsmail/A 46671-2024 FSC-klagomål mail.docx", "A 46671-2024")</f>
        <v/>
      </c>
      <c r="AC145">
        <f>HYPERLINK("https://klasma.github.io/Logging_0581/tillsyn/A 46671-2024 tillsynsbegäran.docx", "A 46671-2024")</f>
        <v/>
      </c>
      <c r="AD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14044-2023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46307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Tjäder</t>
        </is>
      </c>
      <c r="W146">
        <f>HYPERLINK("https://klasma.github.io/Logging_0581/artfynd/A 14044-2023 artfynd.xlsx", "A 14044-2023")</f>
        <v/>
      </c>
      <c r="X146">
        <f>HYPERLINK("https://klasma.github.io/Logging_0581/kartor/A 14044-2023 karta.png", "A 14044-2023")</f>
        <v/>
      </c>
      <c r="Y146">
        <f>HYPERLINK("https://klasma.github.io/Logging_0581/kartor_geotiff/A 14044-2023 georefererad karta.tif", "A 14044-2023")</f>
        <v/>
      </c>
      <c r="AA146">
        <f>HYPERLINK("https://klasma.github.io/Logging_0581/klagomål/A 14044-2023 FSC-klagomål.docx", "A 14044-2023")</f>
        <v/>
      </c>
      <c r="AB146">
        <f>HYPERLINK("https://klasma.github.io/Logging_0581/klagomålsmail/A 14044-2023 FSC-klagomål mail.docx", "A 14044-2023")</f>
        <v/>
      </c>
      <c r="AC146">
        <f>HYPERLINK("https://klasma.github.io/Logging_0581/tillsyn/A 14044-2023 tillsynsbegäran.docx", "A 14044-2023")</f>
        <v/>
      </c>
      <c r="AD146">
        <f>HYPERLINK("https://klasma.github.io/Logging_0581/tillsynsmail/A 14044-2023 tillsynsbegäran mail.docx", "A 14044-2023")</f>
        <v/>
      </c>
      <c r="AE146">
        <f>HYPERLINK("https://klasma.github.io/Logging_0581/fåglar/A 14044-2023 prioriterade fågelarter.docx", "A 14044-2023")</f>
        <v/>
      </c>
    </row>
    <row r="147" ht="15" customHeight="1">
      <c r="A147" t="inlineStr">
        <is>
          <t>A 46806-2024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46307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Vedskivlav</t>
        </is>
      </c>
      <c r="W147">
        <f>HYPERLINK("https://klasma.github.io/Logging_0581/artfynd/A 46806-2024 artfynd.xlsx", "A 46806-2024")</f>
        <v/>
      </c>
      <c r="X147">
        <f>HYPERLINK("https://klasma.github.io/Logging_0581/kartor/A 46806-2024 karta.png", "A 46806-2024")</f>
        <v/>
      </c>
      <c r="Y147">
        <f>HYPERLINK("https://klasma.github.io/Logging_0581/kartor_geotiff/A 46806-2024 georefererad karta.tif", "A 46806-2024")</f>
        <v/>
      </c>
      <c r="AA147">
        <f>HYPERLINK("https://klasma.github.io/Logging_0581/klagomål/A 46806-2024 FSC-klagomål.docx", "A 46806-2024")</f>
        <v/>
      </c>
      <c r="AB147">
        <f>HYPERLINK("https://klasma.github.io/Logging_0581/klagomålsmail/A 46806-2024 FSC-klagomål mail.docx", "A 46806-2024")</f>
        <v/>
      </c>
      <c r="AC147">
        <f>HYPERLINK("https://klasma.github.io/Logging_0581/tillsyn/A 46806-2024 tillsynsbegäran.docx", "A 46806-2024")</f>
        <v/>
      </c>
      <c r="AD147">
        <f>HYPERLINK("https://klasma.github.io/Logging_0581/tillsynsmail/A 46806-2024 tillsynsbegäran mail.docx", "A 46806-2024")</f>
        <v/>
      </c>
    </row>
    <row r="148" ht="15" customHeight="1">
      <c r="A148" t="inlineStr">
        <is>
          <t>A 45953-2024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45580</v>
      </c>
      <c r="E148" s="1" t="n">
        <v>46307</v>
      </c>
      <c r="F148" t="inlineStr">
        <is>
          <t>ÖSTERGÖTLANDS LÄN</t>
        </is>
      </c>
      <c r="G148" t="inlineStr">
        <is>
          <t>NORRKÖPING</t>
        </is>
      </c>
      <c r="I148" t="n">
        <v>1.9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Ekoxe</t>
        </is>
      </c>
      <c r="W148">
        <f>HYPERLINK("https://klasma.github.io/Logging_0581/artfynd/A 45953-2024 artfynd.xlsx", "A 45953-2024")</f>
        <v/>
      </c>
      <c r="X148">
        <f>HYPERLINK("https://klasma.github.io/Logging_0581/kartor/A 45953-2024 karta.png", "A 45953-2024")</f>
        <v/>
      </c>
      <c r="Y148">
        <f>HYPERLINK("https://klasma.github.io/Logging_0581/kartor_geotiff/A 45953-2024 georefererad karta.tif", "A 45953-2024")</f>
        <v/>
      </c>
      <c r="AA148">
        <f>HYPERLINK("https://klasma.github.io/Logging_0581/klagomål/A 45953-2024 FSC-klagomål.docx", "A 45953-2024")</f>
        <v/>
      </c>
      <c r="AB148">
        <f>HYPERLINK("https://klasma.github.io/Logging_0581/klagomålsmail/A 45953-2024 FSC-klagomål mail.docx", "A 45953-2024")</f>
        <v/>
      </c>
      <c r="AC148">
        <f>HYPERLINK("https://klasma.github.io/Logging_0581/tillsyn/A 45953-2024 tillsynsbegäran.docx", "A 45953-2024")</f>
        <v/>
      </c>
      <c r="AD148">
        <f>HYPERLINK("https://klasma.github.io/Logging_0581/tillsynsmail/A 45953-2024 tillsynsbegäran mail.docx", "A 45953-2024")</f>
        <v/>
      </c>
    </row>
    <row r="149" ht="15" customHeight="1">
      <c r="A149" t="inlineStr">
        <is>
          <t>A 31320-2025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46307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Blåmossa</t>
        </is>
      </c>
      <c r="W149">
        <f>HYPERLINK("https://klasma.github.io/Logging_0581/artfynd/A 31320-2025 artfynd.xlsx", "A 31320-2025")</f>
        <v/>
      </c>
      <c r="X149">
        <f>HYPERLINK("https://klasma.github.io/Logging_0581/kartor/A 31320-2025 karta.png", "A 31320-2025")</f>
        <v/>
      </c>
      <c r="Y149">
        <f>HYPERLINK("https://klasma.github.io/Logging_0581/kartor_geotiff/A 31320-2025 georefererad karta.tif", "A 31320-2025")</f>
        <v/>
      </c>
      <c r="AA149">
        <f>HYPERLINK("https://klasma.github.io/Logging_0581/klagomål/A 31320-2025 FSC-klagomål.docx", "A 31320-2025")</f>
        <v/>
      </c>
      <c r="AB149">
        <f>HYPERLINK("https://klasma.github.io/Logging_0581/klagomålsmail/A 31320-2025 FSC-klagomål mail.docx", "A 31320-2025")</f>
        <v/>
      </c>
      <c r="AC149">
        <f>HYPERLINK("https://klasma.github.io/Logging_0581/tillsyn/A 31320-2025 tillsynsbegäran.docx", "A 31320-2025")</f>
        <v/>
      </c>
      <c r="AD149">
        <f>HYPERLINK("https://klasma.github.io/Logging_0581/tillsynsmail/A 31320-2025 tillsynsbegäran mail.docx", "A 31320-2025")</f>
        <v/>
      </c>
    </row>
    <row r="150" ht="15" customHeight="1">
      <c r="A150" t="inlineStr">
        <is>
          <t>A 60899-2024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45645</v>
      </c>
      <c r="E150" s="1" t="n">
        <v>46307</v>
      </c>
      <c r="F150" t="inlineStr">
        <is>
          <t>ÖSTERGÖTLANDS LÄN</t>
        </is>
      </c>
      <c r="G150" t="inlineStr">
        <is>
          <t>NORRKÖPING</t>
        </is>
      </c>
      <c r="I150" t="n">
        <v>2.4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60899-2024 artfynd.xlsx", "A 60899-2024")</f>
        <v/>
      </c>
      <c r="X150">
        <f>HYPERLINK("https://klasma.github.io/Logging_0581/kartor/A 60899-2024 karta.png", "A 60899-2024")</f>
        <v/>
      </c>
      <c r="Y150">
        <f>HYPERLINK("https://klasma.github.io/Logging_0581/kartor_geotiff/A 60899-2024 georefererad karta.tif", "A 60899-2024")</f>
        <v/>
      </c>
      <c r="AA150">
        <f>HYPERLINK("https://klasma.github.io/Logging_0581/klagomål/A 60899-2024 FSC-klagomål.docx", "A 60899-2024")</f>
        <v/>
      </c>
      <c r="AB150">
        <f>HYPERLINK("https://klasma.github.io/Logging_0581/klagomålsmail/A 60899-2024 FSC-klagomål mail.docx", "A 60899-2024")</f>
        <v/>
      </c>
      <c r="AC150">
        <f>HYPERLINK("https://klasma.github.io/Logging_0581/tillsyn/A 60899-2024 tillsynsbegäran.docx", "A 60899-2024")</f>
        <v/>
      </c>
      <c r="AD150">
        <f>HYPERLINK("https://klasma.github.io/Logging_0581/tillsynsmail/A 60899-2024 tillsynsbegäran mail.docx", "A 60899-2024")</f>
        <v/>
      </c>
    </row>
    <row r="151" ht="15" customHeight="1">
      <c r="A151" t="inlineStr">
        <is>
          <t>A 62973-2021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44504</v>
      </c>
      <c r="E151" s="1" t="n">
        <v>46307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Krusfrö</t>
        </is>
      </c>
      <c r="W151">
        <f>HYPERLINK("https://klasma.github.io/Logging_0581/artfynd/A 62973-2021 artfynd.xlsx", "A 62973-2021")</f>
        <v/>
      </c>
      <c r="X151">
        <f>HYPERLINK("https://klasma.github.io/Logging_0581/kartor/A 62973-2021 karta.png", "A 62973-2021")</f>
        <v/>
      </c>
      <c r="Y151">
        <f>HYPERLINK("https://klasma.github.io/Logging_0581/kartor_geotiff/A 62973-2021 georefererad karta.tif", "A 62973-2021")</f>
        <v/>
      </c>
      <c r="AA151">
        <f>HYPERLINK("https://klasma.github.io/Logging_0581/klagomål/A 62973-2021 FSC-klagomål.docx", "A 62973-2021")</f>
        <v/>
      </c>
      <c r="AB151">
        <f>HYPERLINK("https://klasma.github.io/Logging_0581/klagomålsmail/A 62973-2021 FSC-klagomål mail.docx", "A 62973-2021")</f>
        <v/>
      </c>
      <c r="AC151">
        <f>HYPERLINK("https://klasma.github.io/Logging_0581/tillsyn/A 62973-2021 tillsynsbegäran.docx", "A 62973-2021")</f>
        <v/>
      </c>
      <c r="AD151">
        <f>HYPERLINK("https://klasma.github.io/Logging_0581/tillsynsmail/A 62973-2021 tillsynsbegäran mail.docx", "A 62973-2021")</f>
        <v/>
      </c>
    </row>
    <row r="152" ht="15" customHeight="1">
      <c r="A152" t="inlineStr">
        <is>
          <t>A 27236-2023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45096</v>
      </c>
      <c r="E152" s="1" t="n">
        <v>46307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Motaggsvamp</t>
        </is>
      </c>
      <c r="W152">
        <f>HYPERLINK("https://klasma.github.io/Logging_0581/artfynd/A 27236-2023 artfynd.xlsx", "A 27236-2023")</f>
        <v/>
      </c>
      <c r="X152">
        <f>HYPERLINK("https://klasma.github.io/Logging_0581/kartor/A 27236-2023 karta.png", "A 27236-2023")</f>
        <v/>
      </c>
      <c r="Y152">
        <f>HYPERLINK("https://klasma.github.io/Logging_0581/kartor_geotiff/A 27236-2023 georefererad karta.tif", "A 27236-2023")</f>
        <v/>
      </c>
      <c r="AA152">
        <f>HYPERLINK("https://klasma.github.io/Logging_0581/klagomål/A 27236-2023 FSC-klagomål.docx", "A 27236-2023")</f>
        <v/>
      </c>
      <c r="AB152">
        <f>HYPERLINK("https://klasma.github.io/Logging_0581/klagomålsmail/A 27236-2023 FSC-klagomål mail.docx", "A 27236-2023")</f>
        <v/>
      </c>
      <c r="AC152">
        <f>HYPERLINK("https://klasma.github.io/Logging_0581/tillsyn/A 27236-2023 tillsynsbegäran.docx", "A 27236-2023")</f>
        <v/>
      </c>
      <c r="AD152">
        <f>HYPERLINK("https://klasma.github.io/Logging_0581/tillsynsmail/A 27236-2023 tillsynsbegäran mail.docx", "A 27236-2023")</f>
        <v/>
      </c>
    </row>
    <row r="153" ht="15" customHeight="1">
      <c r="A153" t="inlineStr">
        <is>
          <t>A 31659-2023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46307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HYPERLINK("https://klasma.github.io/Logging_0581/artfynd/A 31659-2023 artfynd.xlsx", "A 31659-2023")</f>
        <v/>
      </c>
      <c r="X153">
        <f>HYPERLINK("https://klasma.github.io/Logging_0581/kartor/A 31659-2023 karta.png", "A 31659-2023")</f>
        <v/>
      </c>
      <c r="Y153">
        <f>HYPERLINK("https://klasma.github.io/Logging_0581/kartor_geotiff/A 31659-2023 georefererad karta.tif", "A 31659-2023")</f>
        <v/>
      </c>
      <c r="AA153">
        <f>HYPERLINK("https://klasma.github.io/Logging_0581/klagomål/A 31659-2023 FSC-klagomål.docx", "A 31659-2023")</f>
        <v/>
      </c>
      <c r="AB153">
        <f>HYPERLINK("https://klasma.github.io/Logging_0581/klagomålsmail/A 31659-2023 FSC-klagomål mail.docx", "A 31659-2023")</f>
        <v/>
      </c>
      <c r="AC153">
        <f>HYPERLINK("https://klasma.github.io/Logging_0581/tillsyn/A 31659-2023 tillsynsbegäran.docx", "A 31659-2023")</f>
        <v/>
      </c>
      <c r="AD153">
        <f>HYPERLINK("https://klasma.github.io/Logging_0581/tillsynsmail/A 31659-2023 tillsynsbegäran mail.docx", "A 31659-2023")</f>
        <v/>
      </c>
      <c r="AE153">
        <f>HYPERLINK("https://klasma.github.io/Logging_0581/fåglar/A 31659-2023 prioriterade fågelarter.docx", "A 31659-2023")</f>
        <v/>
      </c>
    </row>
    <row r="154" ht="15" customHeight="1">
      <c r="A154" t="inlineStr">
        <is>
          <t>A 34078-2025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45845</v>
      </c>
      <c r="E154" s="1" t="n">
        <v>46307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Järpe</t>
        </is>
      </c>
      <c r="W154">
        <f>HYPERLINK("https://klasma.github.io/Logging_0581/artfynd/A 34078-2025 artfynd.xlsx", "A 34078-2025")</f>
        <v/>
      </c>
      <c r="X154">
        <f>HYPERLINK("https://klasma.github.io/Logging_0581/kartor/A 34078-2025 karta.png", "A 34078-2025")</f>
        <v/>
      </c>
      <c r="Y154">
        <f>HYPERLINK("https://klasma.github.io/Logging_0581/kartor_geotiff/A 34078-2025 georefererad karta.tif", "A 34078-2025")</f>
        <v/>
      </c>
      <c r="AA154">
        <f>HYPERLINK("https://klasma.github.io/Logging_0581/klagomål/A 34078-2025 FSC-klagomål.docx", "A 34078-2025")</f>
        <v/>
      </c>
      <c r="AB154">
        <f>HYPERLINK("https://klasma.github.io/Logging_0581/klagomålsmail/A 34078-2025 FSC-klagomål mail.docx", "A 34078-2025")</f>
        <v/>
      </c>
      <c r="AC154">
        <f>HYPERLINK("https://klasma.github.io/Logging_0581/tillsyn/A 34078-2025 tillsynsbegäran.docx", "A 34078-2025")</f>
        <v/>
      </c>
      <c r="AD154">
        <f>HYPERLINK("https://klasma.github.io/Logging_0581/tillsynsmail/A 34078-2025 tillsynsbegäran mail.docx", "A 34078-2025")</f>
        <v/>
      </c>
      <c r="AE154">
        <f>HYPERLINK("https://klasma.github.io/Logging_0581/fåglar/A 34078-2025 prioriterade fågelarter.docx", "A 34078-2025")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46307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24629-2025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46307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0.6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Kråka</t>
        </is>
      </c>
      <c r="W156">
        <f>HYPERLINK("https://klasma.github.io/Logging_0581/artfynd/A 24629-2025 artfynd.xlsx", "A 24629-2025")</f>
        <v/>
      </c>
      <c r="X156">
        <f>HYPERLINK("https://klasma.github.io/Logging_0581/kartor/A 24629-2025 karta.png", "A 24629-2025")</f>
        <v/>
      </c>
      <c r="Y156">
        <f>HYPERLINK("https://klasma.github.io/Logging_0581/kartor_geotiff/A 24629-2025 georefererad karta.tif", "A 24629-2025")</f>
        <v/>
      </c>
      <c r="AA156">
        <f>HYPERLINK("https://klasma.github.io/Logging_0581/klagomål/A 24629-2025 FSC-klagomål.docx", "A 24629-2025")</f>
        <v/>
      </c>
      <c r="AB156">
        <f>HYPERLINK("https://klasma.github.io/Logging_0581/klagomålsmail/A 24629-2025 FSC-klagomål mail.docx", "A 24629-2025")</f>
        <v/>
      </c>
      <c r="AC156">
        <f>HYPERLINK("https://klasma.github.io/Logging_0581/tillsyn/A 24629-2025 tillsynsbegäran.docx", "A 24629-2025")</f>
        <v/>
      </c>
      <c r="AD156">
        <f>HYPERLINK("https://klasma.github.io/Logging_0581/tillsynsmail/A 24629-2025 tillsynsbegäran mail.docx", "A 24629-2025")</f>
        <v/>
      </c>
    </row>
    <row r="157" ht="15" customHeight="1">
      <c r="A157" t="inlineStr">
        <is>
          <t>A 31897-2022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44777</v>
      </c>
      <c r="E157" s="1" t="n">
        <v>46307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Kommuner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Grönpyrola</t>
        </is>
      </c>
      <c r="W157">
        <f>HYPERLINK("https://klasma.github.io/Logging_0581/artfynd/A 31897-2022 artfynd.xlsx", "A 31897-2022")</f>
        <v/>
      </c>
      <c r="X157">
        <f>HYPERLINK("https://klasma.github.io/Logging_0581/kartor/A 31897-2022 karta.png", "A 31897-2022")</f>
        <v/>
      </c>
      <c r="Y157">
        <f>HYPERLINK("https://klasma.github.io/Logging_0581/kartor_geotiff/A 31897-2022 georefererad karta.tif", "A 31897-2022")</f>
        <v/>
      </c>
      <c r="AA157">
        <f>HYPERLINK("https://klasma.github.io/Logging_0581/klagomål/A 31897-2022 FSC-klagomål.docx", "A 31897-2022")</f>
        <v/>
      </c>
      <c r="AB157">
        <f>HYPERLINK("https://klasma.github.io/Logging_0581/klagomålsmail/A 31897-2022 FSC-klagomål mail.docx", "A 31897-2022")</f>
        <v/>
      </c>
      <c r="AC157">
        <f>HYPERLINK("https://klasma.github.io/Logging_0581/tillsyn/A 31897-2022 tillsynsbegäran.docx", "A 31897-2022")</f>
        <v/>
      </c>
      <c r="AD157">
        <f>HYPERLINK("https://klasma.github.io/Logging_0581/tillsynsmail/A 31897-2022 tillsynsbegäran mail.docx", "A 31897-2022")</f>
        <v/>
      </c>
    </row>
    <row r="158" ht="15" customHeight="1">
      <c r="A158" t="inlineStr">
        <is>
          <t>A 7317-2025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46307</v>
      </c>
      <c r="F158" t="inlineStr">
        <is>
          <t>ÖSTERGÖTLANDS LÄN</t>
        </is>
      </c>
      <c r="G158" t="inlineStr">
        <is>
          <t>NORRKÖPING</t>
        </is>
      </c>
      <c r="I158" t="n">
        <v>1.4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Backklöver</t>
        </is>
      </c>
      <c r="W158">
        <f>HYPERLINK("https://klasma.github.io/Logging_0581/artfynd/A 7317-2025 artfynd.xlsx", "A 7317-2025")</f>
        <v/>
      </c>
      <c r="X158">
        <f>HYPERLINK("https://klasma.github.io/Logging_0581/kartor/A 7317-2025 karta.png", "A 7317-2025")</f>
        <v/>
      </c>
      <c r="Y158">
        <f>HYPERLINK("https://klasma.github.io/Logging_0581/kartor_geotiff/A 7317-2025 georefererad karta.tif", "A 7317-2025")</f>
        <v/>
      </c>
      <c r="AA158">
        <f>HYPERLINK("https://klasma.github.io/Logging_0581/klagomål/A 7317-2025 FSC-klagomål.docx", "A 7317-2025")</f>
        <v/>
      </c>
      <c r="AB158">
        <f>HYPERLINK("https://klasma.github.io/Logging_0581/klagomålsmail/A 7317-2025 FSC-klagomål mail.docx", "A 7317-2025")</f>
        <v/>
      </c>
      <c r="AC158">
        <f>HYPERLINK("https://klasma.github.io/Logging_0581/tillsyn/A 7317-2025 tillsynsbegäran.docx", "A 7317-2025")</f>
        <v/>
      </c>
      <c r="AD158">
        <f>HYPERLINK("https://klasma.github.io/Logging_0581/tillsynsmail/A 7317-2025 tillsynsbegäran mail.docx", "A 7317-2025")</f>
        <v/>
      </c>
    </row>
    <row r="159" ht="15" customHeight="1">
      <c r="A159" t="inlineStr">
        <is>
          <t>A 18636-2023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45043</v>
      </c>
      <c r="E159" s="1" t="n">
        <v>46307</v>
      </c>
      <c r="F159" t="inlineStr">
        <is>
          <t>ÖSTERGÖTLANDS LÄN</t>
        </is>
      </c>
      <c r="G159" t="inlineStr">
        <is>
          <t>NORRKÖPING</t>
        </is>
      </c>
      <c r="I159" t="n">
        <v>5.7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HYPERLINK("https://klasma.github.io/Logging_0581/artfynd/A 18636-2023 artfynd.xlsx", "A 18636-2023")</f>
        <v/>
      </c>
      <c r="X159">
        <f>HYPERLINK("https://klasma.github.io/Logging_0581/kartor/A 18636-2023 karta.png", "A 18636-2023")</f>
        <v/>
      </c>
      <c r="Y159">
        <f>HYPERLINK("https://klasma.github.io/Logging_0581/kartor_geotiff/A 18636-2023 georefererad karta.tif", "A 18636-2023")</f>
        <v/>
      </c>
      <c r="AA159">
        <f>HYPERLINK("https://klasma.github.io/Logging_0581/klagomål/A 18636-2023 FSC-klagomål.docx", "A 18636-2023")</f>
        <v/>
      </c>
      <c r="AB159">
        <f>HYPERLINK("https://klasma.github.io/Logging_0581/klagomålsmail/A 18636-2023 FSC-klagomål mail.docx", "A 18636-2023")</f>
        <v/>
      </c>
      <c r="AC159">
        <f>HYPERLINK("https://klasma.github.io/Logging_0581/tillsyn/A 18636-2023 tillsynsbegäran.docx", "A 18636-2023")</f>
        <v/>
      </c>
      <c r="AD159">
        <f>HYPERLINK("https://klasma.github.io/Logging_0581/tillsynsmail/A 18636-2023 tillsynsbegäran mail.docx", "A 18636-2023")</f>
        <v/>
      </c>
      <c r="AE159">
        <f>HYPERLINK("https://klasma.github.io/Logging_0581/fåglar/A 18636-2023 prioriterade fågelarter.docx", "A 18636-2023")</f>
        <v/>
      </c>
    </row>
    <row r="160" ht="15" customHeight="1">
      <c r="A160" t="inlineStr">
        <is>
          <t>A 57772-2022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44897</v>
      </c>
      <c r="E160" s="1" t="n">
        <v>46307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Fällmossa</t>
        </is>
      </c>
      <c r="W160">
        <f>HYPERLINK("https://klasma.github.io/Logging_0581/artfynd/A 57772-2022 artfynd.xlsx", "A 57772-2022")</f>
        <v/>
      </c>
      <c r="X160">
        <f>HYPERLINK("https://klasma.github.io/Logging_0581/kartor/A 57772-2022 karta.png", "A 57772-2022")</f>
        <v/>
      </c>
      <c r="Y160">
        <f>HYPERLINK("https://klasma.github.io/Logging_0581/kartor_geotiff/A 57772-2022 georefererad karta.tif", "A 57772-2022")</f>
        <v/>
      </c>
      <c r="AA160">
        <f>HYPERLINK("https://klasma.github.io/Logging_0581/klagomål/A 57772-2022 FSC-klagomål.docx", "A 57772-2022")</f>
        <v/>
      </c>
      <c r="AB160">
        <f>HYPERLINK("https://klasma.github.io/Logging_0581/klagomålsmail/A 57772-2022 FSC-klagomål mail.docx", "A 57772-2022")</f>
        <v/>
      </c>
      <c r="AC160">
        <f>HYPERLINK("https://klasma.github.io/Logging_0581/tillsyn/A 57772-2022 tillsynsbegäran.docx", "A 57772-2022")</f>
        <v/>
      </c>
      <c r="AD160">
        <f>HYPERLINK("https://klasma.github.io/Logging_0581/tillsynsmail/A 57772-2022 tillsynsbegäran mail.docx", "A 57772-2022")</f>
        <v/>
      </c>
    </row>
    <row r="161" ht="15" customHeight="1">
      <c r="A161" t="inlineStr">
        <is>
          <t>A 41369-2023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46307</v>
      </c>
      <c r="F161" t="inlineStr">
        <is>
          <t>ÖSTERGÖTLANDS LÄN</t>
        </is>
      </c>
      <c r="G161" t="inlineStr">
        <is>
          <t>NORRKÖPING</t>
        </is>
      </c>
      <c r="I161" t="n">
        <v>2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Tallticka</t>
        </is>
      </c>
      <c r="W161">
        <f>HYPERLINK("https://klasma.github.io/Logging_0581/artfynd/A 41369-2023 artfynd.xlsx", "A 41369-2023")</f>
        <v/>
      </c>
      <c r="X161">
        <f>HYPERLINK("https://klasma.github.io/Logging_0581/kartor/A 41369-2023 karta.png", "A 41369-2023")</f>
        <v/>
      </c>
      <c r="Y161">
        <f>HYPERLINK("https://klasma.github.io/Logging_0581/kartor_geotiff/A 41369-2023 georefererad karta.tif", "A 41369-2023")</f>
        <v/>
      </c>
      <c r="AA161">
        <f>HYPERLINK("https://klasma.github.io/Logging_0581/klagomål/A 41369-2023 FSC-klagomål.docx", "A 41369-2023")</f>
        <v/>
      </c>
      <c r="AB161">
        <f>HYPERLINK("https://klasma.github.io/Logging_0581/klagomålsmail/A 41369-2023 FSC-klagomål mail.docx", "A 41369-2023")</f>
        <v/>
      </c>
      <c r="AC161">
        <f>HYPERLINK("https://klasma.github.io/Logging_0581/tillsyn/A 41369-2023 tillsynsbegäran.docx", "A 41369-2023")</f>
        <v/>
      </c>
      <c r="AD161">
        <f>HYPERLINK("https://klasma.github.io/Logging_0581/tillsynsmail/A 41369-2023 tillsynsbegäran mail.docx", "A 41369-2023")</f>
        <v/>
      </c>
    </row>
    <row r="162" ht="15" customHeight="1">
      <c r="A162" t="inlineStr">
        <is>
          <t>A 2832-2026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46307</v>
      </c>
      <c r="F162" t="inlineStr">
        <is>
          <t>ÖSTERGÖTLANDS LÄN</t>
        </is>
      </c>
      <c r="G162" t="inlineStr">
        <is>
          <t>NORRKÖPING</t>
        </is>
      </c>
      <c r="I162" t="n">
        <v>5.5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Grönpyrola</t>
        </is>
      </c>
      <c r="W162">
        <f>HYPERLINK("https://klasma.github.io/Logging_0581/artfynd/A 2832-2026 artfynd.xlsx", "A 2832-2026")</f>
        <v/>
      </c>
      <c r="X162">
        <f>HYPERLINK("https://klasma.github.io/Logging_0581/kartor/A 2832-2026 karta.png", "A 2832-2026")</f>
        <v/>
      </c>
      <c r="Y162">
        <f>HYPERLINK("https://klasma.github.io/Logging_0581/kartor_geotiff/A 2832-2026 georefererad karta.tif", "A 2832-2026")</f>
        <v/>
      </c>
      <c r="AA162">
        <f>HYPERLINK("https://klasma.github.io/Logging_0581/klagomål/A 2832-2026 FSC-klagomål.docx", "A 2832-2026")</f>
        <v/>
      </c>
      <c r="AB162">
        <f>HYPERLINK("https://klasma.github.io/Logging_0581/klagomålsmail/A 2832-2026 FSC-klagomål mail.docx", "A 2832-2026")</f>
        <v/>
      </c>
      <c r="AC162">
        <f>HYPERLINK("https://klasma.github.io/Logging_0581/tillsyn/A 2832-2026 tillsynsbegäran.docx", "A 2832-2026")</f>
        <v/>
      </c>
      <c r="AD162">
        <f>HYPERLINK("https://klasma.github.io/Logging_0581/tillsynsmail/A 2832-2026 tillsynsbegäran mail.docx", "A 2832-2026")</f>
        <v/>
      </c>
    </row>
    <row r="163" ht="15" customHeight="1">
      <c r="A163" t="inlineStr">
        <is>
          <t>A 20170-2026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46307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Igelkott</t>
        </is>
      </c>
      <c r="W163">
        <f>HYPERLINK("https://klasma.github.io/Logging_0581/artfynd/A 20170-2026 artfynd.xlsx", "A 20170-2026")</f>
        <v/>
      </c>
      <c r="X163">
        <f>HYPERLINK("https://klasma.github.io/Logging_0581/kartor/A 20170-2026 karta.png", "A 20170-2026")</f>
        <v/>
      </c>
      <c r="Y163">
        <f>HYPERLINK("https://klasma.github.io/Logging_0581/kartor_geotiff/A 20170-2026 georefererad karta.tif", "A 20170-2026")</f>
        <v/>
      </c>
      <c r="AA163">
        <f>HYPERLINK("https://klasma.github.io/Logging_0581/klagomål/A 20170-2026 FSC-klagomål.docx", "A 20170-2026")</f>
        <v/>
      </c>
      <c r="AB163">
        <f>HYPERLINK("https://klasma.github.io/Logging_0581/klagomålsmail/A 20170-2026 FSC-klagomål mail.docx", "A 20170-2026")</f>
        <v/>
      </c>
      <c r="AC163">
        <f>HYPERLINK("https://klasma.github.io/Logging_0581/tillsyn/A 20170-2026 tillsynsbegäran.docx", "A 20170-2026")</f>
        <v/>
      </c>
      <c r="AD163">
        <f>HYPERLINK("https://klasma.github.io/Logging_0581/tillsynsmail/A 20170-2026 tillsynsbegäran mail.docx", "A 20170-2026")</f>
        <v/>
      </c>
    </row>
    <row r="164" ht="15" customHeight="1">
      <c r="A164" t="inlineStr">
        <is>
          <t>A 6347-2026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46307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Kommuner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Blanksvart trämyra</t>
        </is>
      </c>
      <c r="W164">
        <f>HYPERLINK("https://klasma.github.io/Logging_0581/artfynd/A 6347-2026 artfynd.xlsx", "A 6347-2026")</f>
        <v/>
      </c>
      <c r="X164">
        <f>HYPERLINK("https://klasma.github.io/Logging_0581/kartor/A 6347-2026 karta.png", "A 6347-2026")</f>
        <v/>
      </c>
      <c r="Y164">
        <f>HYPERLINK("https://klasma.github.io/Logging_0581/kartor_geotiff/A 6347-2026 georefererad karta.tif", "A 6347-2026")</f>
        <v/>
      </c>
      <c r="AA164">
        <f>HYPERLINK("https://klasma.github.io/Logging_0581/klagomål/A 6347-2026 FSC-klagomål.docx", "A 6347-2026")</f>
        <v/>
      </c>
      <c r="AB164">
        <f>HYPERLINK("https://klasma.github.io/Logging_0581/klagomålsmail/A 6347-2026 FSC-klagomål mail.docx", "A 6347-2026")</f>
        <v/>
      </c>
      <c r="AC164">
        <f>HYPERLINK("https://klasma.github.io/Logging_0581/tillsyn/A 6347-2026 tillsynsbegäran.docx", "A 6347-2026")</f>
        <v/>
      </c>
      <c r="AD164">
        <f>HYPERLINK("https://klasma.github.io/Logging_0581/tillsynsmail/A 6347-2026 tillsynsbegäran mail.docx", "A 6347-2026")</f>
        <v/>
      </c>
    </row>
    <row r="165" ht="15" customHeight="1">
      <c r="A165" t="inlineStr">
        <is>
          <t>A 11126-2026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46307</v>
      </c>
      <c r="F165" t="inlineStr">
        <is>
          <t>ÖSTERGÖTLANDS LÄN</t>
        </is>
      </c>
      <c r="G165" t="inlineStr">
        <is>
          <t>NORRKÖPING</t>
        </is>
      </c>
      <c r="I165" t="n">
        <v>2.1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Svinrot</t>
        </is>
      </c>
      <c r="W165">
        <f>HYPERLINK("https://klasma.github.io/Logging_0581/artfynd/A 11126-2026 artfynd.xlsx", "A 11126-2026")</f>
        <v/>
      </c>
      <c r="X165">
        <f>HYPERLINK("https://klasma.github.io/Logging_0581/kartor/A 11126-2026 karta.png", "A 11126-2026")</f>
        <v/>
      </c>
      <c r="Y165">
        <f>HYPERLINK("https://klasma.github.io/Logging_0581/kartor_geotiff/A 11126-2026 georefererad karta.tif", "A 11126-2026")</f>
        <v/>
      </c>
      <c r="AA165">
        <f>HYPERLINK("https://klasma.github.io/Logging_0581/klagomål/A 11126-2026 FSC-klagomål.docx", "A 11126-2026")</f>
        <v/>
      </c>
      <c r="AB165">
        <f>HYPERLINK("https://klasma.github.io/Logging_0581/klagomålsmail/A 11126-2026 FSC-klagomål mail.docx", "A 11126-2026")</f>
        <v/>
      </c>
      <c r="AC165">
        <f>HYPERLINK("https://klasma.github.io/Logging_0581/tillsyn/A 11126-2026 tillsynsbegäran.docx", "A 11126-2026")</f>
        <v/>
      </c>
      <c r="AD165">
        <f>HYPERLINK("https://klasma.github.io/Logging_0581/tillsynsmail/A 11126-2026 tillsynsbegäran mail.docx", "A 11126-2026")</f>
        <v/>
      </c>
    </row>
    <row r="166" ht="15" customHeight="1">
      <c r="A166" t="inlineStr">
        <is>
          <t>A 11714-2026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46307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Gulsparv</t>
        </is>
      </c>
      <c r="W166">
        <f>HYPERLINK("https://klasma.github.io/Logging_0581/artfynd/A 11714-2026 artfynd.xlsx", "A 11714-2026")</f>
        <v/>
      </c>
      <c r="X166">
        <f>HYPERLINK("https://klasma.github.io/Logging_0581/kartor/A 11714-2026 karta.png", "A 11714-2026")</f>
        <v/>
      </c>
      <c r="Y166">
        <f>HYPERLINK("https://klasma.github.io/Logging_0581/kartor_geotiff/A 11714-2026 georefererad karta.tif", "A 11714-2026")</f>
        <v/>
      </c>
      <c r="AA166">
        <f>HYPERLINK("https://klasma.github.io/Logging_0581/klagomål/A 11714-2026 FSC-klagomål.docx", "A 11714-2026")</f>
        <v/>
      </c>
      <c r="AB166">
        <f>HYPERLINK("https://klasma.github.io/Logging_0581/klagomålsmail/A 11714-2026 FSC-klagomål mail.docx", "A 11714-2026")</f>
        <v/>
      </c>
      <c r="AC166">
        <f>HYPERLINK("https://klasma.github.io/Logging_0581/tillsyn/A 11714-2026 tillsynsbegäran.docx", "A 11714-2026")</f>
        <v/>
      </c>
      <c r="AD166">
        <f>HYPERLINK("https://klasma.github.io/Logging_0581/tillsynsmail/A 11714-2026 tillsynsbegäran mail.docx", "A 11714-2026")</f>
        <v/>
      </c>
      <c r="AE166">
        <f>HYPERLINK("https://klasma.github.io/Logging_0581/fåglar/A 11714-2026 prioriterade fågelarter.docx", "A 11714-2026")</f>
        <v/>
      </c>
    </row>
    <row r="167" ht="15" customHeight="1">
      <c r="A167" t="inlineStr">
        <is>
          <t>A 23627-2026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46307</v>
      </c>
      <c r="F167" t="inlineStr">
        <is>
          <t>ÖSTERGÖTLANDS LÄN</t>
        </is>
      </c>
      <c r="G167" t="inlineStr">
        <is>
          <t>NORRKÖPING</t>
        </is>
      </c>
      <c r="I167" t="n">
        <v>4.1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Ekoxe</t>
        </is>
      </c>
      <c r="W167">
        <f>HYPERLINK("https://klasma.github.io/Logging_0581/artfynd/A 23627-2026 artfynd.xlsx", "A 23627-2026")</f>
        <v/>
      </c>
      <c r="X167">
        <f>HYPERLINK("https://klasma.github.io/Logging_0581/kartor/A 23627-2026 karta.png", "A 23627-2026")</f>
        <v/>
      </c>
      <c r="Y167">
        <f>HYPERLINK("https://klasma.github.io/Logging_0581/kartor_geotiff/A 23627-2026 georefererad karta.tif", "A 23627-2026")</f>
        <v/>
      </c>
      <c r="AA167">
        <f>HYPERLINK("https://klasma.github.io/Logging_0581/klagomål/A 23627-2026 FSC-klagomål.docx", "A 23627-2026")</f>
        <v/>
      </c>
      <c r="AB167">
        <f>HYPERLINK("https://klasma.github.io/Logging_0581/klagomålsmail/A 23627-2026 FSC-klagomål mail.docx", "A 23627-2026")</f>
        <v/>
      </c>
      <c r="AC167">
        <f>HYPERLINK("https://klasma.github.io/Logging_0581/tillsyn/A 23627-2026 tillsynsbegäran.docx", "A 23627-2026")</f>
        <v/>
      </c>
      <c r="AD167">
        <f>HYPERLINK("https://klasma.github.io/Logging_0581/tillsynsmail/A 23627-2026 tillsynsbegäran mail.docx", "A 23627-2026")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46307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Tallticka</t>
        </is>
      </c>
      <c r="W168">
        <f>HYPERLINK("https://klasma.github.io/Logging_0581/artfynd/A 25707-2026 artfynd.xlsx", "A 25707-2026")</f>
        <v/>
      </c>
      <c r="X168">
        <f>HYPERLINK("https://klasma.github.io/Logging_0581/kartor/A 25707-2026 karta.png", "A 25707-2026")</f>
        <v/>
      </c>
      <c r="Y168">
        <f>HYPERLINK("https://klasma.github.io/Logging_0581/kartor_geotiff/A 25707-2026 georefererad karta.tif", "A 25707-2026")</f>
        <v/>
      </c>
      <c r="AA168">
        <f>HYPERLINK("https://klasma.github.io/Logging_0581/klagomål/A 25707-2026 FSC-klagomål.docx", "A 25707-2026")</f>
        <v/>
      </c>
      <c r="AB168">
        <f>HYPERLINK("https://klasma.github.io/Logging_0581/klagomålsmail/A 25707-2026 FSC-klagomål mail.docx", "A 25707-2026")</f>
        <v/>
      </c>
      <c r="AC168">
        <f>HYPERLINK("https://klasma.github.io/Logging_0581/tillsyn/A 25707-2026 tillsynsbegäran.docx", "A 25707-2026")</f>
        <v/>
      </c>
      <c r="AD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46307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31231-2026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46307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4.2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HYPERLINK("https://klasma.github.io/Logging_0581/artfynd/A 31231-2026 artfynd.xlsx", "A 31231-2026")</f>
        <v/>
      </c>
      <c r="X170">
        <f>HYPERLINK("https://klasma.github.io/Logging_0581/kartor/A 31231-2026 karta.png", "A 31231-2026")</f>
        <v/>
      </c>
      <c r="Y170">
        <f>HYPERLINK("https://klasma.github.io/Logging_0581/kartor_geotiff/A 31231-2026 georefererad karta.tif", "A 31231-2026")</f>
        <v/>
      </c>
      <c r="AA170">
        <f>HYPERLINK("https://klasma.github.io/Logging_0581/klagomål/A 31231-2026 FSC-klagomål.docx", "A 31231-2026")</f>
        <v/>
      </c>
      <c r="AB170">
        <f>HYPERLINK("https://klasma.github.io/Logging_0581/klagomålsmail/A 31231-2026 FSC-klagomål mail.docx", "A 31231-2026")</f>
        <v/>
      </c>
      <c r="AC170">
        <f>HYPERLINK("https://klasma.github.io/Logging_0581/tillsyn/A 31231-2026 tillsynsbegäran.docx", "A 31231-2026")</f>
        <v/>
      </c>
      <c r="AD170">
        <f>HYPERLINK("https://klasma.github.io/Logging_0581/tillsynsmail/A 31231-2026 tillsynsbegäran mail.docx", "A 31231-2026")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46307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Raggbock</t>
        </is>
      </c>
      <c r="W171">
        <f>HYPERLINK("https://klasma.github.io/Logging_0581/artfynd/A 31254-2026 artfynd.xlsx", "A 31254-2026")</f>
        <v/>
      </c>
      <c r="X171">
        <f>HYPERLINK("https://klasma.github.io/Logging_0581/kartor/A 31254-2026 karta.png", "A 31254-2026")</f>
        <v/>
      </c>
      <c r="Y171">
        <f>HYPERLINK("https://klasma.github.io/Logging_0581/kartor_geotiff/A 31254-2026 georefererad karta.tif", "A 31254-2026")</f>
        <v/>
      </c>
      <c r="AA171">
        <f>HYPERLINK("https://klasma.github.io/Logging_0581/klagomål/A 31254-2026 FSC-klagomål.docx", "A 31254-2026")</f>
        <v/>
      </c>
      <c r="AB171">
        <f>HYPERLINK("https://klasma.github.io/Logging_0581/klagomålsmail/A 31254-2026 FSC-klagomål mail.docx", "A 31254-2026")</f>
        <v/>
      </c>
      <c r="AC171">
        <f>HYPERLINK("https://klasma.github.io/Logging_0581/tillsyn/A 31254-2026 tillsynsbegäran.docx", "A 31254-2026")</f>
        <v/>
      </c>
      <c r="AD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31325-2026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46307</v>
      </c>
      <c r="F172" t="inlineStr">
        <is>
          <t>ÖSTERGÖTLANDS LÄN</t>
        </is>
      </c>
      <c r="G172" t="inlineStr">
        <is>
          <t>NORRKÖPING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Bergsslok</t>
        </is>
      </c>
      <c r="W172">
        <f>HYPERLINK("https://klasma.github.io/Logging_0581/artfynd/A 31325-2026 artfynd.xlsx", "A 31325-2026")</f>
        <v/>
      </c>
      <c r="X172">
        <f>HYPERLINK("https://klasma.github.io/Logging_0581/kartor/A 31325-2026 karta.png", "A 31325-2026")</f>
        <v/>
      </c>
      <c r="Y172">
        <f>HYPERLINK("https://klasma.github.io/Logging_0581/kartor_geotiff/A 31325-2026 georefererad karta.tif", "A 31325-2026")</f>
        <v/>
      </c>
      <c r="AA172">
        <f>HYPERLINK("https://klasma.github.io/Logging_0581/klagomål/A 31325-2026 FSC-klagomål.docx", "A 31325-2026")</f>
        <v/>
      </c>
      <c r="AB172">
        <f>HYPERLINK("https://klasma.github.io/Logging_0581/klagomålsmail/A 31325-2026 FSC-klagomål mail.docx", "A 31325-2026")</f>
        <v/>
      </c>
      <c r="AC172">
        <f>HYPERLINK("https://klasma.github.io/Logging_0581/tillsyn/A 31325-2026 tillsynsbegäran.docx", "A 31325-2026")</f>
        <v/>
      </c>
      <c r="AD172">
        <f>HYPERLINK("https://klasma.github.io/Logging_0581/tillsynsmail/A 31325-2026 tillsynsbegäran mail.docx", "A 31325-2026")</f>
        <v/>
      </c>
    </row>
    <row r="173" ht="15" customHeight="1">
      <c r="A173" t="inlineStr">
        <is>
          <t>A 31660-2026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46225</v>
      </c>
      <c r="E173" s="1" t="n">
        <v>46307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8.199999999999999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31660-2026 artfynd.xlsx", "A 31660-2026")</f>
        <v/>
      </c>
      <c r="X173">
        <f>HYPERLINK("https://klasma.github.io/Logging_0581/kartor/A 31660-2026 karta.png", "A 31660-2026")</f>
        <v/>
      </c>
      <c r="Y173">
        <f>HYPERLINK("https://klasma.github.io/Logging_0581/kartor_geotiff/A 31660-2026 georefererad karta.tif", "A 31660-2026")</f>
        <v/>
      </c>
      <c r="AA173">
        <f>HYPERLINK("https://klasma.github.io/Logging_0581/klagomål/A 31660-2026 FSC-klagomål.docx", "A 31660-2026")</f>
        <v/>
      </c>
      <c r="AB173">
        <f>HYPERLINK("https://klasma.github.io/Logging_0581/klagomålsmail/A 31660-2026 FSC-klagomål mail.docx", "A 31660-2026")</f>
        <v/>
      </c>
      <c r="AC173">
        <f>HYPERLINK("https://klasma.github.io/Logging_0581/tillsyn/A 31660-2026 tillsynsbegäran.docx", "A 31660-2026")</f>
        <v/>
      </c>
      <c r="AD173">
        <f>HYPERLINK("https://klasma.github.io/Logging_0581/tillsynsmail/A 31660-2026 tillsynsbegäran mail.docx", "A 31660-2026")</f>
        <v/>
      </c>
    </row>
    <row r="174" ht="15" customHeight="1">
      <c r="A174" t="inlineStr">
        <is>
          <t>A 31892-2026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46307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HYPERLINK("https://klasma.github.io/Logging_0581/artfynd/A 31892-2026 artfynd.xlsx", "A 31892-2026")</f>
        <v/>
      </c>
      <c r="X174">
        <f>HYPERLINK("https://klasma.github.io/Logging_0581/kartor/A 31892-2026 karta.png", "A 31892-2026")</f>
        <v/>
      </c>
      <c r="Y174">
        <f>HYPERLINK("https://klasma.github.io/Logging_0581/kartor_geotiff/A 31892-2026 georefererad karta.tif", "A 31892-2026")</f>
        <v/>
      </c>
      <c r="AA174">
        <f>HYPERLINK("https://klasma.github.io/Logging_0581/klagomål/A 31892-2026 FSC-klagomål.docx", "A 31892-2026")</f>
        <v/>
      </c>
      <c r="AB174">
        <f>HYPERLINK("https://klasma.github.io/Logging_0581/klagomålsmail/A 31892-2026 FSC-klagomål mail.docx", "A 31892-2026")</f>
        <v/>
      </c>
      <c r="AC174">
        <f>HYPERLINK("https://klasma.github.io/Logging_0581/tillsyn/A 31892-2026 tillsynsbegäran.docx", "A 31892-2026")</f>
        <v/>
      </c>
      <c r="AD174">
        <f>HYPERLINK("https://klasma.github.io/Logging_0581/tillsynsmail/A 31892-2026 tillsynsbegäran mail.docx", "A 31892-2026")</f>
        <v/>
      </c>
    </row>
    <row r="175" ht="15" customHeight="1">
      <c r="A175" t="inlineStr">
        <is>
          <t>A 32070-2026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46233</v>
      </c>
      <c r="E175" s="1" t="n">
        <v>46307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Grönpyrola</t>
        </is>
      </c>
      <c r="W175">
        <f>HYPERLINK("https://klasma.github.io/Logging_0581/artfynd/A 32070-2026 artfynd.xlsx", "A 32070-2026")</f>
        <v/>
      </c>
      <c r="X175">
        <f>HYPERLINK("https://klasma.github.io/Logging_0581/kartor/A 32070-2026 karta.png", "A 32070-2026")</f>
        <v/>
      </c>
      <c r="Y175">
        <f>HYPERLINK("https://klasma.github.io/Logging_0581/kartor_geotiff/A 32070-2026 georefererad karta.tif", "A 32070-2026")</f>
        <v/>
      </c>
      <c r="AA175">
        <f>HYPERLINK("https://klasma.github.io/Logging_0581/klagomål/A 32070-2026 FSC-klagomål.docx", "A 32070-2026")</f>
        <v/>
      </c>
      <c r="AB175">
        <f>HYPERLINK("https://klasma.github.io/Logging_0581/klagomålsmail/A 32070-2026 FSC-klagomål mail.docx", "A 32070-2026")</f>
        <v/>
      </c>
      <c r="AC175">
        <f>HYPERLINK("https://klasma.github.io/Logging_0581/tillsyn/A 32070-2026 tillsynsbegäran.docx", "A 32070-2026")</f>
        <v/>
      </c>
      <c r="AD175">
        <f>HYPERLINK("https://klasma.github.io/Logging_0581/tillsynsmail/A 32070-2026 tillsynsbegäran mail.docx", "A 32070-2026")</f>
        <v/>
      </c>
    </row>
    <row r="176" ht="15" customHeight="1">
      <c r="A176" t="inlineStr">
        <is>
          <t>A 32075-2026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46233</v>
      </c>
      <c r="E176" s="1" t="n">
        <v>46307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Grönpyrola</t>
        </is>
      </c>
      <c r="W176">
        <f>HYPERLINK("https://klasma.github.io/Logging_0581/artfynd/A 32075-2026 artfynd.xlsx", "A 32075-2026")</f>
        <v/>
      </c>
      <c r="X176">
        <f>HYPERLINK("https://klasma.github.io/Logging_0581/kartor/A 32075-2026 karta.png", "A 32075-2026")</f>
        <v/>
      </c>
      <c r="Y176">
        <f>HYPERLINK("https://klasma.github.io/Logging_0581/kartor_geotiff/A 32075-2026 georefererad karta.tif", "A 32075-2026")</f>
        <v/>
      </c>
      <c r="AA176">
        <f>HYPERLINK("https://klasma.github.io/Logging_0581/klagomål/A 32075-2026 FSC-klagomål.docx", "A 32075-2026")</f>
        <v/>
      </c>
      <c r="AB176">
        <f>HYPERLINK("https://klasma.github.io/Logging_0581/klagomålsmail/A 32075-2026 FSC-klagomål mail.docx", "A 32075-2026")</f>
        <v/>
      </c>
      <c r="AC176">
        <f>HYPERLINK("https://klasma.github.io/Logging_0581/tillsyn/A 32075-2026 tillsynsbegäran.docx", "A 32075-2026")</f>
        <v/>
      </c>
      <c r="AD176">
        <f>HYPERLINK("https://klasma.github.io/Logging_0581/tillsynsmail/A 32075-2026 tillsynsbegäran mail.docx", "A 32075-2026")</f>
        <v/>
      </c>
    </row>
    <row r="177" ht="15" customHeight="1">
      <c r="A177" t="inlineStr">
        <is>
          <t>A 32815-2026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46241</v>
      </c>
      <c r="E177" s="1" t="n">
        <v>46307</v>
      </c>
      <c r="F177" t="inlineStr">
        <is>
          <t>ÖSTERGÖTLANDS LÄN</t>
        </is>
      </c>
      <c r="G177" t="inlineStr">
        <is>
          <t>NORRKÖPING</t>
        </is>
      </c>
      <c r="I177" t="n">
        <v>2.2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Ärtsångare</t>
        </is>
      </c>
      <c r="W177">
        <f>HYPERLINK("https://klasma.github.io/Logging_0581/artfynd/A 32815-2026 artfynd.xlsx", "A 32815-2026")</f>
        <v/>
      </c>
      <c r="X177">
        <f>HYPERLINK("https://klasma.github.io/Logging_0581/kartor/A 32815-2026 karta.png", "A 32815-2026")</f>
        <v/>
      </c>
      <c r="Y177">
        <f>HYPERLINK("https://klasma.github.io/Logging_0581/kartor_geotiff/A 32815-2026 georefererad karta.tif", "A 32815-2026")</f>
        <v/>
      </c>
      <c r="AA177">
        <f>HYPERLINK("https://klasma.github.io/Logging_0581/klagomål/A 32815-2026 FSC-klagomål.docx", "A 32815-2026")</f>
        <v/>
      </c>
      <c r="AB177">
        <f>HYPERLINK("https://klasma.github.io/Logging_0581/klagomålsmail/A 32815-2026 FSC-klagomål mail.docx", "A 32815-2026")</f>
        <v/>
      </c>
      <c r="AC177">
        <f>HYPERLINK("https://klasma.github.io/Logging_0581/tillsyn/A 32815-2026 tillsynsbegäran.docx", "A 32815-2026")</f>
        <v/>
      </c>
      <c r="AD177">
        <f>HYPERLINK("https://klasma.github.io/Logging_0581/tillsynsmail/A 32815-2026 tillsynsbegäran mail.docx", "A 32815-2026")</f>
        <v/>
      </c>
    </row>
    <row r="178" ht="15" customHeight="1">
      <c r="A178" t="inlineStr">
        <is>
          <t>A 39427-2026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46307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9.800000000000001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Sångsvan</t>
        </is>
      </c>
      <c r="W178">
        <f>HYPERLINK("https://klasma.github.io/Logging_0581/artfynd/A 39427-2026 artfynd.xlsx", "A 39427-2026")</f>
        <v/>
      </c>
      <c r="X178">
        <f>HYPERLINK("https://klasma.github.io/Logging_0581/kartor/A 39427-2026 karta.png", "A 39427-2026")</f>
        <v/>
      </c>
      <c r="Y178">
        <f>HYPERLINK("https://klasma.github.io/Logging_0581/kartor_geotiff/A 39427-2026 georefererad karta.tif", "A 39427-2026")</f>
        <v/>
      </c>
      <c r="AA178">
        <f>HYPERLINK("https://klasma.github.io/Logging_0581/klagomål/A 39427-2026 FSC-klagomål.docx", "A 39427-2026")</f>
        <v/>
      </c>
      <c r="AB178">
        <f>HYPERLINK("https://klasma.github.io/Logging_0581/klagomålsmail/A 39427-2026 FSC-klagomål mail.docx", "A 39427-2026")</f>
        <v/>
      </c>
      <c r="AC178">
        <f>HYPERLINK("https://klasma.github.io/Logging_0581/tillsyn/A 39427-2026 tillsynsbegäran.docx", "A 39427-2026")</f>
        <v/>
      </c>
      <c r="AD178">
        <f>HYPERLINK("https://klasma.github.io/Logging_0581/tillsynsmail/A 39427-2026 tillsynsbegäran mail.docx", "A 39427-2026")</f>
        <v/>
      </c>
      <c r="AE178">
        <f>HYPERLINK("https://klasma.github.io/Logging_0581/fåglar/A 39427-2026 prioriterade fågelarter.docx", "A 39427-2026")</f>
        <v/>
      </c>
    </row>
    <row r="179" ht="15" customHeight="1">
      <c r="A179" t="inlineStr">
        <is>
          <t>A 46201-2025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45924</v>
      </c>
      <c r="E179" s="1" t="n">
        <v>46307</v>
      </c>
      <c r="F179" t="inlineStr">
        <is>
          <t>ÖSTERGÖTLANDS LÄN</t>
        </is>
      </c>
      <c r="G179" t="inlineStr">
        <is>
          <t>NORRKÖPING</t>
        </is>
      </c>
      <c r="I179" t="n">
        <v>1.5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Hasselticka</t>
        </is>
      </c>
      <c r="W179">
        <f>HYPERLINK("https://klasma.github.io/Logging_0581/artfynd/A 46201-2025 artfynd.xlsx", "A 46201-2025")</f>
        <v/>
      </c>
      <c r="X179">
        <f>HYPERLINK("https://klasma.github.io/Logging_0581/kartor/A 46201-2025 karta.png", "A 46201-2025")</f>
        <v/>
      </c>
      <c r="Y179">
        <f>HYPERLINK("https://klasma.github.io/Logging_0581/kartor_geotiff/A 46201-2025 georefererad karta.tif", "A 46201-2025")</f>
        <v/>
      </c>
      <c r="AA179">
        <f>HYPERLINK("https://klasma.github.io/Logging_0581/klagomål/A 46201-2025 FSC-klagomål.docx", "A 46201-2025")</f>
        <v/>
      </c>
      <c r="AB179">
        <f>HYPERLINK("https://klasma.github.io/Logging_0581/klagomålsmail/A 46201-2025 FSC-klagomål mail.docx", "A 46201-2025")</f>
        <v/>
      </c>
      <c r="AC179">
        <f>HYPERLINK("https://klasma.github.io/Logging_0581/tillsyn/A 46201-2025 tillsynsbegäran.docx", "A 46201-2025")</f>
        <v/>
      </c>
      <c r="AD179">
        <f>HYPERLINK("https://klasma.github.io/Logging_0581/tillsynsmail/A 46201-2025 tillsynsbegäran mail.docx", "A 46201-2025")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46307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46307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46307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46307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46307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46307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46307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46307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46307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46307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46307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46307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46307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46307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46307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46307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46307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46307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46307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46307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46307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46307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46307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44582</v>
      </c>
      <c r="E203" s="1" t="n">
        <v>46307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46307</v>
      </c>
      <c r="F204" t="inlineStr">
        <is>
          <t>ÖSTERGÖTLANDS LÄN</t>
        </is>
      </c>
      <c r="G204" t="inlineStr">
        <is>
          <t>NORRKÖPING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44741</v>
      </c>
      <c r="E205" s="1" t="n">
        <v>46307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44740</v>
      </c>
      <c r="E206" s="1" t="n">
        <v>46307</v>
      </c>
      <c r="F206" t="inlineStr">
        <is>
          <t>ÖSTERGÖTLANDS LÄN</t>
        </is>
      </c>
      <c r="G206" t="inlineStr">
        <is>
          <t>NORRKÖPING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44730</v>
      </c>
      <c r="E207" s="1" t="n">
        <v>46307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Allmännings- och besparingsskogar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46307</v>
      </c>
      <c r="F208" t="inlineStr">
        <is>
          <t>ÖSTERGÖTLANDS LÄN</t>
        </is>
      </c>
      <c r="G208" t="inlineStr">
        <is>
          <t>NORRKÖPING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44686</v>
      </c>
      <c r="E209" s="1" t="n">
        <v>46307</v>
      </c>
      <c r="F209" t="inlineStr">
        <is>
          <t>ÖSTERGÖTLANDS LÄN</t>
        </is>
      </c>
      <c r="G209" t="inlineStr">
        <is>
          <t>NORRKÖPING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44602</v>
      </c>
      <c r="E210" s="1" t="n">
        <v>46307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46307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BillerudKorsnäs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44726</v>
      </c>
      <c r="E212" s="1" t="n">
        <v>46307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46307</v>
      </c>
      <c r="F213" t="inlineStr">
        <is>
          <t>ÖSTERGÖTLANDS LÄN</t>
        </is>
      </c>
      <c r="G213" t="inlineStr">
        <is>
          <t>NORRKÖPING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40910-2022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46307</v>
      </c>
      <c r="F214" t="inlineStr">
        <is>
          <t>ÖSTERGÖTLANDS LÄN</t>
        </is>
      </c>
      <c r="G214" t="inlineStr">
        <is>
          <t>NORRKÖPING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46307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46307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46307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46307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46307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46307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46307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46307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46307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46307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46307</v>
      </c>
      <c r="F225" t="inlineStr">
        <is>
          <t>ÖSTERGÖTLANDS LÄN</t>
        </is>
      </c>
      <c r="G225" t="inlineStr">
        <is>
          <t>NORRKÖPING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10798-2024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45369</v>
      </c>
      <c r="E226" s="1" t="n">
        <v>46307</v>
      </c>
      <c r="F226" t="inlineStr">
        <is>
          <t>ÖSTERGÖTLANDS LÄN</t>
        </is>
      </c>
      <c r="G226" t="inlineStr">
        <is>
          <t>NORRKÖPING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45336</v>
      </c>
      <c r="E227" s="1" t="n">
        <v>46307</v>
      </c>
      <c r="F227" t="inlineStr">
        <is>
          <t>ÖSTERGÖTLANDS LÄN</t>
        </is>
      </c>
      <c r="G227" t="inlineStr">
        <is>
          <t>NORRKÖPING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46307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46307</v>
      </c>
      <c r="F229" t="inlineStr">
        <is>
          <t>ÖSTERGÖTLANDS LÄN</t>
        </is>
      </c>
      <c r="G229" t="inlineStr">
        <is>
          <t>NORRKÖPING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46307</v>
      </c>
      <c r="F230" t="inlineStr">
        <is>
          <t>ÖSTERGÖTLANDS LÄN</t>
        </is>
      </c>
      <c r="G230" t="inlineStr">
        <is>
          <t>NORRKÖPING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7750-2025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46307</v>
      </c>
      <c r="F231" t="inlineStr">
        <is>
          <t>ÖSTERGÖTLANDS LÄN</t>
        </is>
      </c>
      <c r="G231" t="inlineStr">
        <is>
          <t>NORRKÖPING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44897</v>
      </c>
      <c r="E232" s="1" t="n">
        <v>46307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8426-2025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46307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44928</v>
      </c>
      <c r="E234" s="1" t="n">
        <v>46307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46307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19114-2023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45048</v>
      </c>
      <c r="E236" s="1" t="n">
        <v>46307</v>
      </c>
      <c r="F236" t="inlineStr">
        <is>
          <t>ÖSTERGÖTLANDS LÄN</t>
        </is>
      </c>
      <c r="G236" t="inlineStr">
        <is>
          <t>NORRKÖPING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45121</v>
      </c>
      <c r="E237" s="1" t="n">
        <v>46307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46307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46307</v>
      </c>
      <c r="F239" t="inlineStr">
        <is>
          <t>ÖSTERGÖTLANDS LÄN</t>
        </is>
      </c>
      <c r="G239" t="inlineStr">
        <is>
          <t>NORRKÖPING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36258-2022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44803</v>
      </c>
      <c r="E240" s="1" t="n">
        <v>46307</v>
      </c>
      <c r="F240" t="inlineStr">
        <is>
          <t>ÖSTERGÖTLANDS LÄN</t>
        </is>
      </c>
      <c r="G240" t="inlineStr">
        <is>
          <t>NORRKÖPING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44588</v>
      </c>
      <c r="E241" s="1" t="n">
        <v>46307</v>
      </c>
      <c r="F241" t="inlineStr">
        <is>
          <t>ÖSTERGÖTLANDS LÄN</t>
        </is>
      </c>
      <c r="G241" t="inlineStr">
        <is>
          <t>NORRKÖPING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45436</v>
      </c>
      <c r="E242" s="1" t="n">
        <v>46307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45268</v>
      </c>
      <c r="E243" s="1" t="n">
        <v>46307</v>
      </c>
      <c r="F243" t="inlineStr">
        <is>
          <t>ÖSTERGÖTLANDS LÄN</t>
        </is>
      </c>
      <c r="G243" t="inlineStr">
        <is>
          <t>NORRKÖPING</t>
        </is>
      </c>
      <c r="I243" t="n">
        <v>12.5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45043</v>
      </c>
      <c r="E244" s="1" t="n">
        <v>46307</v>
      </c>
      <c r="F244" t="inlineStr">
        <is>
          <t>ÖSTERGÖTLANDS LÄN</t>
        </is>
      </c>
      <c r="G244" t="inlineStr">
        <is>
          <t>NORRKÖPING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46307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46307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46307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50157-2022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44865</v>
      </c>
      <c r="E248" s="1" t="n">
        <v>46307</v>
      </c>
      <c r="F248" t="inlineStr">
        <is>
          <t>ÖSTERGÖTLANDS LÄN</t>
        </is>
      </c>
      <c r="G248" t="inlineStr">
        <is>
          <t>NORRKÖPING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49062-2022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44860</v>
      </c>
      <c r="E249" s="1" t="n">
        <v>46307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44783</v>
      </c>
      <c r="E250" s="1" t="n">
        <v>46307</v>
      </c>
      <c r="F250" t="inlineStr">
        <is>
          <t>ÖSTERGÖTLANDS LÄN</t>
        </is>
      </c>
      <c r="G250" t="inlineStr">
        <is>
          <t>NORRKÖPING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46307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46307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46307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49799-2022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46307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46307</v>
      </c>
      <c r="F255" t="inlineStr">
        <is>
          <t>ÖSTERGÖTLANDS LÄN</t>
        </is>
      </c>
      <c r="G255" t="inlineStr">
        <is>
          <t>NORRKÖPING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46307</v>
      </c>
      <c r="F256" t="inlineStr">
        <is>
          <t>ÖSTERGÖTLANDS LÄN</t>
        </is>
      </c>
      <c r="G256" t="inlineStr">
        <is>
          <t>NORRKÖPING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45043</v>
      </c>
      <c r="E257" s="1" t="n">
        <v>46307</v>
      </c>
      <c r="F257" t="inlineStr">
        <is>
          <t>ÖSTERGÖTLANDS LÄN</t>
        </is>
      </c>
      <c r="G257" t="inlineStr">
        <is>
          <t>NORRKÖPING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46307</v>
      </c>
      <c r="F258" t="inlineStr">
        <is>
          <t>ÖSTERGÖTLANDS LÄN</t>
        </is>
      </c>
      <c r="G258" t="inlineStr">
        <is>
          <t>NORRKÖPING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45202</v>
      </c>
      <c r="E259" s="1" t="n">
        <v>46307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35701-2024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45532</v>
      </c>
      <c r="E260" s="1" t="n">
        <v>46307</v>
      </c>
      <c r="F260" t="inlineStr">
        <is>
          <t>ÖSTERGÖTLANDS LÄN</t>
        </is>
      </c>
      <c r="G260" t="inlineStr">
        <is>
          <t>NORRKÖPING</t>
        </is>
      </c>
      <c r="I260" t="n">
        <v>11.7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46307</v>
      </c>
      <c r="F261" t="inlineStr">
        <is>
          <t>ÖSTERGÖTLANDS LÄN</t>
        </is>
      </c>
      <c r="G261" t="inlineStr">
        <is>
          <t>NORRKÖPING</t>
        </is>
      </c>
      <c r="I261" t="n">
        <v>12.8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45317</v>
      </c>
      <c r="E262" s="1" t="n">
        <v>46307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46307</v>
      </c>
      <c r="F263" t="inlineStr">
        <is>
          <t>ÖSTERGÖTLANDS LÄN</t>
        </is>
      </c>
      <c r="G263" t="inlineStr">
        <is>
          <t>NORRKÖPING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46307</v>
      </c>
      <c r="F264" t="inlineStr">
        <is>
          <t>ÖSTERGÖTLANDS LÄN</t>
        </is>
      </c>
      <c r="G264" t="inlineStr">
        <is>
          <t>NORRKÖPING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46307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44861</v>
      </c>
      <c r="E266" s="1" t="n">
        <v>46307</v>
      </c>
      <c r="F266" t="inlineStr">
        <is>
          <t>ÖSTERGÖTLANDS LÄN</t>
        </is>
      </c>
      <c r="G266" t="inlineStr">
        <is>
          <t>NORRKÖPING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45106</v>
      </c>
      <c r="E267" s="1" t="n">
        <v>46307</v>
      </c>
      <c r="F267" t="inlineStr">
        <is>
          <t>ÖSTERGÖTLANDS LÄN</t>
        </is>
      </c>
      <c r="G267" t="inlineStr">
        <is>
          <t>NORRKÖPING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46307</v>
      </c>
      <c r="F268" t="inlineStr">
        <is>
          <t>ÖSTERGÖTLANDS LÄN</t>
        </is>
      </c>
      <c r="G268" t="inlineStr">
        <is>
          <t>NORRKÖPING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45379</v>
      </c>
      <c r="E269" s="1" t="n">
        <v>46307</v>
      </c>
      <c r="F269" t="inlineStr">
        <is>
          <t>ÖSTERGÖTLANDS LÄN</t>
        </is>
      </c>
      <c r="G269" t="inlineStr">
        <is>
          <t>NORRKÖPING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44880</v>
      </c>
      <c r="E270" s="1" t="n">
        <v>46307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45317</v>
      </c>
      <c r="E271" s="1" t="n">
        <v>46307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46307</v>
      </c>
      <c r="F272" t="inlineStr">
        <is>
          <t>ÖSTERGÖTLANDS LÄN</t>
        </is>
      </c>
      <c r="G272" t="inlineStr">
        <is>
          <t>NORRKÖPING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46307</v>
      </c>
      <c r="F273" t="inlineStr">
        <is>
          <t>ÖSTERGÖTLANDS LÄN</t>
        </is>
      </c>
      <c r="G273" t="inlineStr">
        <is>
          <t>NORRKÖPING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13133-2024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46307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46307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Allmännings- och besparingsskogar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46307</v>
      </c>
      <c r="F276" t="inlineStr">
        <is>
          <t>ÖSTERGÖTLANDS LÄN</t>
        </is>
      </c>
      <c r="G276" t="inlineStr">
        <is>
          <t>NORRKÖPING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1914-2023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44939</v>
      </c>
      <c r="E277" s="1" t="n">
        <v>46307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Naturvårdsverket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63961-2023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45278</v>
      </c>
      <c r="E278" s="1" t="n">
        <v>46307</v>
      </c>
      <c r="F278" t="inlineStr">
        <is>
          <t>ÖSTERGÖTLANDS LÄN</t>
        </is>
      </c>
      <c r="G278" t="inlineStr">
        <is>
          <t>NORRKÖPING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46307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45723</v>
      </c>
      <c r="E280" s="1" t="n">
        <v>46307</v>
      </c>
      <c r="F280" t="inlineStr">
        <is>
          <t>ÖSTERGÖTLANDS LÄN</t>
        </is>
      </c>
      <c r="G280" t="inlineStr">
        <is>
          <t>NORRKÖPING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45339</v>
      </c>
      <c r="E281" s="1" t="n">
        <v>46307</v>
      </c>
      <c r="F281" t="inlineStr">
        <is>
          <t>ÖSTERGÖTLANDS LÄN</t>
        </is>
      </c>
      <c r="G281" t="inlineStr">
        <is>
          <t>NORRKÖPING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45408</v>
      </c>
      <c r="E282" s="1" t="n">
        <v>46307</v>
      </c>
      <c r="F282" t="inlineStr">
        <is>
          <t>ÖSTERGÖTLANDS LÄN</t>
        </is>
      </c>
      <c r="G282" t="inlineStr">
        <is>
          <t>NORRKÖPING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45027</v>
      </c>
      <c r="E283" s="1" t="n">
        <v>46307</v>
      </c>
      <c r="F283" t="inlineStr">
        <is>
          <t>ÖSTERGÖTLANDS LÄN</t>
        </is>
      </c>
      <c r="G283" t="inlineStr">
        <is>
          <t>NORRKÖPING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46307</v>
      </c>
      <c r="F284" t="inlineStr">
        <is>
          <t>ÖSTERGÖTLANDS LÄN</t>
        </is>
      </c>
      <c r="G284" t="inlineStr">
        <is>
          <t>NORRKÖPING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46307</v>
      </c>
      <c r="F285" t="inlineStr">
        <is>
          <t>ÖSTERGÖTLANDS LÄN</t>
        </is>
      </c>
      <c r="G285" t="inlineStr">
        <is>
          <t>NORRKÖPING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46307</v>
      </c>
      <c r="F286" t="inlineStr">
        <is>
          <t>ÖSTERGÖTLANDS LÄN</t>
        </is>
      </c>
      <c r="G286" t="inlineStr">
        <is>
          <t>NORRKÖPING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46307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45478</v>
      </c>
      <c r="E288" s="1" t="n">
        <v>46307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45093</v>
      </c>
      <c r="E289" s="1" t="n">
        <v>46307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46307</v>
      </c>
      <c r="F290" t="inlineStr">
        <is>
          <t>ÖSTERGÖTLANDS LÄN</t>
        </is>
      </c>
      <c r="G290" t="inlineStr">
        <is>
          <t>NORRKÖPING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45118</v>
      </c>
      <c r="E291" s="1" t="n">
        <v>46307</v>
      </c>
      <c r="F291" t="inlineStr">
        <is>
          <t>ÖSTERGÖTLANDS LÄN</t>
        </is>
      </c>
      <c r="G291" t="inlineStr">
        <is>
          <t>NORRKÖPING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46307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46307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45254</v>
      </c>
      <c r="E294" s="1" t="n">
        <v>46307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BillerudKorsnäs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46307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58525-2021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44488</v>
      </c>
      <c r="E296" s="1" t="n">
        <v>46307</v>
      </c>
      <c r="F296" t="inlineStr">
        <is>
          <t>ÖSTERGÖTLANDS LÄN</t>
        </is>
      </c>
      <c r="G296" t="inlineStr">
        <is>
          <t>NORRKÖPING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45153</v>
      </c>
      <c r="E297" s="1" t="n">
        <v>46307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46307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46307</v>
      </c>
      <c r="F299" t="inlineStr">
        <is>
          <t>ÖSTERGÖTLANDS LÄN</t>
        </is>
      </c>
      <c r="G299" t="inlineStr">
        <is>
          <t>NORRKÖPING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46307</v>
      </c>
      <c r="F300" t="inlineStr">
        <is>
          <t>ÖSTERGÖTLANDS LÄN</t>
        </is>
      </c>
      <c r="G300" t="inlineStr">
        <is>
          <t>NORRKÖPING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46307</v>
      </c>
      <c r="F301" t="inlineStr">
        <is>
          <t>ÖSTERGÖTLANDS LÄN</t>
        </is>
      </c>
      <c r="G301" t="inlineStr">
        <is>
          <t>NORRKÖPING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45742</v>
      </c>
      <c r="E302" s="1" t="n">
        <v>46307</v>
      </c>
      <c r="F302" t="inlineStr">
        <is>
          <t>ÖSTERGÖTLANDS LÄN</t>
        </is>
      </c>
      <c r="G302" t="inlineStr">
        <is>
          <t>NORRKÖPING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46307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46307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46307</v>
      </c>
      <c r="F305" t="inlineStr">
        <is>
          <t>ÖSTERGÖTLANDS LÄN</t>
        </is>
      </c>
      <c r="G305" t="inlineStr">
        <is>
          <t>NORRKÖPING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39067-2025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46307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46307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44950</v>
      </c>
      <c r="E308" s="1" t="n">
        <v>46307</v>
      </c>
      <c r="F308" t="inlineStr">
        <is>
          <t>ÖSTERGÖTLANDS LÄN</t>
        </is>
      </c>
      <c r="G308" t="inlineStr">
        <is>
          <t>NORRKÖPING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45092</v>
      </c>
      <c r="E309" s="1" t="n">
        <v>46307</v>
      </c>
      <c r="F309" t="inlineStr">
        <is>
          <t>ÖSTERGÖTLANDS LÄN</t>
        </is>
      </c>
      <c r="G309" t="inlineStr">
        <is>
          <t>NORRKÖPING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45006</v>
      </c>
      <c r="E310" s="1" t="n">
        <v>46307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46307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45490</v>
      </c>
      <c r="E312" s="1" t="n">
        <v>46307</v>
      </c>
      <c r="F312" t="inlineStr">
        <is>
          <t>ÖSTERGÖTLANDS LÄN</t>
        </is>
      </c>
      <c r="G312" t="inlineStr">
        <is>
          <t>NORRKÖPING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44930</v>
      </c>
      <c r="E313" s="1" t="n">
        <v>46307</v>
      </c>
      <c r="F313" t="inlineStr">
        <is>
          <t>ÖSTERGÖTLANDS LÄN</t>
        </is>
      </c>
      <c r="G313" t="inlineStr">
        <is>
          <t>NORRKÖPING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44907</v>
      </c>
      <c r="E314" s="1" t="n">
        <v>46307</v>
      </c>
      <c r="F314" t="inlineStr">
        <is>
          <t>ÖSTERGÖTLANDS LÄN</t>
        </is>
      </c>
      <c r="G314" t="inlineStr">
        <is>
          <t>NORRKÖPING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46307</v>
      </c>
      <c r="F315" t="inlineStr">
        <is>
          <t>ÖSTERGÖTLANDS LÄN</t>
        </is>
      </c>
      <c r="G315" t="inlineStr">
        <is>
          <t>NORRKÖPING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45030</v>
      </c>
      <c r="E316" s="1" t="n">
        <v>46307</v>
      </c>
      <c r="F316" t="inlineStr">
        <is>
          <t>ÖSTERGÖTLANDS LÄN</t>
        </is>
      </c>
      <c r="G316" t="inlineStr">
        <is>
          <t>NORRKÖPING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46307</v>
      </c>
      <c r="F317" t="inlineStr">
        <is>
          <t>ÖSTERGÖTLANDS LÄN</t>
        </is>
      </c>
      <c r="G317" t="inlineStr">
        <is>
          <t>NORRKÖPING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44936</v>
      </c>
      <c r="E318" s="1" t="n">
        <v>46307</v>
      </c>
      <c r="F318" t="inlineStr">
        <is>
          <t>ÖSTERGÖTLANDS LÄN</t>
        </is>
      </c>
      <c r="G318" t="inlineStr">
        <is>
          <t>NORRKÖPING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46307</v>
      </c>
      <c r="F319" t="inlineStr">
        <is>
          <t>ÖSTERGÖTLANDS LÄN</t>
        </is>
      </c>
      <c r="G319" t="inlineStr">
        <is>
          <t>NORRKÖPING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15177-2023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45016</v>
      </c>
      <c r="E320" s="1" t="n">
        <v>46307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33446-2023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45129</v>
      </c>
      <c r="E321" s="1" t="n">
        <v>46307</v>
      </c>
      <c r="F321" t="inlineStr">
        <is>
          <t>ÖSTERGÖTLANDS LÄN</t>
        </is>
      </c>
      <c r="G321" t="inlineStr">
        <is>
          <t>NORRKÖPING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11612-2023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44994</v>
      </c>
      <c r="E322" s="1" t="n">
        <v>46307</v>
      </c>
      <c r="F322" t="inlineStr">
        <is>
          <t>ÖSTERGÖTLANDS LÄN</t>
        </is>
      </c>
      <c r="G322" t="inlineStr">
        <is>
          <t>NORRKÖPING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46307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46307</v>
      </c>
      <c r="F324" t="inlineStr">
        <is>
          <t>ÖSTERGÖTLANDS LÄN</t>
        </is>
      </c>
      <c r="G324" t="inlineStr">
        <is>
          <t>NORRKÖPING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45896</v>
      </c>
      <c r="E325" s="1" t="n">
        <v>46307</v>
      </c>
      <c r="F325" t="inlineStr">
        <is>
          <t>ÖSTERGÖTLANDS LÄN</t>
        </is>
      </c>
      <c r="G325" t="inlineStr">
        <is>
          <t>NORRKÖPING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46307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46307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45457</v>
      </c>
      <c r="E328" s="1" t="n">
        <v>46307</v>
      </c>
      <c r="F328" t="inlineStr">
        <is>
          <t>ÖSTERGÖTLANDS LÄN</t>
        </is>
      </c>
      <c r="G328" t="inlineStr">
        <is>
          <t>NORRKÖPING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46307</v>
      </c>
      <c r="F329" t="inlineStr">
        <is>
          <t>ÖSTERGÖTLANDS LÄN</t>
        </is>
      </c>
      <c r="G329" t="inlineStr">
        <is>
          <t>NORRKÖPING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45497</v>
      </c>
      <c r="E330" s="1" t="n">
        <v>46307</v>
      </c>
      <c r="F330" t="inlineStr">
        <is>
          <t>ÖSTERGÖTLANDS LÄN</t>
        </is>
      </c>
      <c r="G330" t="inlineStr">
        <is>
          <t>NORRKÖPING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46307</v>
      </c>
      <c r="F331" t="inlineStr">
        <is>
          <t>ÖSTERGÖTLANDS LÄN</t>
        </is>
      </c>
      <c r="G331" t="inlineStr">
        <is>
          <t>NORRKÖPING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45310</v>
      </c>
      <c r="E332" s="1" t="n">
        <v>46307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44890</v>
      </c>
      <c r="E333" s="1" t="n">
        <v>46307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14587-2025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45742</v>
      </c>
      <c r="E334" s="1" t="n">
        <v>46307</v>
      </c>
      <c r="F334" t="inlineStr">
        <is>
          <t>ÖSTERGÖTLANDS LÄN</t>
        </is>
      </c>
      <c r="G334" t="inlineStr">
        <is>
          <t>NORRKÖPING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46307</v>
      </c>
      <c r="F335" t="inlineStr">
        <is>
          <t>ÖSTERGÖTLANDS LÄN</t>
        </is>
      </c>
      <c r="G335" t="inlineStr">
        <is>
          <t>NORRKÖPING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46307</v>
      </c>
      <c r="F336" t="inlineStr">
        <is>
          <t>ÖSTERGÖTLANDS LÄN</t>
        </is>
      </c>
      <c r="G336" t="inlineStr">
        <is>
          <t>NORRKÖPING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46307</v>
      </c>
      <c r="F337" t="inlineStr">
        <is>
          <t>ÖSTERGÖTLANDS LÄN</t>
        </is>
      </c>
      <c r="G337" t="inlineStr">
        <is>
          <t>NORRKÖPING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46307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46307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46307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46307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46307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57405-2024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45629</v>
      </c>
      <c r="E343" s="1" t="n">
        <v>46307</v>
      </c>
      <c r="F343" t="inlineStr">
        <is>
          <t>ÖSTERGÖTLANDS LÄN</t>
        </is>
      </c>
      <c r="G343" t="inlineStr">
        <is>
          <t>NORRKÖPING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46307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46307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45478</v>
      </c>
      <c r="E346" s="1" t="n">
        <v>46307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45370</v>
      </c>
      <c r="E347" s="1" t="n">
        <v>46307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44957</v>
      </c>
      <c r="E348" s="1" t="n">
        <v>46307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59768-2021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44494</v>
      </c>
      <c r="E349" s="1" t="n">
        <v>46307</v>
      </c>
      <c r="F349" t="inlineStr">
        <is>
          <t>ÖSTERGÖTLANDS LÄN</t>
        </is>
      </c>
      <c r="G349" t="inlineStr">
        <is>
          <t>NORRKÖPING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46307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44582</v>
      </c>
      <c r="E351" s="1" t="n">
        <v>46307</v>
      </c>
      <c r="F351" t="inlineStr">
        <is>
          <t>ÖSTERGÖTLANDS LÄN</t>
        </is>
      </c>
      <c r="G351" t="inlineStr">
        <is>
          <t>NORRKÖPING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46307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45777</v>
      </c>
      <c r="E353" s="1" t="n">
        <v>46307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45782</v>
      </c>
      <c r="E354" s="1" t="n">
        <v>46307</v>
      </c>
      <c r="F354" t="inlineStr">
        <is>
          <t>ÖSTERGÖTLANDS LÄN</t>
        </is>
      </c>
      <c r="G354" t="inlineStr">
        <is>
          <t>NORRKÖPING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46307</v>
      </c>
      <c r="F355" t="inlineStr">
        <is>
          <t>ÖSTERGÖTLANDS LÄN</t>
        </is>
      </c>
      <c r="G355" t="inlineStr">
        <is>
          <t>NORRKÖPING</t>
        </is>
      </c>
      <c r="I355" t="n">
        <v>24.7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48758-2024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46307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45783</v>
      </c>
      <c r="E357" s="1" t="n">
        <v>46307</v>
      </c>
      <c r="F357" t="inlineStr">
        <is>
          <t>ÖSTERGÖTLANDS LÄN</t>
        </is>
      </c>
      <c r="G357" t="inlineStr">
        <is>
          <t>NORRKÖPING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33170-2023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46307</v>
      </c>
      <c r="F358" t="inlineStr">
        <is>
          <t>ÖSTERGÖTLANDS LÄN</t>
        </is>
      </c>
      <c r="G358" t="inlineStr">
        <is>
          <t>NORRKÖPING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46307</v>
      </c>
      <c r="F359" t="inlineStr">
        <is>
          <t>ÖSTERGÖTLANDS LÄN</t>
        </is>
      </c>
      <c r="G359" t="inlineStr">
        <is>
          <t>NORRKÖPING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21909-2025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45784</v>
      </c>
      <c r="E360" s="1" t="n">
        <v>46307</v>
      </c>
      <c r="F360" t="inlineStr">
        <is>
          <t>ÖSTERGÖTLANDS LÄN</t>
        </is>
      </c>
      <c r="G360" t="inlineStr">
        <is>
          <t>NORRKÖPING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46307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46307</v>
      </c>
      <c r="F362" t="inlineStr">
        <is>
          <t>ÖSTERGÖTLANDS LÄN</t>
        </is>
      </c>
      <c r="G362" t="inlineStr">
        <is>
          <t>NORRKÖPING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46307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10393-2024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45365</v>
      </c>
      <c r="E364" s="1" t="n">
        <v>46307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Kommuner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46307</v>
      </c>
      <c r="F365" t="inlineStr">
        <is>
          <t>ÖSTERGÖTLANDS LÄN</t>
        </is>
      </c>
      <c r="G365" t="inlineStr">
        <is>
          <t>NORRKÖPING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35148-2023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45145</v>
      </c>
      <c r="E366" s="1" t="n">
        <v>46307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15190-2024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45400</v>
      </c>
      <c r="E367" s="1" t="n">
        <v>46307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45442</v>
      </c>
      <c r="E368" s="1" t="n">
        <v>46307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44936</v>
      </c>
      <c r="E369" s="1" t="n">
        <v>46307</v>
      </c>
      <c r="F369" t="inlineStr">
        <is>
          <t>ÖSTERGÖTLANDS LÄN</t>
        </is>
      </c>
      <c r="G369" t="inlineStr">
        <is>
          <t>NORRKÖPING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46307</v>
      </c>
      <c r="F370" t="inlineStr">
        <is>
          <t>ÖSTERGÖTLANDS LÄN</t>
        </is>
      </c>
      <c r="G370" t="inlineStr">
        <is>
          <t>NORRKÖPING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46307</v>
      </c>
      <c r="F371" t="inlineStr">
        <is>
          <t>ÖSTERGÖTLANDS LÄN</t>
        </is>
      </c>
      <c r="G371" t="inlineStr">
        <is>
          <t>NORRKÖPING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45403</v>
      </c>
      <c r="E372" s="1" t="n">
        <v>46307</v>
      </c>
      <c r="F372" t="inlineStr">
        <is>
          <t>ÖSTERGÖTLANDS LÄN</t>
        </is>
      </c>
      <c r="G372" t="inlineStr">
        <is>
          <t>NORRKÖPING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44935</v>
      </c>
      <c r="E373" s="1" t="n">
        <v>46307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46307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45671</v>
      </c>
      <c r="E375" s="1" t="n">
        <v>46307</v>
      </c>
      <c r="F375" t="inlineStr">
        <is>
          <t>ÖSTERGÖTLANDS LÄN</t>
        </is>
      </c>
      <c r="G375" t="inlineStr">
        <is>
          <t>NORRKÖPING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46307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45114</v>
      </c>
      <c r="E377" s="1" t="n">
        <v>46307</v>
      </c>
      <c r="F377" t="inlineStr">
        <is>
          <t>ÖSTERGÖTLANDS LÄN</t>
        </is>
      </c>
      <c r="G377" t="inlineStr">
        <is>
          <t>NORRKÖPING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46307</v>
      </c>
      <c r="F378" t="inlineStr">
        <is>
          <t>ÖSTERGÖTLANDS LÄN</t>
        </is>
      </c>
      <c r="G378" t="inlineStr">
        <is>
          <t>NORRKÖPING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45538-2025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45922</v>
      </c>
      <c r="E379" s="1" t="n">
        <v>46307</v>
      </c>
      <c r="F379" t="inlineStr">
        <is>
          <t>ÖSTERGÖTLANDS LÄN</t>
        </is>
      </c>
      <c r="G379" t="inlineStr">
        <is>
          <t>NORRKÖPING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46307</v>
      </c>
      <c r="F380" t="inlineStr">
        <is>
          <t>ÖSTERGÖTLANDS LÄN</t>
        </is>
      </c>
      <c r="G380" t="inlineStr">
        <is>
          <t>NORRKÖPING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44889</v>
      </c>
      <c r="E381" s="1" t="n">
        <v>46307</v>
      </c>
      <c r="F381" t="inlineStr">
        <is>
          <t>ÖSTERGÖTLANDS LÄN</t>
        </is>
      </c>
      <c r="G381" t="inlineStr">
        <is>
          <t>NORRKÖPING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45028</v>
      </c>
      <c r="E382" s="1" t="n">
        <v>46307</v>
      </c>
      <c r="F382" t="inlineStr">
        <is>
          <t>ÖSTERGÖTLANDS LÄN</t>
        </is>
      </c>
      <c r="G382" t="inlineStr">
        <is>
          <t>NORRKÖPING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23366-2024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45453</v>
      </c>
      <c r="E383" s="1" t="n">
        <v>46307</v>
      </c>
      <c r="F383" t="inlineStr">
        <is>
          <t>ÖSTERGÖTLANDS LÄN</t>
        </is>
      </c>
      <c r="G383" t="inlineStr">
        <is>
          <t>NORRKÖPING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46307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45453</v>
      </c>
      <c r="E385" s="1" t="n">
        <v>46307</v>
      </c>
      <c r="F385" t="inlineStr">
        <is>
          <t>ÖSTERGÖTLANDS LÄN</t>
        </is>
      </c>
      <c r="G385" t="inlineStr">
        <is>
          <t>NORRKÖPING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46307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45546</v>
      </c>
      <c r="E387" s="1" t="n">
        <v>46307</v>
      </c>
      <c r="F387" t="inlineStr">
        <is>
          <t>ÖSTERGÖTLANDS LÄN</t>
        </is>
      </c>
      <c r="G387" t="inlineStr">
        <is>
          <t>NORRKÖPING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45356</v>
      </c>
      <c r="E388" s="1" t="n">
        <v>46307</v>
      </c>
      <c r="F388" t="inlineStr">
        <is>
          <t>ÖSTERGÖTLANDS LÄN</t>
        </is>
      </c>
      <c r="G388" t="inlineStr">
        <is>
          <t>NORRKÖPING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46307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45786</v>
      </c>
      <c r="E390" s="1" t="n">
        <v>46307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Naturvårdsverket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44565</v>
      </c>
      <c r="E391" s="1" t="n">
        <v>46307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Allmännings- och besparingsskogar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46307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46307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46307</v>
      </c>
      <c r="F394" t="inlineStr">
        <is>
          <t>ÖSTERGÖTLANDS LÄN</t>
        </is>
      </c>
      <c r="G394" t="inlineStr">
        <is>
          <t>NORRKÖPING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46307</v>
      </c>
      <c r="F395" t="inlineStr">
        <is>
          <t>ÖSTERGÖTLANDS LÄN</t>
        </is>
      </c>
      <c r="G395" t="inlineStr">
        <is>
          <t>NORRKÖPING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45106</v>
      </c>
      <c r="E396" s="1" t="n">
        <v>46307</v>
      </c>
      <c r="F396" t="inlineStr">
        <is>
          <t>ÖSTERGÖTLANDS LÄN</t>
        </is>
      </c>
      <c r="G396" t="inlineStr">
        <is>
          <t>NORRKÖPING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46307</v>
      </c>
      <c r="F397" t="inlineStr">
        <is>
          <t>ÖSTERGÖTLANDS LÄN</t>
        </is>
      </c>
      <c r="G397" t="inlineStr">
        <is>
          <t>NORRKÖPING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62049-2023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46307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46307</v>
      </c>
      <c r="F399" t="inlineStr">
        <is>
          <t>ÖSTERGÖTLANDS LÄN</t>
        </is>
      </c>
      <c r="G399" t="inlineStr">
        <is>
          <t>NORRKÖPING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46307</v>
      </c>
      <c r="F400" t="inlineStr">
        <is>
          <t>ÖSTERGÖTLANDS LÄN</t>
        </is>
      </c>
      <c r="G400" t="inlineStr">
        <is>
          <t>NORRKÖPING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45033</v>
      </c>
      <c r="E401" s="1" t="n">
        <v>46307</v>
      </c>
      <c r="F401" t="inlineStr">
        <is>
          <t>ÖSTERGÖTLANDS LÄN</t>
        </is>
      </c>
      <c r="G401" t="inlineStr">
        <is>
          <t>NORRKÖPING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70378-2021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44536</v>
      </c>
      <c r="E402" s="1" t="n">
        <v>46307</v>
      </c>
      <c r="F402" t="inlineStr">
        <is>
          <t>ÖSTERGÖTLANDS LÄN</t>
        </is>
      </c>
      <c r="G402" t="inlineStr">
        <is>
          <t>NORRKÖPING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46307</v>
      </c>
      <c r="F403" t="inlineStr">
        <is>
          <t>ÖSTERGÖTLANDS LÄN</t>
        </is>
      </c>
      <c r="G403" t="inlineStr">
        <is>
          <t>NORRKÖPING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44596</v>
      </c>
      <c r="E404" s="1" t="n">
        <v>46307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1506-2022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46307</v>
      </c>
      <c r="F405" t="inlineStr">
        <is>
          <t>ÖSTERGÖTLANDS LÄN</t>
        </is>
      </c>
      <c r="G405" t="inlineStr">
        <is>
          <t>NORRKÖPING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46307</v>
      </c>
      <c r="F406" t="inlineStr">
        <is>
          <t>ÖSTERGÖTLANDS LÄN</t>
        </is>
      </c>
      <c r="G406" t="inlineStr">
        <is>
          <t>NORRKÖPING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46307</v>
      </c>
      <c r="F407" t="inlineStr">
        <is>
          <t>ÖSTERGÖTLANDS LÄN</t>
        </is>
      </c>
      <c r="G407" t="inlineStr">
        <is>
          <t>NORRKÖPING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46307</v>
      </c>
      <c r="F408" t="inlineStr">
        <is>
          <t>ÖSTERGÖTLANDS LÄN</t>
        </is>
      </c>
      <c r="G408" t="inlineStr">
        <is>
          <t>NORRKÖPING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45678</v>
      </c>
      <c r="E409" s="1" t="n">
        <v>46307</v>
      </c>
      <c r="F409" t="inlineStr">
        <is>
          <t>ÖSTERGÖTLANDS LÄN</t>
        </is>
      </c>
      <c r="G409" t="inlineStr">
        <is>
          <t>NORRKÖPING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46307</v>
      </c>
      <c r="F410" t="inlineStr">
        <is>
          <t>ÖSTERGÖTLANDS LÄN</t>
        </is>
      </c>
      <c r="G410" t="inlineStr">
        <is>
          <t>NORRKÖPING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46307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60800-2023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46307</v>
      </c>
      <c r="F412" t="inlineStr">
        <is>
          <t>ÖSTERGÖTLANDS LÄN</t>
        </is>
      </c>
      <c r="G412" t="inlineStr">
        <is>
          <t>NORRKÖPING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44974</v>
      </c>
      <c r="E413" s="1" t="n">
        <v>46307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45550</v>
      </c>
      <c r="E414" s="1" t="n">
        <v>46307</v>
      </c>
      <c r="F414" t="inlineStr">
        <is>
          <t>ÖSTERGÖTLANDS LÄN</t>
        </is>
      </c>
      <c r="G414" t="inlineStr">
        <is>
          <t>NORRKÖPING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45798</v>
      </c>
      <c r="E415" s="1" t="n">
        <v>46307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44943</v>
      </c>
      <c r="E416" s="1" t="n">
        <v>46307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45798</v>
      </c>
      <c r="E417" s="1" t="n">
        <v>46307</v>
      </c>
      <c r="F417" t="inlineStr">
        <is>
          <t>ÖSTERGÖTLANDS LÄN</t>
        </is>
      </c>
      <c r="G417" t="inlineStr">
        <is>
          <t>NORRKÖPING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45174</v>
      </c>
      <c r="E418" s="1" t="n">
        <v>46307</v>
      </c>
      <c r="F418" t="inlineStr">
        <is>
          <t>ÖSTERGÖTLANDS LÄN</t>
        </is>
      </c>
      <c r="G418" t="inlineStr">
        <is>
          <t>NORRKÖPING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46307</v>
      </c>
      <c r="F419" t="inlineStr">
        <is>
          <t>ÖSTERGÖTLANDS LÄN</t>
        </is>
      </c>
      <c r="G419" t="inlineStr">
        <is>
          <t>NORRKÖPING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45727</v>
      </c>
      <c r="E420" s="1" t="n">
        <v>46307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Allmännings- och besparingsskogar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46307</v>
      </c>
      <c r="F421" t="inlineStr">
        <is>
          <t>ÖSTERGÖTLANDS LÄN</t>
        </is>
      </c>
      <c r="G421" t="inlineStr">
        <is>
          <t>NORRKÖPING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45159</v>
      </c>
      <c r="E422" s="1" t="n">
        <v>46307</v>
      </c>
      <c r="F422" t="inlineStr">
        <is>
          <t>ÖSTERGÖTLANDS LÄN</t>
        </is>
      </c>
      <c r="G422" t="inlineStr">
        <is>
          <t>NORRKÖPING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45408</v>
      </c>
      <c r="E423" s="1" t="n">
        <v>46307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46307</v>
      </c>
      <c r="F424" t="inlineStr">
        <is>
          <t>ÖSTERGÖTLANDS LÄN</t>
        </is>
      </c>
      <c r="G424" t="inlineStr">
        <is>
          <t>NORRKÖPING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45554</v>
      </c>
      <c r="E425" s="1" t="n">
        <v>46307</v>
      </c>
      <c r="F425" t="inlineStr">
        <is>
          <t>ÖSTERGÖTLANDS LÄN</t>
        </is>
      </c>
      <c r="G425" t="inlineStr">
        <is>
          <t>NORRKÖPING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48500-2025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46307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10770-2025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46307</v>
      </c>
      <c r="F427" t="inlineStr">
        <is>
          <t>ÖSTERGÖTLANDS LÄN</t>
        </is>
      </c>
      <c r="G427" t="inlineStr">
        <is>
          <t>NORRKÖPING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18705-2023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46307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46307</v>
      </c>
      <c r="F429" t="inlineStr">
        <is>
          <t>ÖSTERGÖTLANDS LÄN</t>
        </is>
      </c>
      <c r="G429" t="inlineStr">
        <is>
          <t>NORRKÖPING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45804</v>
      </c>
      <c r="E430" s="1" t="n">
        <v>46307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45453</v>
      </c>
      <c r="E431" s="1" t="n">
        <v>46307</v>
      </c>
      <c r="F431" t="inlineStr">
        <is>
          <t>ÖSTERGÖTLANDS LÄN</t>
        </is>
      </c>
      <c r="G431" t="inlineStr">
        <is>
          <t>NORRKÖPING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46307</v>
      </c>
      <c r="F432" t="inlineStr">
        <is>
          <t>ÖSTERGÖTLANDS LÄN</t>
        </is>
      </c>
      <c r="G432" t="inlineStr">
        <is>
          <t>NORRKÖPING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46307</v>
      </c>
      <c r="F433" t="inlineStr">
        <is>
          <t>ÖSTERGÖTLANDS LÄN</t>
        </is>
      </c>
      <c r="G433" t="inlineStr">
        <is>
          <t>NORRKÖPING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55359-2023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45238</v>
      </c>
      <c r="E434" s="1" t="n">
        <v>46307</v>
      </c>
      <c r="F434" t="inlineStr">
        <is>
          <t>ÖSTERGÖTLANDS LÄN</t>
        </is>
      </c>
      <c r="G434" t="inlineStr">
        <is>
          <t>NORRKÖPING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45183</v>
      </c>
      <c r="E435" s="1" t="n">
        <v>46307</v>
      </c>
      <c r="F435" t="inlineStr">
        <is>
          <t>ÖSTERGÖTLANDS LÄN</t>
        </is>
      </c>
      <c r="G435" t="inlineStr">
        <is>
          <t>NORRKÖPING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43346-2023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45183</v>
      </c>
      <c r="E436" s="1" t="n">
        <v>46307</v>
      </c>
      <c r="F436" t="inlineStr">
        <is>
          <t>ÖSTERGÖTLANDS LÄN</t>
        </is>
      </c>
      <c r="G436" t="inlineStr">
        <is>
          <t>NORRKÖPING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45673</v>
      </c>
      <c r="E437" s="1" t="n">
        <v>46307</v>
      </c>
      <c r="F437" t="inlineStr">
        <is>
          <t>ÖSTERGÖTLANDS LÄN</t>
        </is>
      </c>
      <c r="G437" t="inlineStr">
        <is>
          <t>NORRKÖPING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45053</v>
      </c>
      <c r="E438" s="1" t="n">
        <v>46307</v>
      </c>
      <c r="F438" t="inlineStr">
        <is>
          <t>ÖSTERGÖTLANDS LÄN</t>
        </is>
      </c>
      <c r="G438" t="inlineStr">
        <is>
          <t>NORRKÖPING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46307</v>
      </c>
      <c r="F439" t="inlineStr">
        <is>
          <t>ÖSTERGÖTLANDS LÄN</t>
        </is>
      </c>
      <c r="G439" t="inlineStr">
        <is>
          <t>NORRKÖPING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46307</v>
      </c>
      <c r="F440" t="inlineStr">
        <is>
          <t>ÖSTERGÖTLANDS LÄN</t>
        </is>
      </c>
      <c r="G440" t="inlineStr">
        <is>
          <t>NORRKÖPING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45313</v>
      </c>
      <c r="E441" s="1" t="n">
        <v>46307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46307</v>
      </c>
      <c r="F442" t="inlineStr">
        <is>
          <t>ÖSTERGÖTLANDS LÄN</t>
        </is>
      </c>
      <c r="G442" t="inlineStr">
        <is>
          <t>NORRKÖPING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46307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10834-2024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45369</v>
      </c>
      <c r="E444" s="1" t="n">
        <v>46307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26977-2023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45091</v>
      </c>
      <c r="E445" s="1" t="n">
        <v>46307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30784-2023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46307</v>
      </c>
      <c r="F446" t="inlineStr">
        <is>
          <t>ÖSTERGÖTLANDS LÄN</t>
        </is>
      </c>
      <c r="G446" t="inlineStr">
        <is>
          <t>NORRKÖPING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44677</v>
      </c>
      <c r="E447" s="1" t="n">
        <v>46307</v>
      </c>
      <c r="F447" t="inlineStr">
        <is>
          <t>ÖSTERGÖTLANDS LÄN</t>
        </is>
      </c>
      <c r="G447" t="inlineStr">
        <is>
          <t>NORRKÖPING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50146-2025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45943</v>
      </c>
      <c r="E448" s="1" t="n">
        <v>46307</v>
      </c>
      <c r="F448" t="inlineStr">
        <is>
          <t>ÖSTERGÖTLANDS LÄN</t>
        </is>
      </c>
      <c r="G448" t="inlineStr">
        <is>
          <t>NORRKÖPING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48091-2023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46307</v>
      </c>
      <c r="F449" t="inlineStr">
        <is>
          <t>ÖSTERGÖTLANDS LÄN</t>
        </is>
      </c>
      <c r="G449" t="inlineStr">
        <is>
          <t>NORRKÖPING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46307</v>
      </c>
      <c r="F450" t="inlineStr">
        <is>
          <t>ÖSTERGÖTLANDS LÄN</t>
        </is>
      </c>
      <c r="G450" t="inlineStr">
        <is>
          <t>NORRKÖPING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43322-2022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46307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17503-2022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44679</v>
      </c>
      <c r="E452" s="1" t="n">
        <v>46307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44741</v>
      </c>
      <c r="E453" s="1" t="n">
        <v>46307</v>
      </c>
      <c r="F453" t="inlineStr">
        <is>
          <t>ÖSTERGÖTLANDS LÄN</t>
        </is>
      </c>
      <c r="G453" t="inlineStr">
        <is>
          <t>NORRKÖPING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46307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18128-2025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45761</v>
      </c>
      <c r="E455" s="1" t="n">
        <v>46307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45820</v>
      </c>
      <c r="E456" s="1" t="n">
        <v>46307</v>
      </c>
      <c r="F456" t="inlineStr">
        <is>
          <t>ÖSTERGÖTLANDS LÄN</t>
        </is>
      </c>
      <c r="G456" t="inlineStr">
        <is>
          <t>NORRKÖPING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44630</v>
      </c>
      <c r="E457" s="1" t="n">
        <v>46307</v>
      </c>
      <c r="F457" t="inlineStr">
        <is>
          <t>ÖSTERGÖTLANDS LÄN</t>
        </is>
      </c>
      <c r="G457" t="inlineStr">
        <is>
          <t>NORRKÖPING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49462-2023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45211</v>
      </c>
      <c r="E458" s="1" t="n">
        <v>46307</v>
      </c>
      <c r="F458" t="inlineStr">
        <is>
          <t>ÖSTERGÖTLANDS LÄN</t>
        </is>
      </c>
      <c r="G458" t="inlineStr">
        <is>
          <t>NORRKÖPING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28750-2025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45820</v>
      </c>
      <c r="E459" s="1" t="n">
        <v>46307</v>
      </c>
      <c r="F459" t="inlineStr">
        <is>
          <t>ÖSTERGÖTLANDS LÄN</t>
        </is>
      </c>
      <c r="G459" t="inlineStr">
        <is>
          <t>NORRKÖPING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44965</v>
      </c>
      <c r="E460" s="1" t="n">
        <v>46307</v>
      </c>
      <c r="F460" t="inlineStr">
        <is>
          <t>ÖSTERGÖTLANDS LÄN</t>
        </is>
      </c>
      <c r="G460" t="inlineStr">
        <is>
          <t>NORRKÖPING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46307</v>
      </c>
      <c r="F461" t="inlineStr">
        <is>
          <t>ÖSTERGÖTLANDS LÄN</t>
        </is>
      </c>
      <c r="G461" t="inlineStr">
        <is>
          <t>NORRKÖPING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46307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44956</v>
      </c>
      <c r="E463" s="1" t="n">
        <v>46307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46307</v>
      </c>
      <c r="F464" t="inlineStr">
        <is>
          <t>ÖSTERGÖTLANDS LÄN</t>
        </is>
      </c>
      <c r="G464" t="inlineStr">
        <is>
          <t>NORRKÖPING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14138-2022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44651</v>
      </c>
      <c r="E465" s="1" t="n">
        <v>46307</v>
      </c>
      <c r="F465" t="inlineStr">
        <is>
          <t>ÖSTERGÖTLANDS LÄN</t>
        </is>
      </c>
      <c r="G465" t="inlineStr">
        <is>
          <t>NORRKÖPING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45636</v>
      </c>
      <c r="E466" s="1" t="n">
        <v>46307</v>
      </c>
      <c r="F466" t="inlineStr">
        <is>
          <t>ÖSTERGÖTLANDS LÄN</t>
        </is>
      </c>
      <c r="G466" t="inlineStr">
        <is>
          <t>NORRKÖPING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23051-2022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44719</v>
      </c>
      <c r="E467" s="1" t="n">
        <v>46307</v>
      </c>
      <c r="F467" t="inlineStr">
        <is>
          <t>ÖSTERGÖTLANDS LÄN</t>
        </is>
      </c>
      <c r="G467" t="inlineStr">
        <is>
          <t>NORRKÖPING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46270-2024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45581</v>
      </c>
      <c r="E468" s="1" t="n">
        <v>46307</v>
      </c>
      <c r="F468" t="inlineStr">
        <is>
          <t>ÖSTERGÖTLANDS LÄN</t>
        </is>
      </c>
      <c r="G468" t="inlineStr">
        <is>
          <t>NORRKÖPING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22319-2024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45446</v>
      </c>
      <c r="E469" s="1" t="n">
        <v>46307</v>
      </c>
      <c r="F469" t="inlineStr">
        <is>
          <t>ÖSTERGÖTLANDS LÄN</t>
        </is>
      </c>
      <c r="G469" t="inlineStr">
        <is>
          <t>NORRKÖPING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22322-2024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46307</v>
      </c>
      <c r="F470" t="inlineStr">
        <is>
          <t>ÖSTERGÖTLANDS LÄN</t>
        </is>
      </c>
      <c r="G470" t="inlineStr">
        <is>
          <t>NORRKÖPING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1383-2022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44573</v>
      </c>
      <c r="E471" s="1" t="n">
        <v>46307</v>
      </c>
      <c r="F471" t="inlineStr">
        <is>
          <t>ÖSTERGÖTLANDS LÄN</t>
        </is>
      </c>
      <c r="G471" t="inlineStr">
        <is>
          <t>NORRKÖPING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45414</v>
      </c>
      <c r="E472" s="1" t="n">
        <v>46307</v>
      </c>
      <c r="F472" t="inlineStr">
        <is>
          <t>ÖSTERGÖTLANDS LÄN</t>
        </is>
      </c>
      <c r="G472" t="inlineStr">
        <is>
          <t>NORRKÖPING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45960</v>
      </c>
      <c r="E473" s="1" t="n">
        <v>46307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53702-2025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45960</v>
      </c>
      <c r="E474" s="1" t="n">
        <v>46307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46307</v>
      </c>
      <c r="F475" t="inlineStr">
        <is>
          <t>ÖSTERGÖTLANDS LÄN</t>
        </is>
      </c>
      <c r="G475" t="inlineStr">
        <is>
          <t>NORRKÖPING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53881-2025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45961</v>
      </c>
      <c r="E476" s="1" t="n">
        <v>46307</v>
      </c>
      <c r="F476" t="inlineStr">
        <is>
          <t>ÖSTERGÖTLANDS LÄN</t>
        </is>
      </c>
      <c r="G476" t="inlineStr">
        <is>
          <t>NORRKÖPING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45254</v>
      </c>
      <c r="E477" s="1" t="n">
        <v>46307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46307</v>
      </c>
      <c r="F478" t="inlineStr">
        <is>
          <t>ÖSTERGÖTLANDS LÄN</t>
        </is>
      </c>
      <c r="G478" t="inlineStr">
        <is>
          <t>NORRKÖPING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46307</v>
      </c>
      <c r="F479" t="inlineStr">
        <is>
          <t>ÖSTERGÖTLANDS LÄN</t>
        </is>
      </c>
      <c r="G479" t="inlineStr">
        <is>
          <t>NORRKÖPING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46307</v>
      </c>
      <c r="F480" t="inlineStr">
        <is>
          <t>ÖSTERGÖTLANDS LÄN</t>
        </is>
      </c>
      <c r="G480" t="inlineStr">
        <is>
          <t>NORRKÖPING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64898-2021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44512</v>
      </c>
      <c r="E481" s="1" t="n">
        <v>46307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44197-2023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46307</v>
      </c>
      <c r="F482" t="inlineStr">
        <is>
          <t>ÖSTERGÖTLANDS LÄN</t>
        </is>
      </c>
      <c r="G482" t="inlineStr">
        <is>
          <t>NORRKÖPING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44970</v>
      </c>
      <c r="E483" s="1" t="n">
        <v>46307</v>
      </c>
      <c r="F483" t="inlineStr">
        <is>
          <t>ÖSTERGÖTLANDS LÄN</t>
        </is>
      </c>
      <c r="G483" t="inlineStr">
        <is>
          <t>NORRKÖPING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9542-2025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46307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11140-2025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45723</v>
      </c>
      <c r="E485" s="1" t="n">
        <v>46307</v>
      </c>
      <c r="F485" t="inlineStr">
        <is>
          <t>ÖSTERGÖTLANDS LÄN</t>
        </is>
      </c>
      <c r="G485" t="inlineStr">
        <is>
          <t>NORRKÖPING</t>
        </is>
      </c>
      <c r="I485" t="n">
        <v>13.9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46307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46307</v>
      </c>
      <c r="F487" t="inlineStr">
        <is>
          <t>ÖSTERGÖTLANDS LÄN</t>
        </is>
      </c>
      <c r="G487" t="inlineStr">
        <is>
          <t>NORRKÖPING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46307</v>
      </c>
      <c r="F488" t="inlineStr">
        <is>
          <t>ÖSTERGÖTLANDS LÄN</t>
        </is>
      </c>
      <c r="G488" t="inlineStr">
        <is>
          <t>NORRKÖPING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45386</v>
      </c>
      <c r="E489" s="1" t="n">
        <v>46307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23783-2022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44721</v>
      </c>
      <c r="E490" s="1" t="n">
        <v>46307</v>
      </c>
      <c r="F490" t="inlineStr">
        <is>
          <t>ÖSTERGÖTLANDS LÄN</t>
        </is>
      </c>
      <c r="G490" t="inlineStr">
        <is>
          <t>NORRKÖPING</t>
        </is>
      </c>
      <c r="I490" t="n">
        <v>11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45114</v>
      </c>
      <c r="E491" s="1" t="n">
        <v>46307</v>
      </c>
      <c r="F491" t="inlineStr">
        <is>
          <t>ÖSTERGÖTLANDS LÄN</t>
        </is>
      </c>
      <c r="G491" t="inlineStr">
        <is>
          <t>NORRKÖPING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46307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Naturvårdsverket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45468</v>
      </c>
      <c r="E493" s="1" t="n">
        <v>46307</v>
      </c>
      <c r="F493" t="inlineStr">
        <is>
          <t>ÖSTERGÖTLANDS LÄN</t>
        </is>
      </c>
      <c r="G493" t="inlineStr">
        <is>
          <t>NORRKÖPING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45401</v>
      </c>
      <c r="E494" s="1" t="n">
        <v>46307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45678</v>
      </c>
      <c r="E495" s="1" t="n">
        <v>46307</v>
      </c>
      <c r="F495" t="inlineStr">
        <is>
          <t>ÖSTERGÖTLANDS LÄN</t>
        </is>
      </c>
      <c r="G495" t="inlineStr">
        <is>
          <t>NORRKÖPING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46307</v>
      </c>
      <c r="F496" t="inlineStr">
        <is>
          <t>ÖSTERGÖTLANDS LÄN</t>
        </is>
      </c>
      <c r="G496" t="inlineStr">
        <is>
          <t>NORRKÖPING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46307</v>
      </c>
      <c r="F497" t="inlineStr">
        <is>
          <t>ÖSTERGÖTLANDS LÄN</t>
        </is>
      </c>
      <c r="G497" t="inlineStr">
        <is>
          <t>NORRKÖPING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46307</v>
      </c>
      <c r="F498" t="inlineStr">
        <is>
          <t>ÖSTERGÖTLANDS LÄN</t>
        </is>
      </c>
      <c r="G498" t="inlineStr">
        <is>
          <t>NORRKÖPING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44805</v>
      </c>
      <c r="E499" s="1" t="n">
        <v>46307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46307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45582</v>
      </c>
      <c r="E501" s="1" t="n">
        <v>46307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45845</v>
      </c>
      <c r="E502" s="1" t="n">
        <v>46307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49818-2024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45597</v>
      </c>
      <c r="E503" s="1" t="n">
        <v>46307</v>
      </c>
      <c r="F503" t="inlineStr">
        <is>
          <t>ÖSTERGÖTLANDS LÄN</t>
        </is>
      </c>
      <c r="G503" t="inlineStr">
        <is>
          <t>NORRKÖPING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58936-2023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45252</v>
      </c>
      <c r="E504" s="1" t="n">
        <v>46307</v>
      </c>
      <c r="F504" t="inlineStr">
        <is>
          <t>ÖSTERGÖTLANDS LÄN</t>
        </is>
      </c>
      <c r="G504" t="inlineStr">
        <is>
          <t>NORRKÖPING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46307</v>
      </c>
      <c r="F505" t="inlineStr">
        <is>
          <t>ÖSTERGÖTLANDS LÄN</t>
        </is>
      </c>
      <c r="G505" t="inlineStr">
        <is>
          <t>NORRKÖPING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46307</v>
      </c>
      <c r="F506" t="inlineStr">
        <is>
          <t>ÖSTERGÖTLANDS LÄN</t>
        </is>
      </c>
      <c r="G506" t="inlineStr">
        <is>
          <t>NORRKÖPING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45075-2023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45191</v>
      </c>
      <c r="E507" s="1" t="n">
        <v>46307</v>
      </c>
      <c r="F507" t="inlineStr">
        <is>
          <t>ÖSTERGÖTLANDS LÄN</t>
        </is>
      </c>
      <c r="G507" t="inlineStr">
        <is>
          <t>NORRKÖPING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22470-2022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44713</v>
      </c>
      <c r="E508" s="1" t="n">
        <v>46307</v>
      </c>
      <c r="F508" t="inlineStr">
        <is>
          <t>ÖSTERGÖTLANDS LÄN</t>
        </is>
      </c>
      <c r="G508" t="inlineStr">
        <is>
          <t>NORRKÖPING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45758</v>
      </c>
      <c r="E509" s="1" t="n">
        <v>46307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59964-2023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45254</v>
      </c>
      <c r="E510" s="1" t="n">
        <v>46307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45121</v>
      </c>
      <c r="E511" s="1" t="n">
        <v>46307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13419-2025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45736</v>
      </c>
      <c r="E512" s="1" t="n">
        <v>46307</v>
      </c>
      <c r="F512" t="inlineStr">
        <is>
          <t>ÖSTERGÖTLANDS LÄN</t>
        </is>
      </c>
      <c r="G512" t="inlineStr">
        <is>
          <t>NORRKÖPING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57492-2023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46307</v>
      </c>
      <c r="F513" t="inlineStr">
        <is>
          <t>ÖSTERGÖTLANDS LÄN</t>
        </is>
      </c>
      <c r="G513" t="inlineStr">
        <is>
          <t>NORRKÖPING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46307</v>
      </c>
      <c r="F514" t="inlineStr">
        <is>
          <t>ÖSTERGÖTLANDS LÄN</t>
        </is>
      </c>
      <c r="G514" t="inlineStr">
        <is>
          <t>NORRKÖPING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47051-2023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46307</v>
      </c>
      <c r="F515" t="inlineStr">
        <is>
          <t>ÖSTERGÖTLANDS LÄN</t>
        </is>
      </c>
      <c r="G515" t="inlineStr">
        <is>
          <t>NORRKÖPING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16696-2023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46307</v>
      </c>
      <c r="F516" t="inlineStr">
        <is>
          <t>ÖSTERGÖTLANDS LÄN</t>
        </is>
      </c>
      <c r="G516" t="inlineStr">
        <is>
          <t>NORRKÖPING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16698-2023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46307</v>
      </c>
      <c r="F517" t="inlineStr">
        <is>
          <t>ÖSTERGÖTLANDS LÄN</t>
        </is>
      </c>
      <c r="G517" t="inlineStr">
        <is>
          <t>NORRKÖPING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44956</v>
      </c>
      <c r="E518" s="1" t="n">
        <v>46307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44956</v>
      </c>
      <c r="E519" s="1" t="n">
        <v>46307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47477-2022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44853</v>
      </c>
      <c r="E520" s="1" t="n">
        <v>46307</v>
      </c>
      <c r="F520" t="inlineStr">
        <is>
          <t>ÖSTERGÖTLANDS LÄN</t>
        </is>
      </c>
      <c r="G520" t="inlineStr">
        <is>
          <t>NORRKÖPING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46307</v>
      </c>
      <c r="F521" t="inlineStr">
        <is>
          <t>ÖSTERGÖTLANDS LÄN</t>
        </is>
      </c>
      <c r="G521" t="inlineStr">
        <is>
          <t>NORRKÖPING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62875-2023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45272</v>
      </c>
      <c r="E522" s="1" t="n">
        <v>46307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46307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45110</v>
      </c>
      <c r="E524" s="1" t="n">
        <v>46307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15082-2024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45399</v>
      </c>
      <c r="E525" s="1" t="n">
        <v>46307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41223-2022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44826</v>
      </c>
      <c r="E526" s="1" t="n">
        <v>46307</v>
      </c>
      <c r="F526" t="inlineStr">
        <is>
          <t>ÖSTERGÖTLANDS LÄN</t>
        </is>
      </c>
      <c r="G526" t="inlineStr">
        <is>
          <t>NORRKÖPING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21664-2024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45442</v>
      </c>
      <c r="E527" s="1" t="n">
        <v>46307</v>
      </c>
      <c r="F527" t="inlineStr">
        <is>
          <t>ÖSTERGÖTLANDS LÄN</t>
        </is>
      </c>
      <c r="G527" t="inlineStr">
        <is>
          <t>NORRKÖPING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45317</v>
      </c>
      <c r="E528" s="1" t="n">
        <v>46307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7762-2025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45706</v>
      </c>
      <c r="E529" s="1" t="n">
        <v>46307</v>
      </c>
      <c r="F529" t="inlineStr">
        <is>
          <t>ÖSTERGÖTLANDS LÄN</t>
        </is>
      </c>
      <c r="G529" t="inlineStr">
        <is>
          <t>NORRKÖPING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45975</v>
      </c>
      <c r="E530" s="1" t="n">
        <v>46307</v>
      </c>
      <c r="F530" t="inlineStr">
        <is>
          <t>ÖSTERGÖTLANDS LÄN</t>
        </is>
      </c>
      <c r="G530" t="inlineStr">
        <is>
          <t>NORRKÖPING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45442</v>
      </c>
      <c r="E531" s="1" t="n">
        <v>46307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45976</v>
      </c>
      <c r="E532" s="1" t="n">
        <v>46307</v>
      </c>
      <c r="F532" t="inlineStr">
        <is>
          <t>ÖSTERGÖTLANDS LÄN</t>
        </is>
      </c>
      <c r="G532" t="inlineStr">
        <is>
          <t>NORRKÖPING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49778-2022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44862</v>
      </c>
      <c r="E533" s="1" t="n">
        <v>46307</v>
      </c>
      <c r="F533" t="inlineStr">
        <is>
          <t>ÖSTERGÖTLANDS LÄN</t>
        </is>
      </c>
      <c r="G533" t="inlineStr">
        <is>
          <t>NORRKÖPING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45716</v>
      </c>
      <c r="E534" s="1" t="n">
        <v>46307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14031-2023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45008</v>
      </c>
      <c r="E535" s="1" t="n">
        <v>46307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44980</v>
      </c>
      <c r="E536" s="1" t="n">
        <v>46307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45266</v>
      </c>
      <c r="E537" s="1" t="n">
        <v>46307</v>
      </c>
      <c r="F537" t="inlineStr">
        <is>
          <t>ÖSTERGÖTLANDS LÄN</t>
        </is>
      </c>
      <c r="G537" t="inlineStr">
        <is>
          <t>NORRKÖPING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14611-2023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45013</v>
      </c>
      <c r="E538" s="1" t="n">
        <v>46307</v>
      </c>
      <c r="F538" t="inlineStr">
        <is>
          <t>ÖSTERGÖTLANDS LÄN</t>
        </is>
      </c>
      <c r="G538" t="inlineStr">
        <is>
          <t>NORRKÖPING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48786-2022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44859</v>
      </c>
      <c r="E539" s="1" t="n">
        <v>46307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45330</v>
      </c>
      <c r="E540" s="1" t="n">
        <v>46307</v>
      </c>
      <c r="F540" t="inlineStr">
        <is>
          <t>ÖSTERGÖTLANDS LÄN</t>
        </is>
      </c>
      <c r="G540" t="inlineStr">
        <is>
          <t>NORRKÖPING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53278-2023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46307</v>
      </c>
      <c r="F541" t="inlineStr">
        <is>
          <t>ÖSTERGÖTLANDS LÄN</t>
        </is>
      </c>
      <c r="G541" t="inlineStr">
        <is>
          <t>NORRKÖPING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62061-2023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45266</v>
      </c>
      <c r="E542" s="1" t="n">
        <v>46307</v>
      </c>
      <c r="F542" t="inlineStr">
        <is>
          <t>ÖSTERGÖTLANDS LÄN</t>
        </is>
      </c>
      <c r="G542" t="inlineStr">
        <is>
          <t>NORRKÖPING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46738-2022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46307</v>
      </c>
      <c r="F543" t="inlineStr">
        <is>
          <t>ÖSTERGÖTLANDS LÄN</t>
        </is>
      </c>
      <c r="G543" t="inlineStr">
        <is>
          <t>NORRKÖPING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46307</v>
      </c>
      <c r="F544" t="inlineStr">
        <is>
          <t>ÖSTERGÖTLANDS LÄN</t>
        </is>
      </c>
      <c r="G544" t="inlineStr">
        <is>
          <t>NORRKÖPING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46307</v>
      </c>
      <c r="F545" t="inlineStr">
        <is>
          <t>ÖSTERGÖTLANDS LÄN</t>
        </is>
      </c>
      <c r="G545" t="inlineStr">
        <is>
          <t>NORRKÖPING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9532-2025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46307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11587-2023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46307</v>
      </c>
      <c r="F547" t="inlineStr">
        <is>
          <t>ÖSTERGÖTLANDS LÄN</t>
        </is>
      </c>
      <c r="G547" t="inlineStr">
        <is>
          <t>NORRKÖPING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45796</v>
      </c>
      <c r="E548" s="1" t="n">
        <v>46307</v>
      </c>
      <c r="F548" t="inlineStr">
        <is>
          <t>ÖSTERGÖTLANDS LÄN</t>
        </is>
      </c>
      <c r="G548" t="inlineStr">
        <is>
          <t>NORRKÖPING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45043</v>
      </c>
      <c r="E549" s="1" t="n">
        <v>46307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44575</v>
      </c>
      <c r="E550" s="1" t="n">
        <v>46307</v>
      </c>
      <c r="F550" t="inlineStr">
        <is>
          <t>ÖSTERGÖTLANDS LÄN</t>
        </is>
      </c>
      <c r="G550" t="inlineStr">
        <is>
          <t>NORRKÖPING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44957</v>
      </c>
      <c r="E551" s="1" t="n">
        <v>46307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44945</v>
      </c>
      <c r="E552" s="1" t="n">
        <v>46307</v>
      </c>
      <c r="F552" t="inlineStr">
        <is>
          <t>ÖSTERGÖTLANDS LÄN</t>
        </is>
      </c>
      <c r="G552" t="inlineStr">
        <is>
          <t>NORRKÖPING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46307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46307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63349-2023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45274</v>
      </c>
      <c r="E555" s="1" t="n">
        <v>46307</v>
      </c>
      <c r="F555" t="inlineStr">
        <is>
          <t>ÖSTERGÖTLANDS LÄN</t>
        </is>
      </c>
      <c r="G555" t="inlineStr">
        <is>
          <t>NORRKÖPING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44767</v>
      </c>
      <c r="E556" s="1" t="n">
        <v>46307</v>
      </c>
      <c r="F556" t="inlineStr">
        <is>
          <t>ÖSTERGÖTLANDS LÄN</t>
        </is>
      </c>
      <c r="G556" t="inlineStr">
        <is>
          <t>NORRKÖPING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46307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13388-2026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46307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45268</v>
      </c>
      <c r="E559" s="1" t="n">
        <v>46307</v>
      </c>
      <c r="F559" t="inlineStr">
        <is>
          <t>ÖSTERGÖTLANDS LÄN</t>
        </is>
      </c>
      <c r="G559" t="inlineStr">
        <is>
          <t>NORRKÖPING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6067-2022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44599</v>
      </c>
      <c r="E560" s="1" t="n">
        <v>46307</v>
      </c>
      <c r="F560" t="inlineStr">
        <is>
          <t>ÖSTERGÖTLANDS LÄN</t>
        </is>
      </c>
      <c r="G560" t="inlineStr">
        <is>
          <t>NORRKÖPING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44597</v>
      </c>
      <c r="E561" s="1" t="n">
        <v>46307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46307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23630-2023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45077</v>
      </c>
      <c r="E563" s="1" t="n">
        <v>46307</v>
      </c>
      <c r="F563" t="inlineStr">
        <is>
          <t>ÖSTERGÖTLANDS LÄN</t>
        </is>
      </c>
      <c r="G563" t="inlineStr">
        <is>
          <t>NORRKÖPING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45509</v>
      </c>
      <c r="E564" s="1" t="n">
        <v>46307</v>
      </c>
      <c r="F564" t="inlineStr">
        <is>
          <t>ÖSTERGÖTLANDS LÄN</t>
        </is>
      </c>
      <c r="G564" t="inlineStr">
        <is>
          <t>NORRKÖPING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46307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46307</v>
      </c>
      <c r="F566" t="inlineStr">
        <is>
          <t>ÖSTERGÖTLANDS LÄN</t>
        </is>
      </c>
      <c r="G566" t="inlineStr">
        <is>
          <t>NORRKÖPING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46101</v>
      </c>
      <c r="E567" s="1" t="n">
        <v>46307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44754</v>
      </c>
      <c r="E568" s="1" t="n">
        <v>46307</v>
      </c>
      <c r="F568" t="inlineStr">
        <is>
          <t>ÖSTERGÖTLANDS LÄN</t>
        </is>
      </c>
      <c r="G568" t="inlineStr">
        <is>
          <t>NORRKÖPING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26583-2022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44739</v>
      </c>
      <c r="E569" s="1" t="n">
        <v>46307</v>
      </c>
      <c r="F569" t="inlineStr">
        <is>
          <t>ÖSTERGÖTLANDS LÄN</t>
        </is>
      </c>
      <c r="G569" t="inlineStr">
        <is>
          <t>NORRKÖPING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18658-2023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46307</v>
      </c>
      <c r="F570" t="inlineStr">
        <is>
          <t>ÖSTERGÖTLANDS LÄN</t>
        </is>
      </c>
      <c r="G570" t="inlineStr">
        <is>
          <t>NORRKÖPING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46307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Allmännings- och besparingsskogar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7141-2023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46307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45183</v>
      </c>
      <c r="E573" s="1" t="n">
        <v>46307</v>
      </c>
      <c r="F573" t="inlineStr">
        <is>
          <t>ÖSTERGÖTLANDS LÄN</t>
        </is>
      </c>
      <c r="G573" t="inlineStr">
        <is>
          <t>NORRKÖPING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50119-2023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45215</v>
      </c>
      <c r="E574" s="1" t="n">
        <v>46307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31834-2023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45106</v>
      </c>
      <c r="E575" s="1" t="n">
        <v>46307</v>
      </c>
      <c r="F575" t="inlineStr">
        <is>
          <t>ÖSTERGÖTLANDS LÄN</t>
        </is>
      </c>
      <c r="G575" t="inlineStr">
        <is>
          <t>NORRKÖPING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58379-2025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45985</v>
      </c>
      <c r="E576" s="1" t="n">
        <v>46307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58575-2025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46307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15722-2026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46307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45049</v>
      </c>
      <c r="E579" s="1" t="n">
        <v>46307</v>
      </c>
      <c r="F579" t="inlineStr">
        <is>
          <t>ÖSTERGÖTLANDS LÄN</t>
        </is>
      </c>
      <c r="G579" t="inlineStr">
        <is>
          <t>NORRKÖPING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45049</v>
      </c>
      <c r="E580" s="1" t="n">
        <v>46307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58330-2025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46307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2021-2023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44939</v>
      </c>
      <c r="E582" s="1" t="n">
        <v>46307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46307</v>
      </c>
      <c r="F583" t="inlineStr">
        <is>
          <t>ÖSTERGÖTLANDS LÄN</t>
        </is>
      </c>
      <c r="G583" t="inlineStr">
        <is>
          <t>NORRKÖPING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45053</v>
      </c>
      <c r="E584" s="1" t="n">
        <v>46307</v>
      </c>
      <c r="F584" t="inlineStr">
        <is>
          <t>ÖSTERGÖTLANDS LÄN</t>
        </is>
      </c>
      <c r="G584" t="inlineStr">
        <is>
          <t>NORRKÖPING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55063-2023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46307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Kyrkan</t>
        </is>
      </c>
      <c r="I585" t="n">
        <v>9.699999999999999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45769</v>
      </c>
      <c r="E586" s="1" t="n">
        <v>46307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46307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46307</v>
      </c>
      <c r="F588" t="inlineStr">
        <is>
          <t>ÖSTERGÖTLANDS LÄN</t>
        </is>
      </c>
      <c r="G588" t="inlineStr">
        <is>
          <t>NORRKÖPING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46307</v>
      </c>
      <c r="F589" t="inlineStr">
        <is>
          <t>ÖSTERGÖTLANDS LÄN</t>
        </is>
      </c>
      <c r="G589" t="inlineStr">
        <is>
          <t>NORRKÖPING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19298-2025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46307</v>
      </c>
      <c r="F590" t="inlineStr">
        <is>
          <t>ÖSTERGÖTLANDS LÄN</t>
        </is>
      </c>
      <c r="G590" t="inlineStr">
        <is>
          <t>NORRKÖPING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12674-2025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45733</v>
      </c>
      <c r="E591" s="1" t="n">
        <v>46307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49060-2022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44860</v>
      </c>
      <c r="E592" s="1" t="n">
        <v>46307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14441-2025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45741</v>
      </c>
      <c r="E593" s="1" t="n">
        <v>46307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45733</v>
      </c>
      <c r="E594" s="1" t="n">
        <v>46307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46307</v>
      </c>
      <c r="F595" t="inlineStr">
        <is>
          <t>ÖSTERGÖTLANDS LÄN</t>
        </is>
      </c>
      <c r="G595" t="inlineStr">
        <is>
          <t>NORRKÖPING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46307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17453-2026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46307</v>
      </c>
      <c r="F597" t="inlineStr">
        <is>
          <t>ÖSTERGÖTLANDS LÄN</t>
        </is>
      </c>
      <c r="G597" t="inlineStr">
        <is>
          <t>NORRKÖPING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50960-2022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44867</v>
      </c>
      <c r="E598" s="1" t="n">
        <v>46307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Allmännings- och besparingsskogar</t>
        </is>
      </c>
      <c r="I598" t="n">
        <v>10.3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18661-2023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46307</v>
      </c>
      <c r="F599" t="inlineStr">
        <is>
          <t>ÖSTERGÖTLANDS LÄN</t>
        </is>
      </c>
      <c r="G599" t="inlineStr">
        <is>
          <t>NORRKÖPING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49487-2022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44861</v>
      </c>
      <c r="E600" s="1" t="n">
        <v>46307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45008</v>
      </c>
      <c r="E601" s="1" t="n">
        <v>46307</v>
      </c>
      <c r="F601" t="inlineStr">
        <is>
          <t>ÖSTERGÖTLANDS LÄN</t>
        </is>
      </c>
      <c r="G601" t="inlineStr">
        <is>
          <t>NORRKÖPING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44936</v>
      </c>
      <c r="E602" s="1" t="n">
        <v>46307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44936</v>
      </c>
      <c r="E603" s="1" t="n">
        <v>46307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46307</v>
      </c>
      <c r="F604" t="inlineStr">
        <is>
          <t>ÖSTERGÖTLANDS LÄN</t>
        </is>
      </c>
      <c r="G604" t="inlineStr">
        <is>
          <t>NORRKÖPING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18819-2026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46128</v>
      </c>
      <c r="E605" s="1" t="n">
        <v>46307</v>
      </c>
      <c r="F605" t="inlineStr">
        <is>
          <t>ÖSTERGÖTLANDS LÄN</t>
        </is>
      </c>
      <c r="G605" t="inlineStr">
        <is>
          <t>NORRKÖPING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41367-2023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45174</v>
      </c>
      <c r="E606" s="1" t="n">
        <v>46307</v>
      </c>
      <c r="F606" t="inlineStr">
        <is>
          <t>ÖSTERGÖTLANDS LÄN</t>
        </is>
      </c>
      <c r="G606" t="inlineStr">
        <is>
          <t>NORRKÖPING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41375-2023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46307</v>
      </c>
      <c r="F607" t="inlineStr">
        <is>
          <t>ÖSTERGÖTLANDS LÄN</t>
        </is>
      </c>
      <c r="G607" t="inlineStr">
        <is>
          <t>NORRKÖPING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11261-2023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44992</v>
      </c>
      <c r="E608" s="1" t="n">
        <v>46307</v>
      </c>
      <c r="F608" t="inlineStr">
        <is>
          <t>ÖSTERGÖTLANDS LÄN</t>
        </is>
      </c>
      <c r="G608" t="inlineStr">
        <is>
          <t>NORRKÖPING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62118-2025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46307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46307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62112-2025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46307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14901-2023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45014</v>
      </c>
      <c r="E612" s="1" t="n">
        <v>46307</v>
      </c>
      <c r="F612" t="inlineStr">
        <is>
          <t>ÖSTERGÖTLANDS LÄN</t>
        </is>
      </c>
      <c r="G612" t="inlineStr">
        <is>
          <t>NORRKÖPING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46307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46307</v>
      </c>
      <c r="F614" t="inlineStr">
        <is>
          <t>ÖSTERGÖTLANDS LÄN</t>
        </is>
      </c>
      <c r="G614" t="inlineStr">
        <is>
          <t>NORRKÖPING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45836</v>
      </c>
      <c r="E615" s="1" t="n">
        <v>46307</v>
      </c>
      <c r="F615" t="inlineStr">
        <is>
          <t>ÖSTERGÖTLANDS LÄN</t>
        </is>
      </c>
      <c r="G615" t="inlineStr">
        <is>
          <t>NORRKÖPING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46307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39224-2025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45889</v>
      </c>
      <c r="E617" s="1" t="n">
        <v>46307</v>
      </c>
      <c r="F617" t="inlineStr">
        <is>
          <t>ÖSTERGÖTLANDS LÄN</t>
        </is>
      </c>
      <c r="G617" t="inlineStr">
        <is>
          <t>NORRKÖPING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46205-2025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45924</v>
      </c>
      <c r="E618" s="1" t="n">
        <v>46307</v>
      </c>
      <c r="F618" t="inlineStr">
        <is>
          <t>ÖSTERGÖTLANDS LÄN</t>
        </is>
      </c>
      <c r="G618" t="inlineStr">
        <is>
          <t>NORRKÖPING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46307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20001-2026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46135</v>
      </c>
      <c r="E620" s="1" t="n">
        <v>46307</v>
      </c>
      <c r="F620" t="inlineStr">
        <is>
          <t>ÖSTERGÖTLANDS LÄN</t>
        </is>
      </c>
      <c r="G620" t="inlineStr">
        <is>
          <t>NORRKÖPING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46307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15843-2023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45022</v>
      </c>
      <c r="E622" s="1" t="n">
        <v>46307</v>
      </c>
      <c r="F622" t="inlineStr">
        <is>
          <t>ÖSTERGÖTLANDS LÄN</t>
        </is>
      </c>
      <c r="G622" t="inlineStr">
        <is>
          <t>NORRKÖPING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46307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46007</v>
      </c>
      <c r="E624" s="1" t="n">
        <v>46307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31364-2025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46307</v>
      </c>
      <c r="F625" t="inlineStr">
        <is>
          <t>ÖSTERGÖTLANDS LÄN</t>
        </is>
      </c>
      <c r="G625" t="inlineStr">
        <is>
          <t>NORRKÖPING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25981-2023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46307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54851-2025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45966</v>
      </c>
      <c r="E627" s="1" t="n">
        <v>46307</v>
      </c>
      <c r="F627" t="inlineStr">
        <is>
          <t>ÖSTERGÖTLANDS LÄN</t>
        </is>
      </c>
      <c r="G627" t="inlineStr">
        <is>
          <t>NORRKÖPING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63229-2025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46307</v>
      </c>
      <c r="F628" t="inlineStr">
        <is>
          <t>ÖSTERGÖTLANDS LÄN</t>
        </is>
      </c>
      <c r="G628" t="inlineStr">
        <is>
          <t>NORRKÖPING</t>
        </is>
      </c>
      <c r="I628" t="n">
        <v>7.2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32574-2022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44783</v>
      </c>
      <c r="E629" s="1" t="n">
        <v>46307</v>
      </c>
      <c r="F629" t="inlineStr">
        <is>
          <t>ÖSTERGÖTLANDS LÄN</t>
        </is>
      </c>
      <c r="G629" t="inlineStr">
        <is>
          <t>NORRKÖPING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63165-2025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46307</v>
      </c>
      <c r="F630" t="inlineStr">
        <is>
          <t>ÖSTERGÖTLANDS LÄN</t>
        </is>
      </c>
      <c r="G630" t="inlineStr">
        <is>
          <t>NORRKÖPING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63168-2025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46010</v>
      </c>
      <c r="E631" s="1" t="n">
        <v>46307</v>
      </c>
      <c r="F631" t="inlineStr">
        <is>
          <t>ÖSTERGÖTLANDS LÄN</t>
        </is>
      </c>
      <c r="G631" t="inlineStr">
        <is>
          <t>NORRKÖPING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39861-2025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45891</v>
      </c>
      <c r="E632" s="1" t="n">
        <v>46307</v>
      </c>
      <c r="F632" t="inlineStr">
        <is>
          <t>ÖSTERGÖTLANDS LÄN</t>
        </is>
      </c>
      <c r="G632" t="inlineStr">
        <is>
          <t>NORRKÖPING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45891</v>
      </c>
      <c r="E633" s="1" t="n">
        <v>46307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45520</v>
      </c>
      <c r="E634" s="1" t="n">
        <v>46307</v>
      </c>
      <c r="F634" t="inlineStr">
        <is>
          <t>ÖSTERGÖTLANDS LÄN</t>
        </is>
      </c>
      <c r="G634" t="inlineStr">
        <is>
          <t>NORRKÖPING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63241-2025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46010</v>
      </c>
      <c r="E635" s="1" t="n">
        <v>46307</v>
      </c>
      <c r="F635" t="inlineStr">
        <is>
          <t>ÖSTERGÖTLANDS LÄN</t>
        </is>
      </c>
      <c r="G635" t="inlineStr">
        <is>
          <t>NORRKÖPING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8815-2024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45356</v>
      </c>
      <c r="E636" s="1" t="n">
        <v>46307</v>
      </c>
      <c r="F636" t="inlineStr">
        <is>
          <t>ÖSTERGÖTLANDS LÄN</t>
        </is>
      </c>
      <c r="G636" t="inlineStr">
        <is>
          <t>NORRKÖPING</t>
        </is>
      </c>
      <c r="I636" t="n">
        <v>6.7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18664-2023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45043</v>
      </c>
      <c r="E637" s="1" t="n">
        <v>46307</v>
      </c>
      <c r="F637" t="inlineStr">
        <is>
          <t>ÖSTERGÖTLANDS LÄN</t>
        </is>
      </c>
      <c r="G637" t="inlineStr">
        <is>
          <t>NORRKÖPING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20340-2026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46307</v>
      </c>
      <c r="F638" t="inlineStr">
        <is>
          <t>ÖSTERGÖTLANDS LÄN</t>
        </is>
      </c>
      <c r="G638" t="inlineStr">
        <is>
          <t>NORRKÖPING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45886</v>
      </c>
      <c r="E639" s="1" t="n">
        <v>46307</v>
      </c>
      <c r="F639" t="inlineStr">
        <is>
          <t>ÖSTERGÖTLANDS LÄN</t>
        </is>
      </c>
      <c r="G639" t="inlineStr">
        <is>
          <t>NORRKÖPING</t>
        </is>
      </c>
      <c r="I639" t="n">
        <v>14.3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63944-2025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46010</v>
      </c>
      <c r="E640" s="1" t="n">
        <v>46307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Allmännings- och besparingsskogar</t>
        </is>
      </c>
      <c r="I640" t="n">
        <v>11.6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42173-2023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45178</v>
      </c>
      <c r="E641" s="1" t="n">
        <v>46307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46307</v>
      </c>
      <c r="F642" t="inlineStr">
        <is>
          <t>ÖSTERGÖTLANDS LÄN</t>
        </is>
      </c>
      <c r="G642" t="inlineStr">
        <is>
          <t>NORRKÖPING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45699</v>
      </c>
      <c r="E643" s="1" t="n">
        <v>46307</v>
      </c>
      <c r="F643" t="inlineStr">
        <is>
          <t>ÖSTERGÖTLANDS LÄN</t>
        </is>
      </c>
      <c r="G643" t="inlineStr">
        <is>
          <t>NORRKÖPING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46307</v>
      </c>
      <c r="F644" t="inlineStr">
        <is>
          <t>ÖSTERGÖTLANDS LÄN</t>
        </is>
      </c>
      <c r="G644" t="inlineStr">
        <is>
          <t>NORRKÖPING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20356-2024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45435</v>
      </c>
      <c r="E645" s="1" t="n">
        <v>46307</v>
      </c>
      <c r="F645" t="inlineStr">
        <is>
          <t>ÖSTERGÖTLANDS LÄN</t>
        </is>
      </c>
      <c r="G645" t="inlineStr">
        <is>
          <t>NORRKÖPING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45547</v>
      </c>
      <c r="E646" s="1" t="n">
        <v>46307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Allmännings- och besparingsskogar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25287-2023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45086</v>
      </c>
      <c r="E647" s="1" t="n">
        <v>46307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45636</v>
      </c>
      <c r="E648" s="1" t="n">
        <v>46307</v>
      </c>
      <c r="F648" t="inlineStr">
        <is>
          <t>ÖSTERGÖTLANDS LÄN</t>
        </is>
      </c>
      <c r="G648" t="inlineStr">
        <is>
          <t>NORRKÖPING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46307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Allmännings- och besparingsskogar</t>
        </is>
      </c>
      <c r="I649" t="n">
        <v>12.4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22651-2023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45071</v>
      </c>
      <c r="E650" s="1" t="n">
        <v>46307</v>
      </c>
      <c r="F650" t="inlineStr">
        <is>
          <t>ÖSTERGÖTLANDS LÄN</t>
        </is>
      </c>
      <c r="G650" t="inlineStr">
        <is>
          <t>NORRKÖPING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23941-2025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45796</v>
      </c>
      <c r="E651" s="1" t="n">
        <v>46307</v>
      </c>
      <c r="F651" t="inlineStr">
        <is>
          <t>ÖSTERGÖTLANDS LÄN</t>
        </is>
      </c>
      <c r="G651" t="inlineStr">
        <is>
          <t>NORRKÖPING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46038</v>
      </c>
      <c r="E652" s="1" t="n">
        <v>46307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46037</v>
      </c>
      <c r="E653" s="1" t="n">
        <v>46307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46042</v>
      </c>
      <c r="E654" s="1" t="n">
        <v>46307</v>
      </c>
      <c r="F654" t="inlineStr">
        <is>
          <t>ÖSTERGÖTLANDS LÄN</t>
        </is>
      </c>
      <c r="G654" t="inlineStr">
        <is>
          <t>NORRKÖPING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46042</v>
      </c>
      <c r="E655" s="1" t="n">
        <v>46307</v>
      </c>
      <c r="F655" t="inlineStr">
        <is>
          <t>ÖSTERGÖTLANDS LÄN</t>
        </is>
      </c>
      <c r="G655" t="inlineStr">
        <is>
          <t>NORRKÖPING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29010-2023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45096</v>
      </c>
      <c r="E656" s="1" t="n">
        <v>46307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12.3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46042</v>
      </c>
      <c r="E657" s="1" t="n">
        <v>46307</v>
      </c>
      <c r="F657" t="inlineStr">
        <is>
          <t>ÖSTERGÖTLANDS LÄN</t>
        </is>
      </c>
      <c r="G657" t="inlineStr">
        <is>
          <t>NORRKÖPING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46307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Kommuner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46696-2024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45583</v>
      </c>
      <c r="E659" s="1" t="n">
        <v>46307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45153</v>
      </c>
      <c r="E660" s="1" t="n">
        <v>46307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46307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17582-2025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46307</v>
      </c>
      <c r="F662" t="inlineStr">
        <is>
          <t>ÖSTERGÖTLANDS LÄN</t>
        </is>
      </c>
      <c r="G662" t="inlineStr">
        <is>
          <t>NORRKÖPING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46139</v>
      </c>
      <c r="E663" s="1" t="n">
        <v>46307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45093</v>
      </c>
      <c r="E664" s="1" t="n">
        <v>46307</v>
      </c>
      <c r="F664" t="inlineStr">
        <is>
          <t>ÖSTERGÖTLANDS LÄN</t>
        </is>
      </c>
      <c r="G664" t="inlineStr">
        <is>
          <t>NORRKÖPING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20352-2026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46139</v>
      </c>
      <c r="E665" s="1" t="n">
        <v>46307</v>
      </c>
      <c r="F665" t="inlineStr">
        <is>
          <t>ÖSTERGÖTLANDS LÄN</t>
        </is>
      </c>
      <c r="G665" t="inlineStr">
        <is>
          <t>NORRKÖPING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45867</v>
      </c>
      <c r="E666" s="1" t="n">
        <v>46307</v>
      </c>
      <c r="F666" t="inlineStr">
        <is>
          <t>ÖSTERGÖTLANDS LÄN</t>
        </is>
      </c>
      <c r="G666" t="inlineStr">
        <is>
          <t>NORRKÖPING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9206-2023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44980</v>
      </c>
      <c r="E667" s="1" t="n">
        <v>46307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44966</v>
      </c>
      <c r="E668" s="1" t="n">
        <v>46307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45030</v>
      </c>
      <c r="E669" s="1" t="n">
        <v>46307</v>
      </c>
      <c r="F669" t="inlineStr">
        <is>
          <t>ÖSTERGÖTLANDS LÄN</t>
        </is>
      </c>
      <c r="G669" t="inlineStr">
        <is>
          <t>NORRKÖPING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45478</v>
      </c>
      <c r="E670" s="1" t="n">
        <v>46307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8517-2023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46307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46046</v>
      </c>
      <c r="E672" s="1" t="n">
        <v>46307</v>
      </c>
      <c r="F672" t="inlineStr">
        <is>
          <t>ÖSTERGÖTLANDS LÄN</t>
        </is>
      </c>
      <c r="G672" t="inlineStr">
        <is>
          <t>NORRKÖPING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46048</v>
      </c>
      <c r="E673" s="1" t="n">
        <v>46307</v>
      </c>
      <c r="F673" t="inlineStr">
        <is>
          <t>ÖSTERGÖTLANDS LÄN</t>
        </is>
      </c>
      <c r="G673" t="inlineStr">
        <is>
          <t>NORRKÖPING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5466-2026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46048</v>
      </c>
      <c r="E674" s="1" t="n">
        <v>46307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Allmännings- och besparingsskogar</t>
        </is>
      </c>
      <c r="I674" t="n">
        <v>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46046</v>
      </c>
      <c r="E675" s="1" t="n">
        <v>46307</v>
      </c>
      <c r="F675" t="inlineStr">
        <is>
          <t>ÖSTERGÖTLANDS LÄN</t>
        </is>
      </c>
      <c r="G675" t="inlineStr">
        <is>
          <t>NORRKÖPING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46045</v>
      </c>
      <c r="E676" s="1" t="n">
        <v>46307</v>
      </c>
      <c r="F676" t="inlineStr">
        <is>
          <t>ÖSTERGÖTLANDS LÄN</t>
        </is>
      </c>
      <c r="G676" t="inlineStr">
        <is>
          <t>NORRKÖPING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13173-2022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44644</v>
      </c>
      <c r="E677" s="1" t="n">
        <v>46307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Allmännings- och besparingsskogar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45012</v>
      </c>
      <c r="E678" s="1" t="n">
        <v>46307</v>
      </c>
      <c r="F678" t="inlineStr">
        <is>
          <t>ÖSTERGÖTLANDS LÄN</t>
        </is>
      </c>
      <c r="G678" t="inlineStr">
        <is>
          <t>NORRKÖPING</t>
        </is>
      </c>
      <c r="I678" t="n">
        <v>9.9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46307</v>
      </c>
      <c r="F679" t="inlineStr">
        <is>
          <t>ÖSTERGÖTLANDS LÄN</t>
        </is>
      </c>
      <c r="G679" t="inlineStr">
        <is>
          <t>NORRKÖPING</t>
        </is>
      </c>
      <c r="I679" t="n">
        <v>10.1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46307</v>
      </c>
      <c r="F680" t="inlineStr">
        <is>
          <t>ÖSTERGÖTLANDS LÄN</t>
        </is>
      </c>
      <c r="G680" t="inlineStr">
        <is>
          <t>NORRKÖPING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46307</v>
      </c>
      <c r="F681" t="inlineStr">
        <is>
          <t>ÖSTERGÖTLANDS LÄN</t>
        </is>
      </c>
      <c r="G681" t="inlineStr">
        <is>
          <t>NORRKÖPING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46146</v>
      </c>
      <c r="E682" s="1" t="n">
        <v>46307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46146</v>
      </c>
      <c r="E683" s="1" t="n">
        <v>46307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46072</v>
      </c>
      <c r="E684" s="1" t="n">
        <v>46307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Kyrkan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10261-2026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46076</v>
      </c>
      <c r="E685" s="1" t="n">
        <v>46307</v>
      </c>
      <c r="F685" t="inlineStr">
        <is>
          <t>ÖSTERGÖTLANDS LÄN</t>
        </is>
      </c>
      <c r="G685" t="inlineStr">
        <is>
          <t>NORRKÖPING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10266-2026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46076</v>
      </c>
      <c r="E686" s="1" t="n">
        <v>46307</v>
      </c>
      <c r="F686" t="inlineStr">
        <is>
          <t>ÖSTERGÖTLANDS LÄN</t>
        </is>
      </c>
      <c r="G686" t="inlineStr">
        <is>
          <t>NORRKÖPING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46307</v>
      </c>
      <c r="F687" t="inlineStr">
        <is>
          <t>ÖSTERGÖTLANDS LÄN</t>
        </is>
      </c>
      <c r="G687" t="inlineStr">
        <is>
          <t>NORRKÖPING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46307</v>
      </c>
      <c r="F688" t="inlineStr">
        <is>
          <t>ÖSTERGÖTLANDS LÄN</t>
        </is>
      </c>
      <c r="G688" t="inlineStr">
        <is>
          <t>NORRKÖPING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46307</v>
      </c>
      <c r="F689" t="inlineStr">
        <is>
          <t>ÖSTERGÖTLANDS LÄN</t>
        </is>
      </c>
      <c r="G689" t="inlineStr">
        <is>
          <t>NORRKÖPING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46090</v>
      </c>
      <c r="E690" s="1" t="n">
        <v>46307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13091-2026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46307</v>
      </c>
      <c r="F691" t="inlineStr">
        <is>
          <t>ÖSTERGÖTLANDS LÄN</t>
        </is>
      </c>
      <c r="G691" t="inlineStr">
        <is>
          <t>NORRKÖPING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13239-2026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46093</v>
      </c>
      <c r="E692" s="1" t="n">
        <v>46307</v>
      </c>
      <c r="F692" t="inlineStr">
        <is>
          <t>ÖSTERGÖTLANDS LÄN</t>
        </is>
      </c>
      <c r="G692" t="inlineStr">
        <is>
          <t>NORRKÖPING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13228-2026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46093</v>
      </c>
      <c r="E693" s="1" t="n">
        <v>46307</v>
      </c>
      <c r="F693" t="inlineStr">
        <is>
          <t>ÖSTERGÖTLANDS LÄN</t>
        </is>
      </c>
      <c r="G693" t="inlineStr">
        <is>
          <t>NORRKÖPING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13253-2026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46093</v>
      </c>
      <c r="E694" s="1" t="n">
        <v>46307</v>
      </c>
      <c r="F694" t="inlineStr">
        <is>
          <t>ÖSTERGÖTLANDS LÄN</t>
        </is>
      </c>
      <c r="G694" t="inlineStr">
        <is>
          <t>NORRKÖPING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46307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13330-2026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46094</v>
      </c>
      <c r="E696" s="1" t="n">
        <v>46307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10791-2024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45369</v>
      </c>
      <c r="E697" s="1" t="n">
        <v>46307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46163</v>
      </c>
      <c r="E698" s="1" t="n">
        <v>46307</v>
      </c>
      <c r="F698" t="inlineStr">
        <is>
          <t>ÖSTERGÖTLANDS LÄN</t>
        </is>
      </c>
      <c r="G698" t="inlineStr">
        <is>
          <t>NORRKÖPING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57380-2024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45629</v>
      </c>
      <c r="E699" s="1" t="n">
        <v>46307</v>
      </c>
      <c r="F699" t="inlineStr">
        <is>
          <t>ÖSTERGÖTLANDS LÄN</t>
        </is>
      </c>
      <c r="G699" t="inlineStr">
        <is>
          <t>NORRKÖPING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46061</v>
      </c>
      <c r="E700" s="1" t="n">
        <v>46307</v>
      </c>
      <c r="F700" t="inlineStr">
        <is>
          <t>ÖSTERGÖTLANDS LÄN</t>
        </is>
      </c>
      <c r="G700" t="inlineStr">
        <is>
          <t>NORRKÖPING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19739-2024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45432</v>
      </c>
      <c r="E701" s="1" t="n">
        <v>46307</v>
      </c>
      <c r="F701" t="inlineStr">
        <is>
          <t>ÖSTERGÖTLANDS LÄN</t>
        </is>
      </c>
      <c r="G701" t="inlineStr">
        <is>
          <t>NORRKÖPING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45889</v>
      </c>
      <c r="E702" s="1" t="n">
        <v>46307</v>
      </c>
      <c r="F702" t="inlineStr">
        <is>
          <t>ÖSTERGÖTLANDS LÄN</t>
        </is>
      </c>
      <c r="G702" t="inlineStr">
        <is>
          <t>NORRKÖPING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46178</v>
      </c>
      <c r="E703" s="1" t="n">
        <v>46307</v>
      </c>
      <c r="F703" t="inlineStr">
        <is>
          <t>ÖSTERGÖTLANDS LÄN</t>
        </is>
      </c>
      <c r="G703" t="inlineStr">
        <is>
          <t>NORRKÖPING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25693-2026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46178</v>
      </c>
      <c r="E704" s="1" t="n">
        <v>46307</v>
      </c>
      <c r="F704" t="inlineStr">
        <is>
          <t>ÖSTERGÖTLANDS LÄN</t>
        </is>
      </c>
      <c r="G704" t="inlineStr">
        <is>
          <t>NORRKÖPING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46307</v>
      </c>
      <c r="F705" t="inlineStr">
        <is>
          <t>ÖSTERGÖTLANDS LÄN</t>
        </is>
      </c>
      <c r="G705" t="inlineStr">
        <is>
          <t>NORRKÖPING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46307</v>
      </c>
      <c r="F706" t="inlineStr">
        <is>
          <t>ÖSTERGÖTLANDS LÄN</t>
        </is>
      </c>
      <c r="G706" t="inlineStr">
        <is>
          <t>NORRKÖPING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46307</v>
      </c>
      <c r="F707" t="inlineStr">
        <is>
          <t>ÖSTERGÖTLANDS LÄN</t>
        </is>
      </c>
      <c r="G707" t="inlineStr">
        <is>
          <t>NORRKÖPING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25694-2026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46307</v>
      </c>
      <c r="F708" t="inlineStr">
        <is>
          <t>ÖSTERGÖTLANDS LÄN</t>
        </is>
      </c>
      <c r="G708" t="inlineStr">
        <is>
          <t>NORRKÖPING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25700-2026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46307</v>
      </c>
      <c r="F709" t="inlineStr">
        <is>
          <t>ÖSTERGÖTLANDS LÄN</t>
        </is>
      </c>
      <c r="G709" t="inlineStr">
        <is>
          <t>NORRKÖPING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26360-2026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46182</v>
      </c>
      <c r="E710" s="1" t="n">
        <v>46307</v>
      </c>
      <c r="F710" t="inlineStr">
        <is>
          <t>ÖSTERGÖTLANDS LÄN</t>
        </is>
      </c>
      <c r="G710" t="inlineStr">
        <is>
          <t>NORRKÖPING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46307</v>
      </c>
      <c r="F711" t="inlineStr">
        <is>
          <t>ÖSTERGÖTLANDS LÄN</t>
        </is>
      </c>
      <c r="G711" t="inlineStr">
        <is>
          <t>NORRKÖPING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46182</v>
      </c>
      <c r="E712" s="1" t="n">
        <v>46307</v>
      </c>
      <c r="F712" t="inlineStr">
        <is>
          <t>ÖSTERGÖTLANDS LÄN</t>
        </is>
      </c>
      <c r="G712" t="inlineStr">
        <is>
          <t>NORRKÖPING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22479-2026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46307</v>
      </c>
      <c r="F713" t="inlineStr">
        <is>
          <t>ÖSTERGÖTLANDS LÄN</t>
        </is>
      </c>
      <c r="G713" t="inlineStr">
        <is>
          <t>NORRKÖPING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26999-2026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46307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26953-2026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46307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27177-2026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46307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46307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26085-2026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46181</v>
      </c>
      <c r="E718" s="1" t="n">
        <v>46307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45796</v>
      </c>
      <c r="E719" s="1" t="n">
        <v>46307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28256-2026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46307</v>
      </c>
      <c r="F720" t="inlineStr">
        <is>
          <t>ÖSTERGÖTLANDS LÄN</t>
        </is>
      </c>
      <c r="G720" t="inlineStr">
        <is>
          <t>NORRKÖPING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28255-2026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46307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46307</v>
      </c>
      <c r="F722" t="inlineStr">
        <is>
          <t>ÖSTERGÖTLANDS LÄN</t>
        </is>
      </c>
      <c r="G722" t="inlineStr">
        <is>
          <t>NORRKÖPING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28271-2026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46307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28259-2026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46307</v>
      </c>
      <c r="F724" t="inlineStr">
        <is>
          <t>ÖSTERGÖTLANDS LÄN</t>
        </is>
      </c>
      <c r="G724" t="inlineStr">
        <is>
          <t>NORRKÖPING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28835-2026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46307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46307</v>
      </c>
      <c r="F726" t="inlineStr">
        <is>
          <t>ÖSTERGÖTLANDS LÄN</t>
        </is>
      </c>
      <c r="G726" t="inlineStr">
        <is>
          <t>NORRKÖPING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46307</v>
      </c>
      <c r="F727" t="inlineStr">
        <is>
          <t>ÖSTERGÖTLANDS LÄN</t>
        </is>
      </c>
      <c r="G727" t="inlineStr">
        <is>
          <t>NORRKÖPING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46307</v>
      </c>
      <c r="F728" t="inlineStr">
        <is>
          <t>ÖSTERGÖTLANDS LÄN</t>
        </is>
      </c>
      <c r="G728" t="inlineStr">
        <is>
          <t>NORRKÖPING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28781-2026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46307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28902-2026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46199</v>
      </c>
      <c r="E730" s="1" t="n">
        <v>46307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46307</v>
      </c>
      <c r="F731" t="inlineStr">
        <is>
          <t>ÖSTERGÖTLANDS LÄN</t>
        </is>
      </c>
      <c r="G731" t="inlineStr">
        <is>
          <t>NORRKÖPING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44641</v>
      </c>
      <c r="E732" s="1" t="n">
        <v>46307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46307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46307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30485-2026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46307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46307</v>
      </c>
      <c r="F736" t="inlineStr">
        <is>
          <t>ÖSTERGÖTLANDS LÄN</t>
        </is>
      </c>
      <c r="G736" t="inlineStr">
        <is>
          <t>NORRKÖPING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46307</v>
      </c>
      <c r="F737" t="inlineStr">
        <is>
          <t>ÖSTERGÖTLANDS LÄN</t>
        </is>
      </c>
      <c r="G737" t="inlineStr">
        <is>
          <t>NORRKÖPING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30901-2026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46213</v>
      </c>
      <c r="E738" s="1" t="n">
        <v>46307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30911-2026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46213</v>
      </c>
      <c r="E739" s="1" t="n">
        <v>46307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45798</v>
      </c>
      <c r="E740" s="1" t="n">
        <v>46307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46307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31229-2026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46217</v>
      </c>
      <c r="E742" s="1" t="n">
        <v>46307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31078-2026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46216</v>
      </c>
      <c r="E743" s="1" t="n">
        <v>46307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46217</v>
      </c>
      <c r="E744" s="1" t="n">
        <v>46307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31268-2026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46218</v>
      </c>
      <c r="E745" s="1" t="n">
        <v>46307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46218</v>
      </c>
      <c r="E746" s="1" t="n">
        <v>46307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25715-2026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46307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46265</v>
      </c>
      <c r="E748" s="1" t="n">
        <v>46307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46265</v>
      </c>
      <c r="E749" s="1" t="n">
        <v>46307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46225</v>
      </c>
      <c r="E750" s="1" t="n">
        <v>46307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Allmännings- och besparingsskogar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46268</v>
      </c>
      <c r="E751" s="1" t="n">
        <v>46307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BillerudKorsnäs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46269</v>
      </c>
      <c r="E752" s="1" t="n">
        <v>46307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46307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46231</v>
      </c>
      <c r="E754" s="1" t="n">
        <v>46307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46233</v>
      </c>
      <c r="E755" s="1" t="n">
        <v>46307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32068-2026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46233</v>
      </c>
      <c r="E756" s="1" t="n">
        <v>46307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46233</v>
      </c>
      <c r="E757" s="1" t="n">
        <v>46307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46233</v>
      </c>
      <c r="E758" s="1" t="n">
        <v>46307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37915-2026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46307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38017-2026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46280</v>
      </c>
      <c r="E760" s="1" t="n">
        <v>46307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37958-2026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46280</v>
      </c>
      <c r="E761" s="1" t="n">
        <v>46307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37811-2026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46279</v>
      </c>
      <c r="E762" s="1" t="n">
        <v>46307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32028-2026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46233</v>
      </c>
      <c r="E763" s="1" t="n">
        <v>46307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46233</v>
      </c>
      <c r="E764" s="1" t="n">
        <v>46307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46307</v>
      </c>
      <c r="F765" t="inlineStr">
        <is>
          <t>ÖSTERGÖTLANDS LÄN</t>
        </is>
      </c>
      <c r="G765" t="inlineStr">
        <is>
          <t>NORRKÖPING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46241</v>
      </c>
      <c r="E766" s="1" t="n">
        <v>46307</v>
      </c>
      <c r="F766" t="inlineStr">
        <is>
          <t>ÖSTERGÖTLANDS LÄN</t>
        </is>
      </c>
      <c r="G766" t="inlineStr">
        <is>
          <t>NORRKÖPING</t>
        </is>
      </c>
      <c r="I766" t="n">
        <v>5.7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46282</v>
      </c>
      <c r="E767" s="1" t="n">
        <v>46307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Allmännings- och besparingsskogar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39426-2026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46288</v>
      </c>
      <c r="E768" s="1" t="n">
        <v>46307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Kyrkan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32926-2026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46244</v>
      </c>
      <c r="E769" s="1" t="n">
        <v>46307</v>
      </c>
      <c r="F769" t="inlineStr">
        <is>
          <t>ÖSTERGÖTLANDS LÄN</t>
        </is>
      </c>
      <c r="G769" t="inlineStr">
        <is>
          <t>NORRKÖPING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39439-2026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46288</v>
      </c>
      <c r="E770" s="1" t="n">
        <v>46307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Kyrkan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46244</v>
      </c>
      <c r="E771" s="1" t="n">
        <v>46307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32885-2026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46307</v>
      </c>
      <c r="F772" t="inlineStr">
        <is>
          <t>ÖSTERGÖTLANDS LÄN</t>
        </is>
      </c>
      <c r="G772" t="inlineStr">
        <is>
          <t>NORRKÖPING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46307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46307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33094-2026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46307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32880-2026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46307</v>
      </c>
      <c r="F776" t="inlineStr">
        <is>
          <t>ÖSTERGÖTLANDS LÄN</t>
        </is>
      </c>
      <c r="G776" t="inlineStr">
        <is>
          <t>NORRKÖPING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33124-2026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46245</v>
      </c>
      <c r="E777" s="1" t="n">
        <v>46307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46050</v>
      </c>
      <c r="E778" s="1" t="n">
        <v>46307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Allmännings- och besparingsskogar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39536-2026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46289</v>
      </c>
      <c r="E779" s="1" t="n">
        <v>46307</v>
      </c>
      <c r="F779" t="inlineStr">
        <is>
          <t>ÖSTERGÖTLANDS LÄN</t>
        </is>
      </c>
      <c r="G779" t="inlineStr">
        <is>
          <t>NORRKÖPING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46307</v>
      </c>
      <c r="F780" t="inlineStr">
        <is>
          <t>ÖSTERGÖTLANDS LÄN</t>
        </is>
      </c>
      <c r="G780" t="inlineStr">
        <is>
          <t>NORRKÖPING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40072-2026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46293</v>
      </c>
      <c r="E781" s="1" t="n">
        <v>46307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40724-2026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46294</v>
      </c>
      <c r="E782" s="1" t="n">
        <v>46307</v>
      </c>
      <c r="F782" t="inlineStr">
        <is>
          <t>ÖSTERGÖTLANDS LÄN</t>
        </is>
      </c>
      <c r="G782" t="inlineStr">
        <is>
          <t>NORRKÖPING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46307</v>
      </c>
      <c r="F783" t="inlineStr">
        <is>
          <t>ÖSTERGÖTLANDS LÄN</t>
        </is>
      </c>
      <c r="G783" t="inlineStr">
        <is>
          <t>NORRKÖPING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46072</v>
      </c>
      <c r="E784" s="1" t="n">
        <v>46307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Kyrkan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18537-2025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45763</v>
      </c>
      <c r="E785" s="1" t="n">
        <v>46307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9.300000000000001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46240</v>
      </c>
      <c r="E786" s="1" t="n">
        <v>46307</v>
      </c>
      <c r="F786" t="inlineStr">
        <is>
          <t>ÖSTERGÖTLANDS LÄN</t>
        </is>
      </c>
      <c r="G786" t="inlineStr">
        <is>
          <t>NORRKÖPING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38968-2026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46286</v>
      </c>
      <c r="E787" s="1" t="n">
        <v>46307</v>
      </c>
      <c r="F787" t="inlineStr">
        <is>
          <t>ÖSTERGÖTLANDS LÄN</t>
        </is>
      </c>
      <c r="G787" t="inlineStr">
        <is>
          <t>NORRKÖPING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46307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34809-2026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46307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34787-2026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46307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34712-2026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46307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34815-2026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46307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46260</v>
      </c>
      <c r="E793" s="1" t="n">
        <v>46307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46307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11136-2025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45723</v>
      </c>
      <c r="E795" s="1" t="n">
        <v>46307</v>
      </c>
      <c r="F795" t="inlineStr">
        <is>
          <t>ÖSTERGÖTLANDS LÄN</t>
        </is>
      </c>
      <c r="G795" t="inlineStr">
        <is>
          <t>NORRKÖPING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45769</v>
      </c>
      <c r="E796" s="1" t="n">
        <v>46307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1519-2021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44313</v>
      </c>
      <c r="E797" s="1" t="n">
        <v>46307</v>
      </c>
      <c r="F797" t="inlineStr">
        <is>
          <t>ÖSTERGÖTLANDS LÄN</t>
        </is>
      </c>
      <c r="G797" t="inlineStr">
        <is>
          <t>NORRKÖPING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46307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46307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1484-2022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44638</v>
      </c>
      <c r="E800" s="1" t="n">
        <v>46307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1678-2022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44649</v>
      </c>
      <c r="E801" s="1" t="n">
        <v>46307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10364-2021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44551</v>
      </c>
      <c r="E802" s="1" t="n">
        <v>46307</v>
      </c>
      <c r="F802" t="inlineStr">
        <is>
          <t>ÖSTERGÖTLANDS LÄN</t>
        </is>
      </c>
      <c r="G802" t="inlineStr">
        <is>
          <t>NORRKÖPING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2481-2022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44692</v>
      </c>
      <c r="E803" s="1" t="n">
        <v>46307</v>
      </c>
      <c r="F803" t="inlineStr">
        <is>
          <t>ÖSTERGÖTLANDS LÄN</t>
        </is>
      </c>
      <c r="G803" t="inlineStr">
        <is>
          <t>NORRKÖPING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211-2024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45316</v>
      </c>
      <c r="E804" s="1" t="n">
        <v>46307</v>
      </c>
      <c r="F804" t="inlineStr">
        <is>
          <t>ÖSTERGÖTLANDS LÄN</t>
        </is>
      </c>
      <c r="G804" t="inlineStr">
        <is>
          <t>NORRKÖPING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46307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46307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46307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46307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46307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46307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2026-10-12T02:01:53Z</dcterms:created>
  <dcterms:modified xmlns:dcterms="http://purl.org/dc/terms/" xmlns:xsi="http://www.w3.org/2001/XMLSchema-instance" xsi:type="dcterms:W3CDTF">2026-10-12T02:01:54Z</dcterms:modified>
</cp:coreProperties>
</file>