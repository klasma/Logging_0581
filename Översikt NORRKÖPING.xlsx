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45356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45356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45356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45356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45356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45356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45356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45356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45356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45356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45356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45356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45356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45356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45356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45356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45356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45356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45356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59092-2021</t>
        </is>
      </c>
      <c r="B51" s="1" t="n">
        <v>44490</v>
      </c>
      <c r="C51" s="1" t="n">
        <v>45356</v>
      </c>
      <c r="D51" t="inlineStr">
        <is>
          <t>ÖSTERGÖTLANDS LÄN</t>
        </is>
      </c>
      <c r="E51" t="inlineStr">
        <is>
          <t>NORRKÖPING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59092-2021 artfynd.xlsx", "A 59092-2021")</f>
        <v/>
      </c>
      <c r="T51">
        <f>HYPERLINK("https://klasma.github.io/Logging_0581/kartor/A 59092-2021 karta.png", "A 59092-2021")</f>
        <v/>
      </c>
      <c r="V51">
        <f>HYPERLINK("https://klasma.github.io/Logging_0581/klagomål/A 59092-2021 FSC-klagomål.docx", "A 59092-2021")</f>
        <v/>
      </c>
      <c r="W51">
        <f>HYPERLINK("https://klasma.github.io/Logging_0581/klagomålsmail/A 59092-2021 FSC-klagomål mail.docx", "A 59092-2021")</f>
        <v/>
      </c>
      <c r="X51">
        <f>HYPERLINK("https://klasma.github.io/Logging_0581/tillsyn/A 59092-2021 tillsynsbegäran.docx", "A 59092-2021")</f>
        <v/>
      </c>
      <c r="Y51">
        <f>HYPERLINK("https://klasma.github.io/Logging_0581/tillsynsmail/A 59092-2021 tillsynsbegäran mail.docx", "A 59092-2021")</f>
        <v/>
      </c>
    </row>
    <row r="52" ht="15" customHeight="1">
      <c r="A52" t="inlineStr">
        <is>
          <t>A 59254-2021</t>
        </is>
      </c>
      <c r="B52" s="1" t="n">
        <v>44490</v>
      </c>
      <c r="C52" s="1" t="n">
        <v>45356</v>
      </c>
      <c r="D52" t="inlineStr">
        <is>
          <t>ÖSTERGÖTLANDS LÄN</t>
        </is>
      </c>
      <c r="E52" t="inlineStr">
        <is>
          <t>NORRKÖPING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HYPERLINK("https://klasma.github.io/Logging_0581/artfynd/A 59254-2021 artfynd.xlsx", "A 59254-2021")</f>
        <v/>
      </c>
      <c r="T52">
        <f>HYPERLINK("https://klasma.github.io/Logging_0581/kartor/A 59254-2021 karta.png", "A 59254-2021")</f>
        <v/>
      </c>
      <c r="V52">
        <f>HYPERLINK("https://klasma.github.io/Logging_0581/klagomål/A 59254-2021 FSC-klagomål.docx", "A 59254-2021")</f>
        <v/>
      </c>
      <c r="W52">
        <f>HYPERLINK("https://klasma.github.io/Logging_0581/klagomålsmail/A 59254-2021 FSC-klagomål mail.docx", "A 59254-2021")</f>
        <v/>
      </c>
      <c r="X52">
        <f>HYPERLINK("https://klasma.github.io/Logging_0581/tillsyn/A 59254-2021 tillsynsbegäran.docx", "A 59254-2021")</f>
        <v/>
      </c>
      <c r="Y52">
        <f>HYPERLINK("https://klasma.github.io/Logging_0581/tillsynsmail/A 59254-2021 tillsynsbegäran mail.docx", "A 59254-2021")</f>
        <v/>
      </c>
    </row>
    <row r="53" ht="15" customHeight="1">
      <c r="A53" t="inlineStr">
        <is>
          <t>A 67652-2021</t>
        </is>
      </c>
      <c r="B53" s="1" t="n">
        <v>44524</v>
      </c>
      <c r="C53" s="1" t="n">
        <v>45356</v>
      </c>
      <c r="D53" t="inlineStr">
        <is>
          <t>ÖSTERGÖTLANDS LÄN</t>
        </is>
      </c>
      <c r="E53" t="inlineStr">
        <is>
          <t>NORRKÖPING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HYPERLINK("https://klasma.github.io/Logging_0581/artfynd/A 67652-2021 artfynd.xlsx", "A 67652-2021")</f>
        <v/>
      </c>
      <c r="T53">
        <f>HYPERLINK("https://klasma.github.io/Logging_0581/kartor/A 67652-2021 karta.png", "A 67652-2021")</f>
        <v/>
      </c>
      <c r="V53">
        <f>HYPERLINK("https://klasma.github.io/Logging_0581/klagomål/A 67652-2021 FSC-klagomål.docx", "A 67652-2021")</f>
        <v/>
      </c>
      <c r="W53">
        <f>HYPERLINK("https://klasma.github.io/Logging_0581/klagomålsmail/A 67652-2021 FSC-klagomål mail.docx", "A 67652-2021")</f>
        <v/>
      </c>
      <c r="X53">
        <f>HYPERLINK("https://klasma.github.io/Logging_0581/tillsyn/A 67652-2021 tillsynsbegäran.docx", "A 67652-2021")</f>
        <v/>
      </c>
      <c r="Y53">
        <f>HYPERLINK("https://klasma.github.io/Logging_0581/tillsynsmail/A 67652-2021 tillsynsbegäran mail.docx", "A 67652-2021")</f>
        <v/>
      </c>
    </row>
    <row r="54" ht="15" customHeight="1">
      <c r="A54" t="inlineStr">
        <is>
          <t>A 55022-2022</t>
        </is>
      </c>
      <c r="B54" s="1" t="n">
        <v>44886</v>
      </c>
      <c r="C54" s="1" t="n">
        <v>45356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2457-2023</t>
        </is>
      </c>
      <c r="B55" s="1" t="n">
        <v>44943</v>
      </c>
      <c r="C55" s="1" t="n">
        <v>45356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HYPERLINK("https://klasma.github.io/Logging_0581/artfynd/A 2457-2023 artfynd.xlsx", "A 2457-2023")</f>
        <v/>
      </c>
      <c r="T55">
        <f>HYPERLINK("https://klasma.github.io/Logging_0581/kartor/A 2457-2023 karta.png", "A 2457-2023")</f>
        <v/>
      </c>
      <c r="V55">
        <f>HYPERLINK("https://klasma.github.io/Logging_0581/klagomål/A 2457-2023 FSC-klagomål.docx", "A 2457-2023")</f>
        <v/>
      </c>
      <c r="W55">
        <f>HYPERLINK("https://klasma.github.io/Logging_0581/klagomålsmail/A 2457-2023 FSC-klagomål mail.docx", "A 2457-2023")</f>
        <v/>
      </c>
      <c r="X55">
        <f>HYPERLINK("https://klasma.github.io/Logging_0581/tillsyn/A 2457-2023 tillsynsbegäran.docx", "A 2457-2023")</f>
        <v/>
      </c>
      <c r="Y55">
        <f>HYPERLINK("https://klasma.github.io/Logging_0581/tillsynsmail/A 2457-2023 tillsynsbegäran mail.docx", "A 2457-2023")</f>
        <v/>
      </c>
    </row>
    <row r="56" ht="15" customHeight="1">
      <c r="A56" t="inlineStr">
        <is>
          <t>A 7264-2023</t>
        </is>
      </c>
      <c r="B56" s="1" t="n">
        <v>44970</v>
      </c>
      <c r="C56" s="1" t="n">
        <v>45356</v>
      </c>
      <c r="D56" t="inlineStr">
        <is>
          <t>ÖSTERGÖTLANDS LÄN</t>
        </is>
      </c>
      <c r="E56" t="inlineStr">
        <is>
          <t>NORRKÖPING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HYPERLINK("https://klasma.github.io/Logging_0581/artfynd/A 7264-2023 artfynd.xlsx", "A 7264-2023")</f>
        <v/>
      </c>
      <c r="T56">
        <f>HYPERLINK("https://klasma.github.io/Logging_0581/kartor/A 7264-2023 karta.png", "A 7264-2023")</f>
        <v/>
      </c>
      <c r="V56">
        <f>HYPERLINK("https://klasma.github.io/Logging_0581/klagomål/A 7264-2023 FSC-klagomål.docx", "A 7264-2023")</f>
        <v/>
      </c>
      <c r="W56">
        <f>HYPERLINK("https://klasma.github.io/Logging_0581/klagomålsmail/A 7264-2023 FSC-klagomål mail.docx", "A 7264-2023")</f>
        <v/>
      </c>
      <c r="X56">
        <f>HYPERLINK("https://klasma.github.io/Logging_0581/tillsyn/A 7264-2023 tillsynsbegäran.docx", "A 7264-2023")</f>
        <v/>
      </c>
      <c r="Y56">
        <f>HYPERLINK("https://klasma.github.io/Logging_0581/tillsynsmail/A 7264-2023 tillsynsbegäran mail.docx", "A 7264-2023")</f>
        <v/>
      </c>
    </row>
    <row r="57" ht="15" customHeight="1">
      <c r="A57" t="inlineStr">
        <is>
          <t>A 18500-2023</t>
        </is>
      </c>
      <c r="B57" s="1" t="n">
        <v>45042</v>
      </c>
      <c r="C57" s="1" t="n">
        <v>45356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HYPERLINK("https://klasma.github.io/Logging_0581/artfynd/A 18500-2023 artfynd.xlsx", "A 18500-2023")</f>
        <v/>
      </c>
      <c r="T57">
        <f>HYPERLINK("https://klasma.github.io/Logging_0581/kartor/A 18500-2023 karta.png", "A 18500-2023")</f>
        <v/>
      </c>
      <c r="V57">
        <f>HYPERLINK("https://klasma.github.io/Logging_0581/klagomål/A 18500-2023 FSC-klagomål.docx", "A 18500-2023")</f>
        <v/>
      </c>
      <c r="W57">
        <f>HYPERLINK("https://klasma.github.io/Logging_0581/klagomålsmail/A 18500-2023 FSC-klagomål mail.docx", "A 18500-2023")</f>
        <v/>
      </c>
      <c r="X57">
        <f>HYPERLINK("https://klasma.github.io/Logging_0581/tillsyn/A 18500-2023 tillsynsbegäran.docx", "A 18500-2023")</f>
        <v/>
      </c>
      <c r="Y57">
        <f>HYPERLINK("https://klasma.github.io/Logging_0581/tillsynsmail/A 18500-2023 tillsynsbegäran mail.docx", "A 18500-2023")</f>
        <v/>
      </c>
    </row>
    <row r="58" ht="15" customHeight="1">
      <c r="A58" t="inlineStr">
        <is>
          <t>A 20377-2023</t>
        </is>
      </c>
      <c r="B58" s="1" t="n">
        <v>45056</v>
      </c>
      <c r="C58" s="1" t="n">
        <v>45356</v>
      </c>
      <c r="D58" t="inlineStr">
        <is>
          <t>ÖSTERGÖTLANDS LÄN</t>
        </is>
      </c>
      <c r="E58" t="inlineStr">
        <is>
          <t>NORRKÖPING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20377-2023 artfynd.xlsx", "A 20377-2023")</f>
        <v/>
      </c>
      <c r="T58">
        <f>HYPERLINK("https://klasma.github.io/Logging_0581/kartor/A 20377-2023 karta.png", "A 20377-2023")</f>
        <v/>
      </c>
      <c r="V58">
        <f>HYPERLINK("https://klasma.github.io/Logging_0581/klagomål/A 20377-2023 FSC-klagomål.docx", "A 20377-2023")</f>
        <v/>
      </c>
      <c r="W58">
        <f>HYPERLINK("https://klasma.github.io/Logging_0581/klagomålsmail/A 20377-2023 FSC-klagomål mail.docx", "A 20377-2023")</f>
        <v/>
      </c>
      <c r="X58">
        <f>HYPERLINK("https://klasma.github.io/Logging_0581/tillsyn/A 20377-2023 tillsynsbegäran.docx", "A 20377-2023")</f>
        <v/>
      </c>
      <c r="Y58">
        <f>HYPERLINK("https://klasma.github.io/Logging_0581/tillsynsmail/A 20377-2023 tillsynsbegäran mail.docx", "A 20377-2023")</f>
        <v/>
      </c>
    </row>
    <row r="59" ht="15" customHeight="1">
      <c r="A59" t="inlineStr">
        <is>
          <t>A 21833-2023</t>
        </is>
      </c>
      <c r="B59" s="1" t="n">
        <v>45068</v>
      </c>
      <c r="C59" s="1" t="n">
        <v>45356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HYPERLINK("https://klasma.github.io/Logging_0581/artfynd/A 21833-2023 artfynd.xlsx", "A 21833-2023")</f>
        <v/>
      </c>
      <c r="T59">
        <f>HYPERLINK("https://klasma.github.io/Logging_0581/kartor/A 21833-2023 karta.png", "A 21833-2023")</f>
        <v/>
      </c>
      <c r="V59">
        <f>HYPERLINK("https://klasma.github.io/Logging_0581/klagomål/A 21833-2023 FSC-klagomål.docx", "A 21833-2023")</f>
        <v/>
      </c>
      <c r="W59">
        <f>HYPERLINK("https://klasma.github.io/Logging_0581/klagomålsmail/A 21833-2023 FSC-klagomål mail.docx", "A 21833-2023")</f>
        <v/>
      </c>
      <c r="X59">
        <f>HYPERLINK("https://klasma.github.io/Logging_0581/tillsyn/A 21833-2023 tillsynsbegäran.docx", "A 21833-2023")</f>
        <v/>
      </c>
      <c r="Y59">
        <f>HYPERLINK("https://klasma.github.io/Logging_0581/tillsynsmail/A 21833-2023 tillsynsbegäran mail.docx", "A 21833-2023")</f>
        <v/>
      </c>
    </row>
    <row r="60" ht="15" customHeight="1">
      <c r="A60" t="inlineStr">
        <is>
          <t>A 27107-2023</t>
        </is>
      </c>
      <c r="B60" s="1" t="n">
        <v>45096</v>
      </c>
      <c r="C60" s="1" t="n">
        <v>45356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HYPERLINK("https://klasma.github.io/Logging_0581/artfynd/A 27107-2023 artfynd.xlsx", "A 27107-2023")</f>
        <v/>
      </c>
      <c r="T60">
        <f>HYPERLINK("https://klasma.github.io/Logging_0581/kartor/A 27107-2023 karta.png", "A 27107-2023")</f>
        <v/>
      </c>
      <c r="V60">
        <f>HYPERLINK("https://klasma.github.io/Logging_0581/klagomål/A 27107-2023 FSC-klagomål.docx", "A 27107-2023")</f>
        <v/>
      </c>
      <c r="W60">
        <f>HYPERLINK("https://klasma.github.io/Logging_0581/klagomålsmail/A 27107-2023 FSC-klagomål mail.docx", "A 27107-2023")</f>
        <v/>
      </c>
      <c r="X60">
        <f>HYPERLINK("https://klasma.github.io/Logging_0581/tillsyn/A 27107-2023 tillsynsbegäran.docx", "A 27107-2023")</f>
        <v/>
      </c>
      <c r="Y60">
        <f>HYPERLINK("https://klasma.github.io/Logging_0581/tillsynsmail/A 27107-2023 tillsynsbegäran mail.docx", "A 27107-2023")</f>
        <v/>
      </c>
    </row>
    <row r="61" ht="15" customHeight="1">
      <c r="A61" t="inlineStr">
        <is>
          <t>A 29236-2023</t>
        </is>
      </c>
      <c r="B61" s="1" t="n">
        <v>45105</v>
      </c>
      <c r="C61" s="1" t="n">
        <v>45356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HYPERLINK("https://klasma.github.io/Logging_0581/artfynd/A 29236-2023 artfynd.xlsx", "A 29236-2023")</f>
        <v/>
      </c>
      <c r="T61">
        <f>HYPERLINK("https://klasma.github.io/Logging_0581/kartor/A 29236-2023 karta.png", "A 29236-2023")</f>
        <v/>
      </c>
      <c r="V61">
        <f>HYPERLINK("https://klasma.github.io/Logging_0581/klagomål/A 29236-2023 FSC-klagomål.docx", "A 29236-2023")</f>
        <v/>
      </c>
      <c r="W61">
        <f>HYPERLINK("https://klasma.github.io/Logging_0581/klagomålsmail/A 29236-2023 FSC-klagomål mail.docx", "A 29236-2023")</f>
        <v/>
      </c>
      <c r="X61">
        <f>HYPERLINK("https://klasma.github.io/Logging_0581/tillsyn/A 29236-2023 tillsynsbegäran.docx", "A 29236-2023")</f>
        <v/>
      </c>
      <c r="Y61">
        <f>HYPERLINK("https://klasma.github.io/Logging_0581/tillsynsmail/A 29236-2023 tillsynsbegäran mail.docx", "A 29236-2023")</f>
        <v/>
      </c>
    </row>
    <row r="62" ht="15" customHeight="1">
      <c r="A62" t="inlineStr">
        <is>
          <t>A 31659-2023</t>
        </is>
      </c>
      <c r="B62" s="1" t="n">
        <v>45117</v>
      </c>
      <c r="C62" s="1" t="n">
        <v>45356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HYPERLINK("https://klasma.github.io/Logging_0581/artfynd/A 31659-2023 artfynd.xlsx", "A 31659-2023")</f>
        <v/>
      </c>
      <c r="T62">
        <f>HYPERLINK("https://klasma.github.io/Logging_0581/kartor/A 31659-2023 karta.png", "A 31659-2023")</f>
        <v/>
      </c>
      <c r="V62">
        <f>HYPERLINK("https://klasma.github.io/Logging_0581/klagomål/A 31659-2023 FSC-klagomål.docx", "A 31659-2023")</f>
        <v/>
      </c>
      <c r="W62">
        <f>HYPERLINK("https://klasma.github.io/Logging_0581/klagomålsmail/A 31659-2023 FSC-klagomål mail.docx", "A 31659-2023")</f>
        <v/>
      </c>
      <c r="X62">
        <f>HYPERLINK("https://klasma.github.io/Logging_0581/tillsyn/A 31659-2023 tillsynsbegäran.docx", "A 31659-2023")</f>
        <v/>
      </c>
      <c r="Y62">
        <f>HYPERLINK("https://klasma.github.io/Logging_0581/tillsynsmail/A 31659-2023 tillsynsbegäran mail.docx", "A 31659-2023")</f>
        <v/>
      </c>
      <c r="Z62">
        <f>HYPERLINK("https://klasma.github.io/Logging_0581/fåglar/A 31659-2023 prioriterade fågelarter.docx", "A 31659-2023")</f>
        <v/>
      </c>
    </row>
    <row r="63" ht="15" customHeight="1">
      <c r="A63" t="inlineStr">
        <is>
          <t>A 32510-2023</t>
        </is>
      </c>
      <c r="B63" s="1" t="n">
        <v>45121</v>
      </c>
      <c r="C63" s="1" t="n">
        <v>45356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HYPERLINK("https://klasma.github.io/Logging_0581/artfynd/A 32510-2023 artfynd.xlsx", "A 32510-2023")</f>
        <v/>
      </c>
      <c r="T63">
        <f>HYPERLINK("https://klasma.github.io/Logging_0581/kartor/A 32510-2023 karta.png", "A 32510-2023")</f>
        <v/>
      </c>
      <c r="V63">
        <f>HYPERLINK("https://klasma.github.io/Logging_0581/klagomål/A 32510-2023 FSC-klagomål.docx", "A 32510-2023")</f>
        <v/>
      </c>
      <c r="W63">
        <f>HYPERLINK("https://klasma.github.io/Logging_0581/klagomålsmail/A 32510-2023 FSC-klagomål mail.docx", "A 32510-2023")</f>
        <v/>
      </c>
      <c r="X63">
        <f>HYPERLINK("https://klasma.github.io/Logging_0581/tillsyn/A 32510-2023 tillsynsbegäran.docx", "A 32510-2023")</f>
        <v/>
      </c>
      <c r="Y63">
        <f>HYPERLINK("https://klasma.github.io/Logging_0581/tillsynsmail/A 32510-2023 tillsynsbegäran mail.docx", "A 32510-2023")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45356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46955-2023</t>
        </is>
      </c>
      <c r="B65" s="1" t="n">
        <v>45201</v>
      </c>
      <c r="C65" s="1" t="n">
        <v>45356</v>
      </c>
      <c r="D65" t="inlineStr">
        <is>
          <t>ÖSTERGÖTLANDS LÄN</t>
        </is>
      </c>
      <c r="E65" t="inlineStr">
        <is>
          <t>NORRKÖPING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HYPERLINK("https://klasma.github.io/Logging_0581/artfynd/A 46955-2023 artfynd.xlsx", "A 46955-2023")</f>
        <v/>
      </c>
      <c r="T65">
        <f>HYPERLINK("https://klasma.github.io/Logging_0581/kartor/A 46955-2023 karta.png", "A 46955-2023")</f>
        <v/>
      </c>
      <c r="V65">
        <f>HYPERLINK("https://klasma.github.io/Logging_0581/klagomål/A 46955-2023 FSC-klagomål.docx", "A 46955-2023")</f>
        <v/>
      </c>
      <c r="W65">
        <f>HYPERLINK("https://klasma.github.io/Logging_0581/klagomålsmail/A 46955-2023 FSC-klagomål mail.docx", "A 46955-2023")</f>
        <v/>
      </c>
      <c r="X65">
        <f>HYPERLINK("https://klasma.github.io/Logging_0581/tillsyn/A 46955-2023 tillsynsbegäran.docx", "A 46955-2023")</f>
        <v/>
      </c>
      <c r="Y65">
        <f>HYPERLINK("https://klasma.github.io/Logging_0581/tillsynsmail/A 46955-2023 tillsynsbegäran mail.docx", "A 46955-2023")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45356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45356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51973-2023</t>
        </is>
      </c>
      <c r="B68" s="1" t="n">
        <v>45223</v>
      </c>
      <c r="C68" s="1" t="n">
        <v>45356</v>
      </c>
      <c r="D68" t="inlineStr">
        <is>
          <t>ÖSTERGÖTLANDS LÄN</t>
        </is>
      </c>
      <c r="E68" t="inlineStr">
        <is>
          <t>NORRKÖPING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51973-2023 artfynd.xlsx", "A 51973-2023")</f>
        <v/>
      </c>
      <c r="T68">
        <f>HYPERLINK("https://klasma.github.io/Logging_0581/kartor/A 51973-2023 karta.png", "A 51973-2023")</f>
        <v/>
      </c>
      <c r="V68">
        <f>HYPERLINK("https://klasma.github.io/Logging_0581/klagomål/A 51973-2023 FSC-klagomål.docx", "A 51973-2023")</f>
        <v/>
      </c>
      <c r="W68">
        <f>HYPERLINK("https://klasma.github.io/Logging_0581/klagomålsmail/A 51973-2023 FSC-klagomål mail.docx", "A 51973-2023")</f>
        <v/>
      </c>
      <c r="X68">
        <f>HYPERLINK("https://klasma.github.io/Logging_0581/tillsyn/A 51973-2023 tillsynsbegäran.docx", "A 51973-2023")</f>
        <v/>
      </c>
      <c r="Y68">
        <f>HYPERLINK("https://klasma.github.io/Logging_0581/tillsynsmail/A 51973-2023 tillsynsbegäran mail.docx", "A 51973-2023")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45356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59527-2023</t>
        </is>
      </c>
      <c r="B70" s="1" t="n">
        <v>45254</v>
      </c>
      <c r="C70" s="1" t="n">
        <v>45356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59527-2023 artfynd.xlsx", "A 59527-2023")</f>
        <v/>
      </c>
      <c r="T70">
        <f>HYPERLINK("https://klasma.github.io/Logging_0581/kartor/A 59527-2023 karta.png", "A 59527-2023")</f>
        <v/>
      </c>
      <c r="V70">
        <f>HYPERLINK("https://klasma.github.io/Logging_0581/klagomål/A 59527-2023 FSC-klagomål.docx", "A 59527-2023")</f>
        <v/>
      </c>
      <c r="W70">
        <f>HYPERLINK("https://klasma.github.io/Logging_0581/klagomålsmail/A 59527-2023 FSC-klagomål mail.docx", "A 59527-2023")</f>
        <v/>
      </c>
      <c r="X70">
        <f>HYPERLINK("https://klasma.github.io/Logging_0581/tillsyn/A 59527-2023 tillsynsbegäran.docx", "A 59527-2023")</f>
        <v/>
      </c>
      <c r="Y70">
        <f>HYPERLINK("https://klasma.github.io/Logging_0581/tillsynsmail/A 59527-2023 tillsynsbegäran mail.docx", "A 59527-2023")</f>
        <v/>
      </c>
    </row>
    <row r="71" ht="15" customHeight="1">
      <c r="A71" t="inlineStr">
        <is>
          <t>A 63966-2023</t>
        </is>
      </c>
      <c r="B71" s="1" t="n">
        <v>45278</v>
      </c>
      <c r="C71" s="1" t="n">
        <v>45356</v>
      </c>
      <c r="D71" t="inlineStr">
        <is>
          <t>ÖSTERGÖTLANDS LÄN</t>
        </is>
      </c>
      <c r="E71" t="inlineStr">
        <is>
          <t>NORRKÖPING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63966-2023 artfynd.xlsx", "A 63966-2023")</f>
        <v/>
      </c>
      <c r="T71">
        <f>HYPERLINK("https://klasma.github.io/Logging_0581/kartor/A 63966-2023 karta.png", "A 63966-2023")</f>
        <v/>
      </c>
      <c r="V71">
        <f>HYPERLINK("https://klasma.github.io/Logging_0581/klagomål/A 63966-2023 FSC-klagomål.docx", "A 63966-2023")</f>
        <v/>
      </c>
      <c r="W71">
        <f>HYPERLINK("https://klasma.github.io/Logging_0581/klagomålsmail/A 63966-2023 FSC-klagomål mail.docx", "A 63966-2023")</f>
        <v/>
      </c>
      <c r="X71">
        <f>HYPERLINK("https://klasma.github.io/Logging_0581/tillsyn/A 63966-2023 tillsynsbegäran.docx", "A 63966-2023")</f>
        <v/>
      </c>
      <c r="Y71">
        <f>HYPERLINK("https://klasma.github.io/Logging_0581/tillsynsmail/A 63966-2023 tillsynsbegäran mail.docx", "A 63966-2023")</f>
        <v/>
      </c>
    </row>
    <row r="72" ht="15" customHeight="1">
      <c r="A72" t="inlineStr">
        <is>
          <t>A 6116-2024</t>
        </is>
      </c>
      <c r="B72" s="1" t="n">
        <v>45337</v>
      </c>
      <c r="C72" s="1" t="n">
        <v>45356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6116-2024 artfynd.xlsx", "A 6116-2024")</f>
        <v/>
      </c>
      <c r="T72">
        <f>HYPERLINK("https://klasma.github.io/Logging_0581/kartor/A 6116-2024 karta.png", "A 6116-2024")</f>
        <v/>
      </c>
      <c r="V72">
        <f>HYPERLINK("https://klasma.github.io/Logging_0581/klagomål/A 6116-2024 FSC-klagomål.docx", "A 6116-2024")</f>
        <v/>
      </c>
      <c r="W72">
        <f>HYPERLINK("https://klasma.github.io/Logging_0581/klagomålsmail/A 6116-2024 FSC-klagomål mail.docx", "A 6116-2024")</f>
        <v/>
      </c>
      <c r="X72">
        <f>HYPERLINK("https://klasma.github.io/Logging_0581/tillsyn/A 6116-2024 tillsynsbegäran.docx", "A 6116-2024")</f>
        <v/>
      </c>
      <c r="Y72">
        <f>HYPERLINK("https://klasma.github.io/Logging_0581/tillsynsmail/A 6116-2024 tillsynsbegäran mail.docx", "A 6116-2024")</f>
        <v/>
      </c>
    </row>
    <row r="73" ht="15" customHeight="1">
      <c r="A73" t="inlineStr">
        <is>
          <t>A 7650-2024</t>
        </is>
      </c>
      <c r="B73" s="1" t="n">
        <v>45348</v>
      </c>
      <c r="C73" s="1" t="n">
        <v>45356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7733-2024</t>
        </is>
      </c>
      <c r="B74" s="1" t="n">
        <v>45349</v>
      </c>
      <c r="C74" s="1" t="n">
        <v>45356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7733-2024 artfynd.xlsx", "A 7733-2024")</f>
        <v/>
      </c>
      <c r="T74">
        <f>HYPERLINK("https://klasma.github.io/Logging_0581/kartor/A 7733-2024 karta.png", "A 7733-2024")</f>
        <v/>
      </c>
      <c r="V74">
        <f>HYPERLINK("https://klasma.github.io/Logging_0581/klagomål/A 7733-2024 FSC-klagomål.docx", "A 7733-2024")</f>
        <v/>
      </c>
      <c r="W74">
        <f>HYPERLINK("https://klasma.github.io/Logging_0581/klagomålsmail/A 7733-2024 FSC-klagomål mail.docx", "A 7733-2024")</f>
        <v/>
      </c>
      <c r="X74">
        <f>HYPERLINK("https://klasma.github.io/Logging_0581/tillsyn/A 7733-2024 tillsynsbegäran.docx", "A 7733-2024")</f>
        <v/>
      </c>
      <c r="Y74">
        <f>HYPERLINK("https://klasma.github.io/Logging_0581/tillsynsmail/A 7733-2024 tillsynsbegäran mail.docx", "A 7733-2024")</f>
        <v/>
      </c>
    </row>
    <row r="75" ht="15" customHeight="1">
      <c r="A75" t="inlineStr">
        <is>
          <t>A 43158-2018</t>
        </is>
      </c>
      <c r="B75" s="1" t="n">
        <v>43355</v>
      </c>
      <c r="C75" s="1" t="n">
        <v>45356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44136-2018</t>
        </is>
      </c>
      <c r="B76" s="1" t="n">
        <v>43360</v>
      </c>
      <c r="C76" s="1" t="n">
        <v>45356</v>
      </c>
      <c r="D76" t="inlineStr">
        <is>
          <t>ÖSTERGÖTLANDS LÄN</t>
        </is>
      </c>
      <c r="E76" t="inlineStr">
        <is>
          <t>NORRKÖPING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46888-2018</t>
        </is>
      </c>
      <c r="B77" s="1" t="n">
        <v>43368</v>
      </c>
      <c r="C77" s="1" t="n">
        <v>45356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47939-2018</t>
        </is>
      </c>
      <c r="B78" s="1" t="n">
        <v>43370</v>
      </c>
      <c r="C78" s="1" t="n">
        <v>45356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47982-2018</t>
        </is>
      </c>
      <c r="B79" s="1" t="n">
        <v>43370</v>
      </c>
      <c r="C79" s="1" t="n">
        <v>45356</v>
      </c>
      <c r="D79" t="inlineStr">
        <is>
          <t>ÖSTERGÖTLANDS LÄN</t>
        </is>
      </c>
      <c r="E79" t="inlineStr">
        <is>
          <t>NORRKÖPING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50366-2018</t>
        </is>
      </c>
      <c r="B80" s="1" t="n">
        <v>43378</v>
      </c>
      <c r="C80" s="1" t="n">
        <v>45356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57761-2018</t>
        </is>
      </c>
      <c r="B81" s="1" t="n">
        <v>43405</v>
      </c>
      <c r="C81" s="1" t="n">
        <v>45356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60753-2018</t>
        </is>
      </c>
      <c r="B82" s="1" t="n">
        <v>43409</v>
      </c>
      <c r="C82" s="1" t="n">
        <v>45356</v>
      </c>
      <c r="D82" t="inlineStr">
        <is>
          <t>ÖSTERGÖTLANDS LÄN</t>
        </is>
      </c>
      <c r="E82" t="inlineStr">
        <is>
          <t>NORRKÖPING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60754-2018</t>
        </is>
      </c>
      <c r="B83" s="1" t="n">
        <v>43409</v>
      </c>
      <c r="C83" s="1" t="n">
        <v>45356</v>
      </c>
      <c r="D83" t="inlineStr">
        <is>
          <t>ÖSTERGÖTLANDS LÄN</t>
        </is>
      </c>
      <c r="E83" t="inlineStr">
        <is>
          <t>NORRKÖPING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60752-2018</t>
        </is>
      </c>
      <c r="B84" s="1" t="n">
        <v>43409</v>
      </c>
      <c r="C84" s="1" t="n">
        <v>45356</v>
      </c>
      <c r="D84" t="inlineStr">
        <is>
          <t>ÖSTERGÖTLANDS LÄN</t>
        </is>
      </c>
      <c r="E84" t="inlineStr">
        <is>
          <t>NORRKÖPING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60900-2018</t>
        </is>
      </c>
      <c r="B85" s="1" t="n">
        <v>43411</v>
      </c>
      <c r="C85" s="1" t="n">
        <v>45356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59959-2018</t>
        </is>
      </c>
      <c r="B86" s="1" t="n">
        <v>43411</v>
      </c>
      <c r="C86" s="1" t="n">
        <v>45356</v>
      </c>
      <c r="D86" t="inlineStr">
        <is>
          <t>ÖSTERGÖTLANDS LÄN</t>
        </is>
      </c>
      <c r="E86" t="inlineStr">
        <is>
          <t>NORRKÖPING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59965-2018</t>
        </is>
      </c>
      <c r="B87" s="1" t="n">
        <v>43411</v>
      </c>
      <c r="C87" s="1" t="n">
        <v>45356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62754-2018</t>
        </is>
      </c>
      <c r="B88" s="1" t="n">
        <v>43413</v>
      </c>
      <c r="C88" s="1" t="n">
        <v>45356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62048-2018</t>
        </is>
      </c>
      <c r="B89" s="1" t="n">
        <v>43416</v>
      </c>
      <c r="C89" s="1" t="n">
        <v>45356</v>
      </c>
      <c r="D89" t="inlineStr">
        <is>
          <t>ÖSTERGÖTLANDS LÄN</t>
        </is>
      </c>
      <c r="E89" t="inlineStr">
        <is>
          <t>NORRKÖPING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62337-2018</t>
        </is>
      </c>
      <c r="B90" s="1" t="n">
        <v>43416</v>
      </c>
      <c r="C90" s="1" t="n">
        <v>45356</v>
      </c>
      <c r="D90" t="inlineStr">
        <is>
          <t>ÖSTERGÖTLANDS LÄN</t>
        </is>
      </c>
      <c r="E90" t="inlineStr">
        <is>
          <t>NORRKÖPING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63400-2018</t>
        </is>
      </c>
      <c r="B91" s="1" t="n">
        <v>43416</v>
      </c>
      <c r="C91" s="1" t="n">
        <v>45356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62334-2018</t>
        </is>
      </c>
      <c r="B92" s="1" t="n">
        <v>43416</v>
      </c>
      <c r="C92" s="1" t="n">
        <v>45356</v>
      </c>
      <c r="D92" t="inlineStr">
        <is>
          <t>ÖSTERGÖTLANDS LÄN</t>
        </is>
      </c>
      <c r="E92" t="inlineStr">
        <is>
          <t>NORRKÖPING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64251-2018</t>
        </is>
      </c>
      <c r="B93" s="1" t="n">
        <v>43419</v>
      </c>
      <c r="C93" s="1" t="n">
        <v>45356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59509-2018</t>
        </is>
      </c>
      <c r="B94" s="1" t="n">
        <v>43419</v>
      </c>
      <c r="C94" s="1" t="n">
        <v>45356</v>
      </c>
      <c r="D94" t="inlineStr">
        <is>
          <t>ÖSTERGÖTLANDS LÄN</t>
        </is>
      </c>
      <c r="E94" t="inlineStr">
        <is>
          <t>NORRKÖPING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64125-2018</t>
        </is>
      </c>
      <c r="B95" s="1" t="n">
        <v>43430</v>
      </c>
      <c r="C95" s="1" t="n">
        <v>45356</v>
      </c>
      <c r="D95" t="inlineStr">
        <is>
          <t>ÖSTERGÖTLANDS LÄN</t>
        </is>
      </c>
      <c r="E95" t="inlineStr">
        <is>
          <t>NORRKÖPING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63921-2018</t>
        </is>
      </c>
      <c r="B96" s="1" t="n">
        <v>43430</v>
      </c>
      <c r="C96" s="1" t="n">
        <v>45356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64863-2018</t>
        </is>
      </c>
      <c r="B97" s="1" t="n">
        <v>43431</v>
      </c>
      <c r="C97" s="1" t="n">
        <v>45356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64866-2018</t>
        </is>
      </c>
      <c r="B98" s="1" t="n">
        <v>43431</v>
      </c>
      <c r="C98" s="1" t="n">
        <v>45356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64824-2018</t>
        </is>
      </c>
      <c r="B99" s="1" t="n">
        <v>43431</v>
      </c>
      <c r="C99" s="1" t="n">
        <v>45356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68856-2018</t>
        </is>
      </c>
      <c r="B100" s="1" t="n">
        <v>43444</v>
      </c>
      <c r="C100" s="1" t="n">
        <v>45356</v>
      </c>
      <c r="D100" t="inlineStr">
        <is>
          <t>ÖSTERGÖTLANDS LÄN</t>
        </is>
      </c>
      <c r="E100" t="inlineStr">
        <is>
          <t>NORRKÖPING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70297-2018</t>
        </is>
      </c>
      <c r="B101" s="1" t="n">
        <v>43445</v>
      </c>
      <c r="C101" s="1" t="n">
        <v>45356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70152-2018</t>
        </is>
      </c>
      <c r="B102" s="1" t="n">
        <v>43445</v>
      </c>
      <c r="C102" s="1" t="n">
        <v>45356</v>
      </c>
      <c r="D102" t="inlineStr">
        <is>
          <t>ÖSTERGÖTLANDS LÄN</t>
        </is>
      </c>
      <c r="E102" t="inlineStr">
        <is>
          <t>NORRKÖPING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69837-2018</t>
        </is>
      </c>
      <c r="B103" s="1" t="n">
        <v>43447</v>
      </c>
      <c r="C103" s="1" t="n">
        <v>45356</v>
      </c>
      <c r="D103" t="inlineStr">
        <is>
          <t>ÖSTERGÖTLANDS LÄN</t>
        </is>
      </c>
      <c r="E103" t="inlineStr">
        <is>
          <t>NORRKÖPING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69951-2018</t>
        </is>
      </c>
      <c r="B104" s="1" t="n">
        <v>43447</v>
      </c>
      <c r="C104" s="1" t="n">
        <v>45356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1239-2019</t>
        </is>
      </c>
      <c r="B105" s="1" t="n">
        <v>43473</v>
      </c>
      <c r="C105" s="1" t="n">
        <v>45356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1237-2019</t>
        </is>
      </c>
      <c r="B106" s="1" t="n">
        <v>43473</v>
      </c>
      <c r="C106" s="1" t="n">
        <v>45356</v>
      </c>
      <c r="D106" t="inlineStr">
        <is>
          <t>ÖSTERGÖTLANDS LÄN</t>
        </is>
      </c>
      <c r="E106" t="inlineStr">
        <is>
          <t>NORRKÖPING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1837-2019</t>
        </is>
      </c>
      <c r="B107" s="1" t="n">
        <v>43474</v>
      </c>
      <c r="C107" s="1" t="n">
        <v>45356</v>
      </c>
      <c r="D107" t="inlineStr">
        <is>
          <t>ÖSTERGÖTLANDS LÄN</t>
        </is>
      </c>
      <c r="E107" t="inlineStr">
        <is>
          <t>NORRKÖPING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2224-2019</t>
        </is>
      </c>
      <c r="B108" s="1" t="n">
        <v>43475</v>
      </c>
      <c r="C108" s="1" t="n">
        <v>45356</v>
      </c>
      <c r="D108" t="inlineStr">
        <is>
          <t>ÖSTERGÖTLANDS LÄN</t>
        </is>
      </c>
      <c r="E108" t="inlineStr">
        <is>
          <t>NORRKÖPING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4271-2019</t>
        </is>
      </c>
      <c r="B109" s="1" t="n">
        <v>43476</v>
      </c>
      <c r="C109" s="1" t="n">
        <v>45356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5358-2019</t>
        </is>
      </c>
      <c r="B110" s="1" t="n">
        <v>43481</v>
      </c>
      <c r="C110" s="1" t="n">
        <v>45356</v>
      </c>
      <c r="D110" t="inlineStr">
        <is>
          <t>ÖSTERGÖTLANDS LÄN</t>
        </is>
      </c>
      <c r="E110" t="inlineStr">
        <is>
          <t>NORRKÖPING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5532-2019</t>
        </is>
      </c>
      <c r="B111" s="1" t="n">
        <v>43481</v>
      </c>
      <c r="C111" s="1" t="n">
        <v>45356</v>
      </c>
      <c r="D111" t="inlineStr">
        <is>
          <t>ÖSTERGÖTLANDS LÄN</t>
        </is>
      </c>
      <c r="E111" t="inlineStr">
        <is>
          <t>NORRKÖPING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5667-2019</t>
        </is>
      </c>
      <c r="B112" s="1" t="n">
        <v>43482</v>
      </c>
      <c r="C112" s="1" t="n">
        <v>45356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5995-2019</t>
        </is>
      </c>
      <c r="B113" s="1" t="n">
        <v>43483</v>
      </c>
      <c r="C113" s="1" t="n">
        <v>45356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7940-2019</t>
        </is>
      </c>
      <c r="B114" s="1" t="n">
        <v>43501</v>
      </c>
      <c r="C114" s="1" t="n">
        <v>45356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8331-2019</t>
        </is>
      </c>
      <c r="B115" s="1" t="n">
        <v>43502</v>
      </c>
      <c r="C115" s="1" t="n">
        <v>45356</v>
      </c>
      <c r="D115" t="inlineStr">
        <is>
          <t>ÖSTERGÖTLANDS LÄN</t>
        </is>
      </c>
      <c r="E115" t="inlineStr">
        <is>
          <t>NORRKÖPING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8459-2019</t>
        </is>
      </c>
      <c r="B116" s="1" t="n">
        <v>43502</v>
      </c>
      <c r="C116" s="1" t="n">
        <v>45356</v>
      </c>
      <c r="D116" t="inlineStr">
        <is>
          <t>ÖSTERGÖTLANDS LÄN</t>
        </is>
      </c>
      <c r="E116" t="inlineStr">
        <is>
          <t>NORRKÖPING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9833-2019</t>
        </is>
      </c>
      <c r="B117" s="1" t="n">
        <v>43509</v>
      </c>
      <c r="C117" s="1" t="n">
        <v>45356</v>
      </c>
      <c r="D117" t="inlineStr">
        <is>
          <t>ÖSTERGÖTLANDS LÄN</t>
        </is>
      </c>
      <c r="E117" t="inlineStr">
        <is>
          <t>NORRKÖPING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9839-2019</t>
        </is>
      </c>
      <c r="B118" s="1" t="n">
        <v>43509</v>
      </c>
      <c r="C118" s="1" t="n">
        <v>45356</v>
      </c>
      <c r="D118" t="inlineStr">
        <is>
          <t>ÖSTERGÖTLANDS LÄN</t>
        </is>
      </c>
      <c r="E118" t="inlineStr">
        <is>
          <t>NORRKÖPING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9817-2019</t>
        </is>
      </c>
      <c r="B119" s="1" t="n">
        <v>43509</v>
      </c>
      <c r="C119" s="1" t="n">
        <v>45356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11334-2019</t>
        </is>
      </c>
      <c r="B120" s="1" t="n">
        <v>43517</v>
      </c>
      <c r="C120" s="1" t="n">
        <v>45356</v>
      </c>
      <c r="D120" t="inlineStr">
        <is>
          <t>ÖSTERGÖTLANDS LÄN</t>
        </is>
      </c>
      <c r="E120" t="inlineStr">
        <is>
          <t>NORRKÖPING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12145-2019</t>
        </is>
      </c>
      <c r="B121" s="1" t="n">
        <v>43522</v>
      </c>
      <c r="C121" s="1" t="n">
        <v>45356</v>
      </c>
      <c r="D121" t="inlineStr">
        <is>
          <t>ÖSTERGÖTLANDS LÄN</t>
        </is>
      </c>
      <c r="E121" t="inlineStr">
        <is>
          <t>NORRKÖPING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12681-2019</t>
        </is>
      </c>
      <c r="B122" s="1" t="n">
        <v>43524</v>
      </c>
      <c r="C122" s="1" t="n">
        <v>45356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13035-2019</t>
        </is>
      </c>
      <c r="B123" s="1" t="n">
        <v>43528</v>
      </c>
      <c r="C123" s="1" t="n">
        <v>45356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13658-2019</t>
        </is>
      </c>
      <c r="B124" s="1" t="n">
        <v>43530</v>
      </c>
      <c r="C124" s="1" t="n">
        <v>45356</v>
      </c>
      <c r="D124" t="inlineStr">
        <is>
          <t>ÖSTERGÖTLANDS LÄN</t>
        </is>
      </c>
      <c r="E124" t="inlineStr">
        <is>
          <t>NORRKÖPING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15464-2019</t>
        </is>
      </c>
      <c r="B125" s="1" t="n">
        <v>43542</v>
      </c>
      <c r="C125" s="1" t="n">
        <v>45356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18315-2019</t>
        </is>
      </c>
      <c r="B126" s="1" t="n">
        <v>43558</v>
      </c>
      <c r="C126" s="1" t="n">
        <v>45356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45356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45356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45356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45356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45356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45356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45356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45356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45356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45356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45356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45356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45356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45356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45356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45356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45356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45356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45356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45356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45356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45356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45356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45356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45356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45356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45356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45356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45356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45356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45356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45356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45356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45356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45356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45356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45356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46755-2019</t>
        </is>
      </c>
      <c r="B164" s="1" t="n">
        <v>43720</v>
      </c>
      <c r="C164" s="1" t="n">
        <v>45356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45356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45356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45356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45356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45356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45356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45356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45356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45356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45356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45356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45356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45356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45356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45356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45356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45356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45356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45356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45356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45356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45356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45356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45356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45356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45356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45356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45356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45356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45356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45356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45356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45356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45356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45356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45356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45356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45356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45356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45356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45356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45356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45356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45356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45356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45356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45356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45356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45356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45356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45356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45356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45356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45356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45356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45356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45356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45356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45356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45356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45356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45356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45356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45356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45356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45356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45356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45356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45356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45356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45356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45356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45356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45356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45356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45356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45356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45356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45356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45356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45356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45356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45356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45356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45356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45356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45356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45356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45356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45356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45356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45356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45356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45356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45356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45356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45356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45356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45356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45356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45356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45356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45356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45356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45356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45356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45356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45356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45356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45356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45356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45356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45356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45356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45356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45356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45356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45356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45356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45356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45356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45356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45356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45356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45356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45356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45521-2020</t>
        </is>
      </c>
      <c r="B291" s="1" t="n">
        <v>44089</v>
      </c>
      <c r="C291" s="1" t="n">
        <v>45356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46571-2020</t>
        </is>
      </c>
      <c r="B292" s="1" t="n">
        <v>44095</v>
      </c>
      <c r="C292" s="1" t="n">
        <v>45356</v>
      </c>
      <c r="D292" t="inlineStr">
        <is>
          <t>ÖSTERGÖTLANDS LÄN</t>
        </is>
      </c>
      <c r="E292" t="inlineStr">
        <is>
          <t>NORRKÖPING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45356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46841-2020</t>
        </is>
      </c>
      <c r="B294" s="1" t="n">
        <v>44096</v>
      </c>
      <c r="C294" s="1" t="n">
        <v>45356</v>
      </c>
      <c r="D294" t="inlineStr">
        <is>
          <t>ÖSTERGÖTLANDS LÄN</t>
        </is>
      </c>
      <c r="E294" t="inlineStr">
        <is>
          <t>NORRKÖPING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47552-2020</t>
        </is>
      </c>
      <c r="B295" s="1" t="n">
        <v>44096</v>
      </c>
      <c r="C295" s="1" t="n">
        <v>45356</v>
      </c>
      <c r="D295" t="inlineStr">
        <is>
          <t>ÖSTERGÖTLANDS LÄN</t>
        </is>
      </c>
      <c r="E295" t="inlineStr">
        <is>
          <t>NORRKÖPING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47651-2020</t>
        </is>
      </c>
      <c r="B296" s="1" t="n">
        <v>44098</v>
      </c>
      <c r="C296" s="1" t="n">
        <v>45356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48655-2020</t>
        </is>
      </c>
      <c r="B297" s="1" t="n">
        <v>44103</v>
      </c>
      <c r="C297" s="1" t="n">
        <v>45356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49238-2020</t>
        </is>
      </c>
      <c r="B298" s="1" t="n">
        <v>44105</v>
      </c>
      <c r="C298" s="1" t="n">
        <v>45356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49867-2020</t>
        </is>
      </c>
      <c r="B299" s="1" t="n">
        <v>44107</v>
      </c>
      <c r="C299" s="1" t="n">
        <v>45356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53728-2020</t>
        </is>
      </c>
      <c r="B300" s="1" t="n">
        <v>44124</v>
      </c>
      <c r="C300" s="1" t="n">
        <v>45356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53724-2020</t>
        </is>
      </c>
      <c r="B301" s="1" t="n">
        <v>44124</v>
      </c>
      <c r="C301" s="1" t="n">
        <v>45356</v>
      </c>
      <c r="D301" t="inlineStr">
        <is>
          <t>ÖSTERGÖTLANDS LÄN</t>
        </is>
      </c>
      <c r="E301" t="inlineStr">
        <is>
          <t>NORRKÖPING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54973-2020</t>
        </is>
      </c>
      <c r="B302" s="1" t="n">
        <v>44130</v>
      </c>
      <c r="C302" s="1" t="n">
        <v>45356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55467-2020</t>
        </is>
      </c>
      <c r="B303" s="1" t="n">
        <v>44131</v>
      </c>
      <c r="C303" s="1" t="n">
        <v>45356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56313-2020</t>
        </is>
      </c>
      <c r="B304" s="1" t="n">
        <v>44134</v>
      </c>
      <c r="C304" s="1" t="n">
        <v>45356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56530-2020</t>
        </is>
      </c>
      <c r="B305" s="1" t="n">
        <v>44137</v>
      </c>
      <c r="C305" s="1" t="n">
        <v>45356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45356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56528-2020</t>
        </is>
      </c>
      <c r="B307" s="1" t="n">
        <v>44137</v>
      </c>
      <c r="C307" s="1" t="n">
        <v>45356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56511-2020</t>
        </is>
      </c>
      <c r="B308" s="1" t="n">
        <v>44137</v>
      </c>
      <c r="C308" s="1" t="n">
        <v>45356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57965-2020</t>
        </is>
      </c>
      <c r="B309" s="1" t="n">
        <v>44143</v>
      </c>
      <c r="C309" s="1" t="n">
        <v>45356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58829-2020</t>
        </is>
      </c>
      <c r="B310" s="1" t="n">
        <v>44146</v>
      </c>
      <c r="C310" s="1" t="n">
        <v>45356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58963-2020</t>
        </is>
      </c>
      <c r="B311" s="1" t="n">
        <v>44146</v>
      </c>
      <c r="C311" s="1" t="n">
        <v>45356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59023-2020</t>
        </is>
      </c>
      <c r="B312" s="1" t="n">
        <v>44147</v>
      </c>
      <c r="C312" s="1" t="n">
        <v>45356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59847-2020</t>
        </is>
      </c>
      <c r="B313" s="1" t="n">
        <v>44151</v>
      </c>
      <c r="C313" s="1" t="n">
        <v>45356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59899-2020</t>
        </is>
      </c>
      <c r="B314" s="1" t="n">
        <v>44151</v>
      </c>
      <c r="C314" s="1" t="n">
        <v>45356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60210-2020</t>
        </is>
      </c>
      <c r="B315" s="1" t="n">
        <v>44152</v>
      </c>
      <c r="C315" s="1" t="n">
        <v>45356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61707-2020</t>
        </is>
      </c>
      <c r="B316" s="1" t="n">
        <v>44158</v>
      </c>
      <c r="C316" s="1" t="n">
        <v>45356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61785-2020</t>
        </is>
      </c>
      <c r="B317" s="1" t="n">
        <v>44158</v>
      </c>
      <c r="C317" s="1" t="n">
        <v>45356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61860-2020</t>
        </is>
      </c>
      <c r="B318" s="1" t="n">
        <v>44159</v>
      </c>
      <c r="C318" s="1" t="n">
        <v>45356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61869-2020</t>
        </is>
      </c>
      <c r="B319" s="1" t="n">
        <v>44159</v>
      </c>
      <c r="C319" s="1" t="n">
        <v>45356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62800-2020</t>
        </is>
      </c>
      <c r="B320" s="1" t="n">
        <v>44161</v>
      </c>
      <c r="C320" s="1" t="n">
        <v>45356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63102-2020</t>
        </is>
      </c>
      <c r="B321" s="1" t="n">
        <v>44162</v>
      </c>
      <c r="C321" s="1" t="n">
        <v>45356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63208-2020</t>
        </is>
      </c>
      <c r="B322" s="1" t="n">
        <v>44163</v>
      </c>
      <c r="C322" s="1" t="n">
        <v>45356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63371-2020</t>
        </is>
      </c>
      <c r="B323" s="1" t="n">
        <v>44165</v>
      </c>
      <c r="C323" s="1" t="n">
        <v>45356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64573-2020</t>
        </is>
      </c>
      <c r="B324" s="1" t="n">
        <v>44166</v>
      </c>
      <c r="C324" s="1" t="n">
        <v>45356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64366-2020</t>
        </is>
      </c>
      <c r="B325" s="1" t="n">
        <v>44168</v>
      </c>
      <c r="C325" s="1" t="n">
        <v>45356</v>
      </c>
      <c r="D325" t="inlineStr">
        <is>
          <t>ÖSTERGÖTLANDS LÄN</t>
        </is>
      </c>
      <c r="E325" t="inlineStr">
        <is>
          <t>NORRKÖPING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64561-2020</t>
        </is>
      </c>
      <c r="B326" s="1" t="n">
        <v>44169</v>
      </c>
      <c r="C326" s="1" t="n">
        <v>45356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64576-2020</t>
        </is>
      </c>
      <c r="B327" s="1" t="n">
        <v>44169</v>
      </c>
      <c r="C327" s="1" t="n">
        <v>45356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64549-2020</t>
        </is>
      </c>
      <c r="B328" s="1" t="n">
        <v>44169</v>
      </c>
      <c r="C328" s="1" t="n">
        <v>45356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64788-2020</t>
        </is>
      </c>
      <c r="B329" s="1" t="n">
        <v>44169</v>
      </c>
      <c r="C329" s="1" t="n">
        <v>45356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66381-2020</t>
        </is>
      </c>
      <c r="B330" s="1" t="n">
        <v>44176</v>
      </c>
      <c r="C330" s="1" t="n">
        <v>45356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66403-2020</t>
        </is>
      </c>
      <c r="B331" s="1" t="n">
        <v>44176</v>
      </c>
      <c r="C331" s="1" t="n">
        <v>45356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66476-2020</t>
        </is>
      </c>
      <c r="B332" s="1" t="n">
        <v>44177</v>
      </c>
      <c r="C332" s="1" t="n">
        <v>45356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66475-2020</t>
        </is>
      </c>
      <c r="B333" s="1" t="n">
        <v>44177</v>
      </c>
      <c r="C333" s="1" t="n">
        <v>45356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66478-2020</t>
        </is>
      </c>
      <c r="B334" s="1" t="n">
        <v>44177</v>
      </c>
      <c r="C334" s="1" t="n">
        <v>45356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67358-2020</t>
        </is>
      </c>
      <c r="B335" s="1" t="n">
        <v>44181</v>
      </c>
      <c r="C335" s="1" t="n">
        <v>45356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67557-2020</t>
        </is>
      </c>
      <c r="B336" s="1" t="n">
        <v>44181</v>
      </c>
      <c r="C336" s="1" t="n">
        <v>45356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69227-2020</t>
        </is>
      </c>
      <c r="B337" s="1" t="n">
        <v>44192</v>
      </c>
      <c r="C337" s="1" t="n">
        <v>45356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1248-2021</t>
        </is>
      </c>
      <c r="B338" s="1" t="n">
        <v>44208</v>
      </c>
      <c r="C338" s="1" t="n">
        <v>45356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1217-2021</t>
        </is>
      </c>
      <c r="B339" s="1" t="n">
        <v>44208</v>
      </c>
      <c r="C339" s="1" t="n">
        <v>45356</v>
      </c>
      <c r="D339" t="inlineStr">
        <is>
          <t>ÖSTERGÖTLANDS LÄN</t>
        </is>
      </c>
      <c r="E339" t="inlineStr">
        <is>
          <t>NORRKÖPING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1660-2021</t>
        </is>
      </c>
      <c r="B340" s="1" t="n">
        <v>44209</v>
      </c>
      <c r="C340" s="1" t="n">
        <v>45356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2265-2021</t>
        </is>
      </c>
      <c r="B341" s="1" t="n">
        <v>44211</v>
      </c>
      <c r="C341" s="1" t="n">
        <v>45356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2266-2021</t>
        </is>
      </c>
      <c r="B342" s="1" t="n">
        <v>44211</v>
      </c>
      <c r="C342" s="1" t="n">
        <v>45356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2261-2021</t>
        </is>
      </c>
      <c r="B343" s="1" t="n">
        <v>44211</v>
      </c>
      <c r="C343" s="1" t="n">
        <v>45356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2267-2021</t>
        </is>
      </c>
      <c r="B344" s="1" t="n">
        <v>44211</v>
      </c>
      <c r="C344" s="1" t="n">
        <v>45356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2264-2021</t>
        </is>
      </c>
      <c r="B345" s="1" t="n">
        <v>44211</v>
      </c>
      <c r="C345" s="1" t="n">
        <v>45356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2268-2021</t>
        </is>
      </c>
      <c r="B346" s="1" t="n">
        <v>44211</v>
      </c>
      <c r="C346" s="1" t="n">
        <v>45356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2300-2021</t>
        </is>
      </c>
      <c r="B347" s="1" t="n">
        <v>44212</v>
      </c>
      <c r="C347" s="1" t="n">
        <v>45356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2582-2021</t>
        </is>
      </c>
      <c r="B348" s="1" t="n">
        <v>44214</v>
      </c>
      <c r="C348" s="1" t="n">
        <v>45356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2592-2021</t>
        </is>
      </c>
      <c r="B349" s="1" t="n">
        <v>44214</v>
      </c>
      <c r="C349" s="1" t="n">
        <v>45356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2581-2021</t>
        </is>
      </c>
      <c r="B350" s="1" t="n">
        <v>44214</v>
      </c>
      <c r="C350" s="1" t="n">
        <v>45356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2638-2021</t>
        </is>
      </c>
      <c r="B351" s="1" t="n">
        <v>44215</v>
      </c>
      <c r="C351" s="1" t="n">
        <v>45356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3040-2021</t>
        </is>
      </c>
      <c r="B352" s="1" t="n">
        <v>44216</v>
      </c>
      <c r="C352" s="1" t="n">
        <v>45356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3153-2021</t>
        </is>
      </c>
      <c r="B353" s="1" t="n">
        <v>44217</v>
      </c>
      <c r="C353" s="1" t="n">
        <v>45356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3484-2021</t>
        </is>
      </c>
      <c r="B354" s="1" t="n">
        <v>44218</v>
      </c>
      <c r="C354" s="1" t="n">
        <v>45356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3558-2021</t>
        </is>
      </c>
      <c r="B355" s="1" t="n">
        <v>44218</v>
      </c>
      <c r="C355" s="1" t="n">
        <v>45356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3556-2021</t>
        </is>
      </c>
      <c r="B356" s="1" t="n">
        <v>44218</v>
      </c>
      <c r="C356" s="1" t="n">
        <v>45356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3577-2021</t>
        </is>
      </c>
      <c r="B357" s="1" t="n">
        <v>44219</v>
      </c>
      <c r="C357" s="1" t="n">
        <v>45356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3578-2021</t>
        </is>
      </c>
      <c r="B358" s="1" t="n">
        <v>44219</v>
      </c>
      <c r="C358" s="1" t="n">
        <v>45356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4210-2021</t>
        </is>
      </c>
      <c r="B359" s="1" t="n">
        <v>44221</v>
      </c>
      <c r="C359" s="1" t="n">
        <v>45356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4271-2021</t>
        </is>
      </c>
      <c r="B360" s="1" t="n">
        <v>44221</v>
      </c>
      <c r="C360" s="1" t="n">
        <v>45356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45356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45356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6833-2021</t>
        </is>
      </c>
      <c r="B363" s="1" t="n">
        <v>44237</v>
      </c>
      <c r="C363" s="1" t="n">
        <v>45356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6844-2021</t>
        </is>
      </c>
      <c r="B364" s="1" t="n">
        <v>44237</v>
      </c>
      <c r="C364" s="1" t="n">
        <v>45356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7918-2021</t>
        </is>
      </c>
      <c r="B365" s="1" t="n">
        <v>44243</v>
      </c>
      <c r="C365" s="1" t="n">
        <v>45356</v>
      </c>
      <c r="D365" t="inlineStr">
        <is>
          <t>ÖSTERGÖTLANDS LÄN</t>
        </is>
      </c>
      <c r="E365" t="inlineStr">
        <is>
          <t>NORRKÖPING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9278-2021</t>
        </is>
      </c>
      <c r="B366" s="1" t="n">
        <v>44249</v>
      </c>
      <c r="C366" s="1" t="n">
        <v>45356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9281-2021</t>
        </is>
      </c>
      <c r="B367" s="1" t="n">
        <v>44249</v>
      </c>
      <c r="C367" s="1" t="n">
        <v>45356</v>
      </c>
      <c r="D367" t="inlineStr">
        <is>
          <t>ÖSTERGÖTLANDS LÄN</t>
        </is>
      </c>
      <c r="E367" t="inlineStr">
        <is>
          <t>NORRKÖPING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9764-2021</t>
        </is>
      </c>
      <c r="B368" s="1" t="n">
        <v>44252</v>
      </c>
      <c r="C368" s="1" t="n">
        <v>45356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10597-2021</t>
        </is>
      </c>
      <c r="B369" s="1" t="n">
        <v>44258</v>
      </c>
      <c r="C369" s="1" t="n">
        <v>45356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12685-2021</t>
        </is>
      </c>
      <c r="B370" s="1" t="n">
        <v>44270</v>
      </c>
      <c r="C370" s="1" t="n">
        <v>45356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13021-2021</t>
        </is>
      </c>
      <c r="B371" s="1" t="n">
        <v>44271</v>
      </c>
      <c r="C371" s="1" t="n">
        <v>45356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13022-2021</t>
        </is>
      </c>
      <c r="B372" s="1" t="n">
        <v>44271</v>
      </c>
      <c r="C372" s="1" t="n">
        <v>45356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13163-2021</t>
        </is>
      </c>
      <c r="B373" s="1" t="n">
        <v>44272</v>
      </c>
      <c r="C373" s="1" t="n">
        <v>45356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13262-2021</t>
        </is>
      </c>
      <c r="B374" s="1" t="n">
        <v>44272</v>
      </c>
      <c r="C374" s="1" t="n">
        <v>45356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13275-2021</t>
        </is>
      </c>
      <c r="B375" s="1" t="n">
        <v>44272</v>
      </c>
      <c r="C375" s="1" t="n">
        <v>45356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14480-2021</t>
        </is>
      </c>
      <c r="B376" s="1" t="n">
        <v>44279</v>
      </c>
      <c r="C376" s="1" t="n">
        <v>45356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14484-2021</t>
        </is>
      </c>
      <c r="B377" s="1" t="n">
        <v>44279</v>
      </c>
      <c r="C377" s="1" t="n">
        <v>45356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14483-2021</t>
        </is>
      </c>
      <c r="B378" s="1" t="n">
        <v>44279</v>
      </c>
      <c r="C378" s="1" t="n">
        <v>45356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15870-2021</t>
        </is>
      </c>
      <c r="B379" s="1" t="n">
        <v>44286</v>
      </c>
      <c r="C379" s="1" t="n">
        <v>45356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15866-2021</t>
        </is>
      </c>
      <c r="B380" s="1" t="n">
        <v>44286</v>
      </c>
      <c r="C380" s="1" t="n">
        <v>45356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15872-2021</t>
        </is>
      </c>
      <c r="B381" s="1" t="n">
        <v>44286</v>
      </c>
      <c r="C381" s="1" t="n">
        <v>45356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16626-2021</t>
        </is>
      </c>
      <c r="B382" s="1" t="n">
        <v>44294</v>
      </c>
      <c r="C382" s="1" t="n">
        <v>45356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16737-2021</t>
        </is>
      </c>
      <c r="B383" s="1" t="n">
        <v>44294</v>
      </c>
      <c r="C383" s="1" t="n">
        <v>45356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17233-2021</t>
        </is>
      </c>
      <c r="B384" s="1" t="n">
        <v>44298</v>
      </c>
      <c r="C384" s="1" t="n">
        <v>45356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17636-2021</t>
        </is>
      </c>
      <c r="B385" s="1" t="n">
        <v>44300</v>
      </c>
      <c r="C385" s="1" t="n">
        <v>45356</v>
      </c>
      <c r="D385" t="inlineStr">
        <is>
          <t>ÖSTERGÖTLANDS LÄN</t>
        </is>
      </c>
      <c r="E385" t="inlineStr">
        <is>
          <t>NORRKÖPING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17633-2021</t>
        </is>
      </c>
      <c r="B386" s="1" t="n">
        <v>44300</v>
      </c>
      <c r="C386" s="1" t="n">
        <v>45356</v>
      </c>
      <c r="D386" t="inlineStr">
        <is>
          <t>ÖSTERGÖTLANDS LÄN</t>
        </is>
      </c>
      <c r="E386" t="inlineStr">
        <is>
          <t>NORRKÖPING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17890-2021</t>
        </is>
      </c>
      <c r="B387" s="1" t="n">
        <v>44301</v>
      </c>
      <c r="C387" s="1" t="n">
        <v>45356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17523-2021</t>
        </is>
      </c>
      <c r="B388" s="1" t="n">
        <v>44301</v>
      </c>
      <c r="C388" s="1" t="n">
        <v>45356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17901-2021</t>
        </is>
      </c>
      <c r="B389" s="1" t="n">
        <v>44301</v>
      </c>
      <c r="C389" s="1" t="n">
        <v>45356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18177-2021</t>
        </is>
      </c>
      <c r="B390" s="1" t="n">
        <v>44302</v>
      </c>
      <c r="C390" s="1" t="n">
        <v>45356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18009-2021</t>
        </is>
      </c>
      <c r="B391" s="1" t="n">
        <v>44302</v>
      </c>
      <c r="C391" s="1" t="n">
        <v>45356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18549-2021</t>
        </is>
      </c>
      <c r="B392" s="1" t="n">
        <v>44306</v>
      </c>
      <c r="C392" s="1" t="n">
        <v>45356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18765-2021</t>
        </is>
      </c>
      <c r="B393" s="1" t="n">
        <v>44307</v>
      </c>
      <c r="C393" s="1" t="n">
        <v>45356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19119-2021</t>
        </is>
      </c>
      <c r="B394" s="1" t="n">
        <v>44308</v>
      </c>
      <c r="C394" s="1" t="n">
        <v>45356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19582-2021</t>
        </is>
      </c>
      <c r="B395" s="1" t="n">
        <v>44312</v>
      </c>
      <c r="C395" s="1" t="n">
        <v>45356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19631-2021</t>
        </is>
      </c>
      <c r="B396" s="1" t="n">
        <v>44312</v>
      </c>
      <c r="C396" s="1" t="n">
        <v>45356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19610-2021</t>
        </is>
      </c>
      <c r="B397" s="1" t="n">
        <v>44312</v>
      </c>
      <c r="C397" s="1" t="n">
        <v>45356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19785-2021</t>
        </is>
      </c>
      <c r="B398" s="1" t="n">
        <v>44313</v>
      </c>
      <c r="C398" s="1" t="n">
        <v>45356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19827-2021</t>
        </is>
      </c>
      <c r="B399" s="1" t="n">
        <v>44313</v>
      </c>
      <c r="C399" s="1" t="n">
        <v>45356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19838-2021</t>
        </is>
      </c>
      <c r="B400" s="1" t="n">
        <v>44313</v>
      </c>
      <c r="C400" s="1" t="n">
        <v>45356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21575-2021</t>
        </is>
      </c>
      <c r="B401" s="1" t="n">
        <v>44321</v>
      </c>
      <c r="C401" s="1" t="n">
        <v>45356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21577-2021</t>
        </is>
      </c>
      <c r="B402" s="1" t="n">
        <v>44321</v>
      </c>
      <c r="C402" s="1" t="n">
        <v>45356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45356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22244-2021</t>
        </is>
      </c>
      <c r="B404" s="1" t="n">
        <v>44326</v>
      </c>
      <c r="C404" s="1" t="n">
        <v>45356</v>
      </c>
      <c r="D404" t="inlineStr">
        <is>
          <t>ÖSTERGÖTLANDS LÄN</t>
        </is>
      </c>
      <c r="E404" t="inlineStr">
        <is>
          <t>NORRKÖPING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22272-2021</t>
        </is>
      </c>
      <c r="B405" s="1" t="n">
        <v>44326</v>
      </c>
      <c r="C405" s="1" t="n">
        <v>45356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22492-2021</t>
        </is>
      </c>
      <c r="B406" s="1" t="n">
        <v>44326</v>
      </c>
      <c r="C406" s="1" t="n">
        <v>45356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22491-2021</t>
        </is>
      </c>
      <c r="B407" s="1" t="n">
        <v>44326</v>
      </c>
      <c r="C407" s="1" t="n">
        <v>45356</v>
      </c>
      <c r="D407" t="inlineStr">
        <is>
          <t>ÖSTERGÖTLANDS LÄN</t>
        </is>
      </c>
      <c r="E407" t="inlineStr">
        <is>
          <t>NORRKÖPING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22489-2021</t>
        </is>
      </c>
      <c r="B408" s="1" t="n">
        <v>44326</v>
      </c>
      <c r="C408" s="1" t="n">
        <v>45356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22493-2021</t>
        </is>
      </c>
      <c r="B409" s="1" t="n">
        <v>44326</v>
      </c>
      <c r="C409" s="1" t="n">
        <v>45356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22886-2021</t>
        </is>
      </c>
      <c r="B410" s="1" t="n">
        <v>44328</v>
      </c>
      <c r="C410" s="1" t="n">
        <v>45356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23438-2021</t>
        </is>
      </c>
      <c r="B411" s="1" t="n">
        <v>44333</v>
      </c>
      <c r="C411" s="1" t="n">
        <v>45356</v>
      </c>
      <c r="D411" t="inlineStr">
        <is>
          <t>ÖSTERGÖTLANDS LÄN</t>
        </is>
      </c>
      <c r="E411" t="inlineStr">
        <is>
          <t>NORRKÖPING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23569-2021</t>
        </is>
      </c>
      <c r="B412" s="1" t="n">
        <v>44333</v>
      </c>
      <c r="C412" s="1" t="n">
        <v>45356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23886-2021</t>
        </is>
      </c>
      <c r="B413" s="1" t="n">
        <v>44335</v>
      </c>
      <c r="C413" s="1" t="n">
        <v>45356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24766-2021</t>
        </is>
      </c>
      <c r="B414" s="1" t="n">
        <v>44340</v>
      </c>
      <c r="C414" s="1" t="n">
        <v>45356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24839-2021</t>
        </is>
      </c>
      <c r="B415" s="1" t="n">
        <v>44340</v>
      </c>
      <c r="C415" s="1" t="n">
        <v>45356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25951-2021</t>
        </is>
      </c>
      <c r="B416" s="1" t="n">
        <v>44344</v>
      </c>
      <c r="C416" s="1" t="n">
        <v>45356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26464-2021</t>
        </is>
      </c>
      <c r="B417" s="1" t="n">
        <v>44348</v>
      </c>
      <c r="C417" s="1" t="n">
        <v>45356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26497-2021</t>
        </is>
      </c>
      <c r="B418" s="1" t="n">
        <v>44348</v>
      </c>
      <c r="C418" s="1" t="n">
        <v>45356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27694-2021</t>
        </is>
      </c>
      <c r="B419" s="1" t="n">
        <v>44354</v>
      </c>
      <c r="C419" s="1" t="n">
        <v>45356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27708-2021</t>
        </is>
      </c>
      <c r="B420" s="1" t="n">
        <v>44354</v>
      </c>
      <c r="C420" s="1" t="n">
        <v>45356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27785-2021</t>
        </is>
      </c>
      <c r="B421" s="1" t="n">
        <v>44354</v>
      </c>
      <c r="C421" s="1" t="n">
        <v>45356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27798-2021</t>
        </is>
      </c>
      <c r="B422" s="1" t="n">
        <v>44354</v>
      </c>
      <c r="C422" s="1" t="n">
        <v>45356</v>
      </c>
      <c r="D422" t="inlineStr">
        <is>
          <t>ÖSTERGÖTLANDS LÄN</t>
        </is>
      </c>
      <c r="E422" t="inlineStr">
        <is>
          <t>NORRKÖPING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29079-2021</t>
        </is>
      </c>
      <c r="B423" s="1" t="n">
        <v>44358</v>
      </c>
      <c r="C423" s="1" t="n">
        <v>45356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29128-2021</t>
        </is>
      </c>
      <c r="B424" s="1" t="n">
        <v>44358</v>
      </c>
      <c r="C424" s="1" t="n">
        <v>45356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29485-2021</t>
        </is>
      </c>
      <c r="B425" s="1" t="n">
        <v>44361</v>
      </c>
      <c r="C425" s="1" t="n">
        <v>45356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29489-2021</t>
        </is>
      </c>
      <c r="B426" s="1" t="n">
        <v>44361</v>
      </c>
      <c r="C426" s="1" t="n">
        <v>45356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29871-2021</t>
        </is>
      </c>
      <c r="B427" s="1" t="n">
        <v>44362</v>
      </c>
      <c r="C427" s="1" t="n">
        <v>45356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29846-2021</t>
        </is>
      </c>
      <c r="B428" s="1" t="n">
        <v>44362</v>
      </c>
      <c r="C428" s="1" t="n">
        <v>45356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30236-2021</t>
        </is>
      </c>
      <c r="B429" s="1" t="n">
        <v>44363</v>
      </c>
      <c r="C429" s="1" t="n">
        <v>45356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30232-2021</t>
        </is>
      </c>
      <c r="B430" s="1" t="n">
        <v>44363</v>
      </c>
      <c r="C430" s="1" t="n">
        <v>45356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30564-2021</t>
        </is>
      </c>
      <c r="B431" s="1" t="n">
        <v>44364</v>
      </c>
      <c r="C431" s="1" t="n">
        <v>45356</v>
      </c>
      <c r="D431" t="inlineStr">
        <is>
          <t>ÖSTERGÖTLANDS LÄN</t>
        </is>
      </c>
      <c r="E431" t="inlineStr">
        <is>
          <t>NORRKÖPING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31253-2021</t>
        </is>
      </c>
      <c r="B432" s="1" t="n">
        <v>44368</v>
      </c>
      <c r="C432" s="1" t="n">
        <v>45356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31303-2021</t>
        </is>
      </c>
      <c r="B433" s="1" t="n">
        <v>44368</v>
      </c>
      <c r="C433" s="1" t="n">
        <v>45356</v>
      </c>
      <c r="D433" t="inlineStr">
        <is>
          <t>ÖSTERGÖTLANDS LÄN</t>
        </is>
      </c>
      <c r="E433" t="inlineStr">
        <is>
          <t>NORRKÖPING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31269-2021</t>
        </is>
      </c>
      <c r="B434" s="1" t="n">
        <v>44368</v>
      </c>
      <c r="C434" s="1" t="n">
        <v>45356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32192-2021</t>
        </is>
      </c>
      <c r="B435" s="1" t="n">
        <v>44371</v>
      </c>
      <c r="C435" s="1" t="n">
        <v>45356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32177-2021</t>
        </is>
      </c>
      <c r="B436" s="1" t="n">
        <v>44371</v>
      </c>
      <c r="C436" s="1" t="n">
        <v>45356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32190-2021</t>
        </is>
      </c>
      <c r="B437" s="1" t="n">
        <v>44371</v>
      </c>
      <c r="C437" s="1" t="n">
        <v>45356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35293-2021</t>
        </is>
      </c>
      <c r="B438" s="1" t="n">
        <v>44384</v>
      </c>
      <c r="C438" s="1" t="n">
        <v>45356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35512-2021</t>
        </is>
      </c>
      <c r="B439" s="1" t="n">
        <v>44385</v>
      </c>
      <c r="C439" s="1" t="n">
        <v>45356</v>
      </c>
      <c r="D439" t="inlineStr">
        <is>
          <t>ÖSTERGÖTLANDS LÄN</t>
        </is>
      </c>
      <c r="E439" t="inlineStr">
        <is>
          <t>NORRKÖPING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36281-2021</t>
        </is>
      </c>
      <c r="B440" s="1" t="n">
        <v>44390</v>
      </c>
      <c r="C440" s="1" t="n">
        <v>45356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36283-2021</t>
        </is>
      </c>
      <c r="B441" s="1" t="n">
        <v>44390</v>
      </c>
      <c r="C441" s="1" t="n">
        <v>45356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36898-2021</t>
        </is>
      </c>
      <c r="B442" s="1" t="n">
        <v>44393</v>
      </c>
      <c r="C442" s="1" t="n">
        <v>45356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39136-2021</t>
        </is>
      </c>
      <c r="B443" s="1" t="n">
        <v>44412</v>
      </c>
      <c r="C443" s="1" t="n">
        <v>45356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39401-2021</t>
        </is>
      </c>
      <c r="B444" s="1" t="n">
        <v>44414</v>
      </c>
      <c r="C444" s="1" t="n">
        <v>45356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42390-2021</t>
        </is>
      </c>
      <c r="B445" s="1" t="n">
        <v>44427</v>
      </c>
      <c r="C445" s="1" t="n">
        <v>45356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43270-2021</t>
        </is>
      </c>
      <c r="B446" s="1" t="n">
        <v>44432</v>
      </c>
      <c r="C446" s="1" t="n">
        <v>45356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43459-2021</t>
        </is>
      </c>
      <c r="B447" s="1" t="n">
        <v>44432</v>
      </c>
      <c r="C447" s="1" t="n">
        <v>45356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43559-2021</t>
        </is>
      </c>
      <c r="B448" s="1" t="n">
        <v>44433</v>
      </c>
      <c r="C448" s="1" t="n">
        <v>45356</v>
      </c>
      <c r="D448" t="inlineStr">
        <is>
          <t>ÖSTERGÖTLANDS LÄN</t>
        </is>
      </c>
      <c r="E448" t="inlineStr">
        <is>
          <t>NORRKÖPING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43502-2021</t>
        </is>
      </c>
      <c r="B449" s="1" t="n">
        <v>44433</v>
      </c>
      <c r="C449" s="1" t="n">
        <v>45356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43773-2021</t>
        </is>
      </c>
      <c r="B450" s="1" t="n">
        <v>44433</v>
      </c>
      <c r="C450" s="1" t="n">
        <v>45356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44937-2021</t>
        </is>
      </c>
      <c r="B451" s="1" t="n">
        <v>44438</v>
      </c>
      <c r="C451" s="1" t="n">
        <v>45356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44936-2021</t>
        </is>
      </c>
      <c r="B452" s="1" t="n">
        <v>44438</v>
      </c>
      <c r="C452" s="1" t="n">
        <v>45356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45362-2021</t>
        </is>
      </c>
      <c r="B453" s="1" t="n">
        <v>44440</v>
      </c>
      <c r="C453" s="1" t="n">
        <v>45356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45381-2021</t>
        </is>
      </c>
      <c r="B454" s="1" t="n">
        <v>44440</v>
      </c>
      <c r="C454" s="1" t="n">
        <v>45356</v>
      </c>
      <c r="D454" t="inlineStr">
        <is>
          <t>ÖSTERGÖTLANDS LÄN</t>
        </is>
      </c>
      <c r="E454" t="inlineStr">
        <is>
          <t>NORRKÖPING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45956-2021</t>
        </is>
      </c>
      <c r="B455" s="1" t="n">
        <v>44441</v>
      </c>
      <c r="C455" s="1" t="n">
        <v>45356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45947-2021</t>
        </is>
      </c>
      <c r="B456" s="1" t="n">
        <v>44441</v>
      </c>
      <c r="C456" s="1" t="n">
        <v>45356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46332-2021</t>
        </is>
      </c>
      <c r="B457" s="1" t="n">
        <v>44442</v>
      </c>
      <c r="C457" s="1" t="n">
        <v>45356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46580-2021</t>
        </is>
      </c>
      <c r="B458" s="1" t="n">
        <v>44445</v>
      </c>
      <c r="C458" s="1" t="n">
        <v>45356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47125-2021</t>
        </is>
      </c>
      <c r="B459" s="1" t="n">
        <v>44446</v>
      </c>
      <c r="C459" s="1" t="n">
        <v>45356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47257-2021</t>
        </is>
      </c>
      <c r="B460" s="1" t="n">
        <v>44447</v>
      </c>
      <c r="C460" s="1" t="n">
        <v>45356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47252-2021</t>
        </is>
      </c>
      <c r="B461" s="1" t="n">
        <v>44447</v>
      </c>
      <c r="C461" s="1" t="n">
        <v>45356</v>
      </c>
      <c r="D461" t="inlineStr">
        <is>
          <t>ÖSTERGÖTLANDS LÄN</t>
        </is>
      </c>
      <c r="E461" t="inlineStr">
        <is>
          <t>NORRKÖPING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47895-2021</t>
        </is>
      </c>
      <c r="B462" s="1" t="n">
        <v>44448</v>
      </c>
      <c r="C462" s="1" t="n">
        <v>45356</v>
      </c>
      <c r="D462" t="inlineStr">
        <is>
          <t>ÖSTERGÖTLANDS LÄN</t>
        </is>
      </c>
      <c r="E462" t="inlineStr">
        <is>
          <t>NORRKÖPING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47899-2021</t>
        </is>
      </c>
      <c r="B463" s="1" t="n">
        <v>44448</v>
      </c>
      <c r="C463" s="1" t="n">
        <v>45356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48230-2021</t>
        </is>
      </c>
      <c r="B464" s="1" t="n">
        <v>44449</v>
      </c>
      <c r="C464" s="1" t="n">
        <v>45356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48492-2021</t>
        </is>
      </c>
      <c r="B465" s="1" t="n">
        <v>44452</v>
      </c>
      <c r="C465" s="1" t="n">
        <v>45356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48591-2021</t>
        </is>
      </c>
      <c r="B466" s="1" t="n">
        <v>44452</v>
      </c>
      <c r="C466" s="1" t="n">
        <v>45356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49452-2021</t>
        </is>
      </c>
      <c r="B467" s="1" t="n">
        <v>44454</v>
      </c>
      <c r="C467" s="1" t="n">
        <v>45356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49869-2021</t>
        </is>
      </c>
      <c r="B468" s="1" t="n">
        <v>44455</v>
      </c>
      <c r="C468" s="1" t="n">
        <v>45356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49873-2021</t>
        </is>
      </c>
      <c r="B469" s="1" t="n">
        <v>44455</v>
      </c>
      <c r="C469" s="1" t="n">
        <v>45356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49882-2021</t>
        </is>
      </c>
      <c r="B470" s="1" t="n">
        <v>44455</v>
      </c>
      <c r="C470" s="1" t="n">
        <v>45356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50136-2021</t>
        </is>
      </c>
      <c r="B471" s="1" t="n">
        <v>44456</v>
      </c>
      <c r="C471" s="1" t="n">
        <v>45356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50133-2021</t>
        </is>
      </c>
      <c r="B472" s="1" t="n">
        <v>44456</v>
      </c>
      <c r="C472" s="1" t="n">
        <v>45356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50306-2021</t>
        </is>
      </c>
      <c r="B473" s="1" t="n">
        <v>44459</v>
      </c>
      <c r="C473" s="1" t="n">
        <v>45356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50558-2021</t>
        </is>
      </c>
      <c r="B474" s="1" t="n">
        <v>44459</v>
      </c>
      <c r="C474" s="1" t="n">
        <v>45356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51838-2021</t>
        </is>
      </c>
      <c r="B475" s="1" t="n">
        <v>44462</v>
      </c>
      <c r="C475" s="1" t="n">
        <v>45356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51877-2021</t>
        </is>
      </c>
      <c r="B476" s="1" t="n">
        <v>44462</v>
      </c>
      <c r="C476" s="1" t="n">
        <v>45356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53177-2021</t>
        </is>
      </c>
      <c r="B477" s="1" t="n">
        <v>44468</v>
      </c>
      <c r="C477" s="1" t="n">
        <v>45356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53444-2021</t>
        </is>
      </c>
      <c r="B478" s="1" t="n">
        <v>44468</v>
      </c>
      <c r="C478" s="1" t="n">
        <v>45356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53899-2021</t>
        </is>
      </c>
      <c r="B479" s="1" t="n">
        <v>44469</v>
      </c>
      <c r="C479" s="1" t="n">
        <v>45356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53900-2021</t>
        </is>
      </c>
      <c r="B480" s="1" t="n">
        <v>44469</v>
      </c>
      <c r="C480" s="1" t="n">
        <v>45356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55494-2021</t>
        </is>
      </c>
      <c r="B481" s="1" t="n">
        <v>44475</v>
      </c>
      <c r="C481" s="1" t="n">
        <v>45356</v>
      </c>
      <c r="D481" t="inlineStr">
        <is>
          <t>ÖSTERGÖTLANDS LÄN</t>
        </is>
      </c>
      <c r="E481" t="inlineStr">
        <is>
          <t>NORRKÖPING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55412-2021</t>
        </is>
      </c>
      <c r="B482" s="1" t="n">
        <v>44475</v>
      </c>
      <c r="C482" s="1" t="n">
        <v>45356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55429-2021</t>
        </is>
      </c>
      <c r="B483" s="1" t="n">
        <v>44475</v>
      </c>
      <c r="C483" s="1" t="n">
        <v>45356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58525-2021</t>
        </is>
      </c>
      <c r="B484" s="1" t="n">
        <v>44488</v>
      </c>
      <c r="C484" s="1" t="n">
        <v>45356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58791-2021</t>
        </is>
      </c>
      <c r="B485" s="1" t="n">
        <v>44489</v>
      </c>
      <c r="C485" s="1" t="n">
        <v>45356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45356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45356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45356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45356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45356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45356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45356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45356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45356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45356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45356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45356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45356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45356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45356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45356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45356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45356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45356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45356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45356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45356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45356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45356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45356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45356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45356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45356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45356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45356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45356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45356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45356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45356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45356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45356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45356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45356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45356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45356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45356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45356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45356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45356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45356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45356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45356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45356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45356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45356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45356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45356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45356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45356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45356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45356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45356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45356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45356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45356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45356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45356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45356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45356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45356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45356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45356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45356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45356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45356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45356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45356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45356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45356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45356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45356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45356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45356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45356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45356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45356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45356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45356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45356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45356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45356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45356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45356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45356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45356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45356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45356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45356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45356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45356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45356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45356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45356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45356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45356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45356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45356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45356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45356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45356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45356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45356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45356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45356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45356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45356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45356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45356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45356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45356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45356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45356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45356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45356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45356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45356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45356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45356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45356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45356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45356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45356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45356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45356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45356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45356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45356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45356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45356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45356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45356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45356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45356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45356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45356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45356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45356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45356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45356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45356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45356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45356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45356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45356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45356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45356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45356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45356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45356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45356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45356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45356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45356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45356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45356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45356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45356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45356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45356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45356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45356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45356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45356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45356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45356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45356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45356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45356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45356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45356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45356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45356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45356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45356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45356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45356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45356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45356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45356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45356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45356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45356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45356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45356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45356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45356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45356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45356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45356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45356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45356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45356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45356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45356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45356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45356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45356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45356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45356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45356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45356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45356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45356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45356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45356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45356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45356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45356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45356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45356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45356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45356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45356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45356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45356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45356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45356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45356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45356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45356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45356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45356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45356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45356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45356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45356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45356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45356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45356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45356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45356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45356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45356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45356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45356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45356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45356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45356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45356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45356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45356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45356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45356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45356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45356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45356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45356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45356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45356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45356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45356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45356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45356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45356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45356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45356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45356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45356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45356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45356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45356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45356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45356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45356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45356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45356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45356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45356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45356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45356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45356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45356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45356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45356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45356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45356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45356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45356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45356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45356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45356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45356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45356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45356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45356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45356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45356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45356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45356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45356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45356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45356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45356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45356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45356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45356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45356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45356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45356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45356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45356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45356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45356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45356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45356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45356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45356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45356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45356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45356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45356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45356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45356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45356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45356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45356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45356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45356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45356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45356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45356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45356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45356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45356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45356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45356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45356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45356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45356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45356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45356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45356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45356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45356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45356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45356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45356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45356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45356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45356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45356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45356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45356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45356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45356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45356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45356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45356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45356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45356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45356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45356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45356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45356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45356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45356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45356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45356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45356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45356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45356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45356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45356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45356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45356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45356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45356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45356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45356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45356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45356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45356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45356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45356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45356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45356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45356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45356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45356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45356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45356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45356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45356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45356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45356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45356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45356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45356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45356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45356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45356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45356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45356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45356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45356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45356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45356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45356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45356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45356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45356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45356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45356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45356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45356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45356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45356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45356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45356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45356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45356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45356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45356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45356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45356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45356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45356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45356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45356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45356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45356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45356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45356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45356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45356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45356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45356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45356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45356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45356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45356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45356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45356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45356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45356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45356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45356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45356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45356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45356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45356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45356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45356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45356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45356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45356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45356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45356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45356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45356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45356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5116-2024</t>
        </is>
      </c>
      <c r="B1179" s="1" t="n">
        <v>45330</v>
      </c>
      <c r="C1179" s="1" t="n">
        <v>45356</v>
      </c>
      <c r="D1179" t="inlineStr">
        <is>
          <t>ÖSTERGÖTLANDS LÄN</t>
        </is>
      </c>
      <c r="E1179" t="inlineStr">
        <is>
          <t>NORRKÖPING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45356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5119-2024</t>
        </is>
      </c>
      <c r="B1181" s="1" t="n">
        <v>45330</v>
      </c>
      <c r="C1181" s="1" t="n">
        <v>45356</v>
      </c>
      <c r="D1181" t="inlineStr">
        <is>
          <t>ÖSTERGÖTLANDS LÄN</t>
        </is>
      </c>
      <c r="E1181" t="inlineStr">
        <is>
          <t>NORRKÖPING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45356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5690-2024</t>
        </is>
      </c>
      <c r="B1183" s="1" t="n">
        <v>45334</v>
      </c>
      <c r="C1183" s="1" t="n">
        <v>45356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5572-2024</t>
        </is>
      </c>
      <c r="B1184" s="1" t="n">
        <v>45334</v>
      </c>
      <c r="C1184" s="1" t="n">
        <v>45356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45356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5941-2024</t>
        </is>
      </c>
      <c r="B1187" s="1" t="n">
        <v>45336</v>
      </c>
      <c r="C1187" s="1" t="n">
        <v>45356</v>
      </c>
      <c r="D1187" t="inlineStr">
        <is>
          <t>ÖSTERGÖTLANDS LÄN</t>
        </is>
      </c>
      <c r="E1187" t="inlineStr">
        <is>
          <t>NORRKÖPING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45356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6415-2024</t>
        </is>
      </c>
      <c r="B1189" s="1" t="n">
        <v>45338</v>
      </c>
      <c r="C1189" s="1" t="n">
        <v>45356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6488-2024</t>
        </is>
      </c>
      <c r="B1190" s="1" t="n">
        <v>45339</v>
      </c>
      <c r="C1190" s="1" t="n">
        <v>45356</v>
      </c>
      <c r="D1190" t="inlineStr">
        <is>
          <t>ÖSTERGÖTLANDS LÄN</t>
        </is>
      </c>
      <c r="E1190" t="inlineStr">
        <is>
          <t>NORRKÖPING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6489-2024</t>
        </is>
      </c>
      <c r="B1191" s="1" t="n">
        <v>45339</v>
      </c>
      <c r="C1191" s="1" t="n">
        <v>45356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45356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45356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45356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45356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7887-2024</t>
        </is>
      </c>
      <c r="B1196" s="1" t="n">
        <v>45350</v>
      </c>
      <c r="C1196" s="1" t="n">
        <v>45356</v>
      </c>
      <c r="D1196" t="inlineStr">
        <is>
          <t>ÖSTERGÖTLANDS LÄN</t>
        </is>
      </c>
      <c r="E1196" t="inlineStr">
        <is>
          <t>NORRKÖPING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45356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8319-2024</t>
        </is>
      </c>
      <c r="B1198" s="1" t="n">
        <v>45352</v>
      </c>
      <c r="C1198" s="1" t="n">
        <v>45356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2024-03-05T13:17:57Z</dcterms:created>
  <dcterms:modified xmlns:dcterms="http://purl.org/dc/terms/" xmlns:xsi="http://www.w3.org/2001/XMLSchema-instance" xsi:type="dcterms:W3CDTF">2024-03-05T13:17:58Z</dcterms:modified>
</cp:coreProperties>
</file>