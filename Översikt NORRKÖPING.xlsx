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HYPERLINK("https://klasma.github.io/Logging_0581/knärot/A 24615-2025 karta knärot.png", "A 24615-2025")</f>
        <v/>
      </c>
      <c r="Y2">
        <f>HYPERLINK("https://klasma.github.io/Logging_0581/klagomål/A 24615-2025 FSC-klagomål.docx", "A 24615-2025")</f>
        <v/>
      </c>
      <c r="Z2">
        <f>HYPERLINK("https://klasma.github.io/Logging_0581/klagomålsmail/A 24615-2025 FSC-klagomål mail.docx", "A 24615-2025")</f>
        <v/>
      </c>
      <c r="AA2">
        <f>HYPERLINK("https://klasma.github.io/Logging_0581/tillsyn/A 24615-2025 tillsynsbegäran.docx", "A 24615-2025")</f>
        <v/>
      </c>
      <c r="AB2">
        <f>HYPERLINK("https://klasma.github.io/Logging_0581/tillsynsmail/A 24615-2025 tillsynsbegäran mail.docx", "A 24615-2025")</f>
        <v/>
      </c>
      <c r="AC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Y3">
        <f>HYPERLINK("https://klasma.github.io/Logging_0581/klagomål/A 57525-2022 FSC-klagomål.docx", "A 57525-2022")</f>
        <v/>
      </c>
      <c r="Z3">
        <f>HYPERLINK("https://klasma.github.io/Logging_0581/klagomålsmail/A 57525-2022 FSC-klagomål mail.docx", "A 57525-2022")</f>
        <v/>
      </c>
      <c r="AA3">
        <f>HYPERLINK("https://klasma.github.io/Logging_0581/tillsyn/A 57525-2022 tillsynsbegäran.docx", "A 57525-2022")</f>
        <v/>
      </c>
      <c r="AB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HYPERLINK("https://klasma.github.io/Logging_0581/knärot/A 11077-2025 karta knärot.png", "A 11077-2025")</f>
        <v/>
      </c>
      <c r="Y4">
        <f>HYPERLINK("https://klasma.github.io/Logging_0581/klagomål/A 11077-2025 FSC-klagomål.docx", "A 11077-2025")</f>
        <v/>
      </c>
      <c r="Z4">
        <f>HYPERLINK("https://klasma.github.io/Logging_0581/klagomålsmail/A 11077-2025 FSC-klagomål mail.docx", "A 11077-2025")</f>
        <v/>
      </c>
      <c r="AA4">
        <f>HYPERLINK("https://klasma.github.io/Logging_0581/tillsyn/A 11077-2025 tillsynsbegäran.docx", "A 11077-2025")</f>
        <v/>
      </c>
      <c r="AB4">
        <f>HYPERLINK("https://klasma.github.io/Logging_0581/tillsynsmail/A 11077-2025 tillsynsbegäran mail.docx", "A 11077-2025")</f>
        <v/>
      </c>
      <c r="AC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HYPERLINK("https://klasma.github.io/Logging_0581/knärot/A 11085-2025 karta knärot.png", "A 11085-2025")</f>
        <v/>
      </c>
      <c r="Y5">
        <f>HYPERLINK("https://klasma.github.io/Logging_0581/klagomål/A 11085-2025 FSC-klagomål.docx", "A 11085-2025")</f>
        <v/>
      </c>
      <c r="Z5">
        <f>HYPERLINK("https://klasma.github.io/Logging_0581/klagomålsmail/A 11085-2025 FSC-klagomål mail.docx", "A 11085-2025")</f>
        <v/>
      </c>
      <c r="AA5">
        <f>HYPERLINK("https://klasma.github.io/Logging_0581/tillsyn/A 11085-2025 tillsynsbegäran.docx", "A 11085-2025")</f>
        <v/>
      </c>
      <c r="AB5">
        <f>HYPERLINK("https://klasma.github.io/Logging_0581/tillsynsmail/A 11085-2025 tillsynsbegäran mail.docx", "A 11085-2025")</f>
        <v/>
      </c>
      <c r="AC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HYPERLINK("https://klasma.github.io/Logging_0581/knärot/A 11109-2025 karta knärot.png", "A 11109-2025")</f>
        <v/>
      </c>
      <c r="Y6">
        <f>HYPERLINK("https://klasma.github.io/Logging_0581/klagomål/A 11109-2025 FSC-klagomål.docx", "A 11109-2025")</f>
        <v/>
      </c>
      <c r="Z6">
        <f>HYPERLINK("https://klasma.github.io/Logging_0581/klagomålsmail/A 11109-2025 FSC-klagomål mail.docx", "A 11109-2025")</f>
        <v/>
      </c>
      <c r="AA6">
        <f>HYPERLINK("https://klasma.github.io/Logging_0581/tillsyn/A 11109-2025 tillsynsbegäran.docx", "A 11109-2025")</f>
        <v/>
      </c>
      <c r="AB6">
        <f>HYPERLINK("https://klasma.github.io/Logging_0581/tillsynsmail/A 11109-2025 tillsynsbegäran mail.docx", "A 11109-2025")</f>
        <v/>
      </c>
      <c r="AC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HYPERLINK("https://klasma.github.io/Logging_0581/knärot/A 44688-2025 karta knärot.png", "A 44688-2025")</f>
        <v/>
      </c>
      <c r="Y7">
        <f>HYPERLINK("https://klasma.github.io/Logging_0581/klagomål/A 44688-2025 FSC-klagomål.docx", "A 44688-2025")</f>
        <v/>
      </c>
      <c r="Z7">
        <f>HYPERLINK("https://klasma.github.io/Logging_0581/klagomålsmail/A 44688-2025 FSC-klagomål mail.docx", "A 44688-2025")</f>
        <v/>
      </c>
      <c r="AA7">
        <f>HYPERLINK("https://klasma.github.io/Logging_0581/tillsyn/A 44688-2025 tillsynsbegäran.docx", "A 44688-2025")</f>
        <v/>
      </c>
      <c r="AB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46221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s="2" t="inlineStr">
        <is>
          <t>Knärot
Ullticka
Vedskivlav
Blomkålssvamp
Bronshjon
Fällmossa
Grönpyrola
Platt fjädermossa
Vedticka
Västlig hakmossa
Blåsippa
Skriftlav
Spillkråka</t>
        </is>
      </c>
      <c r="V8">
        <f>HYPERLINK("https://klasma.github.io/Logging_0581/artfynd/A 17462-2026 artfynd.xlsx", "A 17462-2026")</f>
        <v/>
      </c>
      <c r="W8">
        <f>HYPERLINK("https://klasma.github.io/Logging_0581/kartor/A 17462-2026 karta.png", "A 17462-2026")</f>
        <v/>
      </c>
      <c r="X8">
        <f>HYPERLINK("https://klasma.github.io/Logging_0581/knärot/A 17462-2026 karta knärot.png", "A 17462-2026")</f>
        <v/>
      </c>
      <c r="Y8">
        <f>HYPERLINK("https://klasma.github.io/Logging_0581/klagomål/A 17462-2026 FSC-klagomål.docx", "A 17462-2026")</f>
        <v/>
      </c>
      <c r="Z8">
        <f>HYPERLINK("https://klasma.github.io/Logging_0581/klagomålsmail/A 17462-2026 FSC-klagomål mail.docx", "A 17462-2026")</f>
        <v/>
      </c>
      <c r="AA8">
        <f>HYPERLINK("https://klasma.github.io/Logging_0581/tillsyn/A 17462-2026 tillsynsbegäran.docx", "A 17462-2026")</f>
        <v/>
      </c>
      <c r="AB8">
        <f>HYPERLINK("https://klasma.github.io/Logging_0581/tillsynsmail/A 17462-2026 tillsynsbegäran mail.docx", "A 17462-2026")</f>
        <v/>
      </c>
      <c r="AC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46221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9">
        <f>HYPERLINK("https://klasma.github.io/Logging_0581/artfynd/A 45701-2024 artfynd.xlsx", "A 45701-2024")</f>
        <v/>
      </c>
      <c r="W9">
        <f>HYPERLINK("https://klasma.github.io/Logging_0581/kartor/A 45701-2024 karta.png", "A 45701-2024")</f>
        <v/>
      </c>
      <c r="X9">
        <f>HYPERLINK("https://klasma.github.io/Logging_0581/knärot/A 45701-2024 karta knärot.png", "A 45701-2024")</f>
        <v/>
      </c>
      <c r="Y9">
        <f>HYPERLINK("https://klasma.github.io/Logging_0581/klagomål/A 45701-2024 FSC-klagomål.docx", "A 45701-2024")</f>
        <v/>
      </c>
      <c r="Z9">
        <f>HYPERLINK("https://klasma.github.io/Logging_0581/klagomålsmail/A 45701-2024 FSC-klagomål mail.docx", "A 45701-2024")</f>
        <v/>
      </c>
      <c r="AA9">
        <f>HYPERLINK("https://klasma.github.io/Logging_0581/tillsyn/A 45701-2024 tillsynsbegäran.docx", "A 45701-2024")</f>
        <v/>
      </c>
      <c r="AB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46221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s="2" t="inlineStr">
        <is>
          <t>Knärot
Lakritsmusseron
Blå taggsvamp
Dropptaggsvamp
Dvärgbägarlav
Gropticka
Kolflarnlav
Motaggsvamp
Orange taggsvamp
Ullticka
Vedskivlav
Blomkålssvamp
Spillkråka</t>
        </is>
      </c>
      <c r="V10">
        <f>HYPERLINK("https://klasma.github.io/Logging_0581/artfynd/A 21683-2025 artfynd.xlsx", "A 21683-2025")</f>
        <v/>
      </c>
      <c r="W10">
        <f>HYPERLINK("https://klasma.github.io/Logging_0581/kartor/A 21683-2025 karta.png", "A 21683-2025")</f>
        <v/>
      </c>
      <c r="X10">
        <f>HYPERLINK("https://klasma.github.io/Logging_0581/knärot/A 21683-2025 karta knärot.png", "A 21683-2025")</f>
        <v/>
      </c>
      <c r="Y10">
        <f>HYPERLINK("https://klasma.github.io/Logging_0581/klagomål/A 21683-2025 FSC-klagomål.docx", "A 21683-2025")</f>
        <v/>
      </c>
      <c r="Z10">
        <f>HYPERLINK("https://klasma.github.io/Logging_0581/klagomålsmail/A 21683-2025 FSC-klagomål mail.docx", "A 21683-2025")</f>
        <v/>
      </c>
      <c r="AA10">
        <f>HYPERLINK("https://klasma.github.io/Logging_0581/tillsyn/A 21683-2025 tillsynsbegäran.docx", "A 21683-2025")</f>
        <v/>
      </c>
      <c r="AB10">
        <f>HYPERLINK("https://klasma.github.io/Logging_0581/tillsynsmail/A 21683-2025 tillsynsbegäran mail.docx", "A 21683-2025")</f>
        <v/>
      </c>
      <c r="AC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s="2" t="inlineStr">
        <is>
          <t>Knärot
Dvärgbägarlav
Motaggsvamp
Tallticka
Ullticka
Vedskivlav
Blomkålssvamp
Bronshjon
Grovticka
Grönpyrola
Mindre märgborre
Spillkråka
Vanlig snok</t>
        </is>
      </c>
      <c r="V11">
        <f>HYPERLINK("https://klasma.github.io/Logging_0581/artfynd/A 45488-2025 artfynd.xlsx", "A 45488-2025")</f>
        <v/>
      </c>
      <c r="W11">
        <f>HYPERLINK("https://klasma.github.io/Logging_0581/kartor/A 45488-2025 karta.png", "A 45488-2025")</f>
        <v/>
      </c>
      <c r="X11">
        <f>HYPERLINK("https://klasma.github.io/Logging_0581/knärot/A 45488-2025 karta knärot.png", "A 45488-2025")</f>
        <v/>
      </c>
      <c r="Y11">
        <f>HYPERLINK("https://klasma.github.io/Logging_0581/klagomål/A 45488-2025 FSC-klagomål.docx", "A 45488-2025")</f>
        <v/>
      </c>
      <c r="Z11">
        <f>HYPERLINK("https://klasma.github.io/Logging_0581/klagomålsmail/A 45488-2025 FSC-klagomål mail.docx", "A 45488-2025")</f>
        <v/>
      </c>
      <c r="AA11">
        <f>HYPERLINK("https://klasma.github.io/Logging_0581/tillsyn/A 45488-2025 tillsynsbegäran.docx", "A 45488-2025")</f>
        <v/>
      </c>
      <c r="AB11">
        <f>HYPERLINK("https://klasma.github.io/Logging_0581/tillsynsmail/A 45488-2025 tillsynsbegäran mail.docx", "A 45488-2025")</f>
        <v/>
      </c>
      <c r="AC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Y12">
        <f>HYPERLINK("https://klasma.github.io/Logging_0581/klagomål/A 34644-2023 FSC-klagomål.docx", "A 34644-2023")</f>
        <v/>
      </c>
      <c r="Z12">
        <f>HYPERLINK("https://klasma.github.io/Logging_0581/klagomålsmail/A 34644-2023 FSC-klagomål mail.docx", "A 34644-2023")</f>
        <v/>
      </c>
      <c r="AA12">
        <f>HYPERLINK("https://klasma.github.io/Logging_0581/tillsyn/A 34644-2023 tillsynsbegäran.docx", "A 34644-2023")</f>
        <v/>
      </c>
      <c r="AB12">
        <f>HYPERLINK("https://klasma.github.io/Logging_0581/tillsynsmail/A 34644-2023 tillsynsbegäran mail.docx", "A 34644-2023")</f>
        <v/>
      </c>
      <c r="AC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46221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s="2" t="inlineStr">
        <is>
          <t>Knärot
Grönhjon
Tallticka
Talltita
Vedtrappmossa
Bronshjon
Flagellkvastmossa
Grovticka
Grönpyrola
Kornknutmossa
Mindre märgborre</t>
        </is>
      </c>
      <c r="V13">
        <f>HYPERLINK("https://klasma.github.io/Logging_0581/artfynd/A 60898-2024 artfynd.xlsx", "A 60898-2024")</f>
        <v/>
      </c>
      <c r="W13">
        <f>HYPERLINK("https://klasma.github.io/Logging_0581/kartor/A 60898-2024 karta.png", "A 60898-2024")</f>
        <v/>
      </c>
      <c r="X13">
        <f>HYPERLINK("https://klasma.github.io/Logging_0581/knärot/A 60898-2024 karta knärot.png", "A 60898-2024")</f>
        <v/>
      </c>
      <c r="Y13">
        <f>HYPERLINK("https://klasma.github.io/Logging_0581/klagomål/A 60898-2024 FSC-klagomål.docx", "A 60898-2024")</f>
        <v/>
      </c>
      <c r="Z13">
        <f>HYPERLINK("https://klasma.github.io/Logging_0581/klagomålsmail/A 60898-2024 FSC-klagomål mail.docx", "A 60898-2024")</f>
        <v/>
      </c>
      <c r="AA13">
        <f>HYPERLINK("https://klasma.github.io/Logging_0581/tillsyn/A 60898-2024 tillsynsbegäran.docx", "A 60898-2024")</f>
        <v/>
      </c>
      <c r="AB13">
        <f>HYPERLINK("https://klasma.github.io/Logging_0581/tillsynsmail/A 60898-2024 tillsynsbegäran mail.docx", "A 60898-2024")</f>
        <v/>
      </c>
      <c r="AC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46221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s="2" t="inlineStr">
        <is>
          <t>Ask
Stare
Jungfrulin
Svinrot
Vanlig backsmörblomma
Vippärt
Tibast
Blåsippa
Gröngöling
Nattviol
Gullviva</t>
        </is>
      </c>
      <c r="V14">
        <f>HYPERLINK("https://klasma.github.io/Logging_0581/artfynd/A 16867-2024 artfynd.xlsx", "A 16867-2024")</f>
        <v/>
      </c>
      <c r="W14">
        <f>HYPERLINK("https://klasma.github.io/Logging_0581/kartor/A 16867-2024 karta.png", "A 16867-2024")</f>
        <v/>
      </c>
      <c r="Y14">
        <f>HYPERLINK("https://klasma.github.io/Logging_0581/klagomål/A 16867-2024 FSC-klagomål.docx", "A 16867-2024")</f>
        <v/>
      </c>
      <c r="Z14">
        <f>HYPERLINK("https://klasma.github.io/Logging_0581/klagomålsmail/A 16867-2024 FSC-klagomål mail.docx", "A 16867-2024")</f>
        <v/>
      </c>
      <c r="AA14">
        <f>HYPERLINK("https://klasma.github.io/Logging_0581/tillsyn/A 16867-2024 tillsynsbegäran.docx", "A 16867-2024")</f>
        <v/>
      </c>
      <c r="AB14">
        <f>HYPERLINK("https://klasma.github.io/Logging_0581/tillsynsmail/A 16867-2024 tillsynsbegäran mail.docx", "A 16867-2024")</f>
        <v/>
      </c>
      <c r="AC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s="2" t="inlineStr">
        <is>
          <t>Knärot
Tallticka
Brandticka
Fällmossa
Grovticka
Guldlockmossa
Mindre märgborre
Platt fjädermossa
Spillkråka
Fläcknycklar</t>
        </is>
      </c>
      <c r="V15">
        <f>HYPERLINK("https://klasma.github.io/Logging_0581/artfynd/A 28141-2026 artfynd.xlsx", "A 28141-2026")</f>
        <v/>
      </c>
      <c r="W15">
        <f>HYPERLINK("https://klasma.github.io/Logging_0581/kartor/A 28141-2026 karta.png", "A 28141-2026")</f>
        <v/>
      </c>
      <c r="X15">
        <f>HYPERLINK("https://klasma.github.io/Logging_0581/knärot/A 28141-2026 karta knärot.png", "A 28141-2026")</f>
        <v/>
      </c>
      <c r="Y15">
        <f>HYPERLINK("https://klasma.github.io/Logging_0581/klagomål/A 28141-2026 FSC-klagomål.docx", "A 28141-2026")</f>
        <v/>
      </c>
      <c r="Z15">
        <f>HYPERLINK("https://klasma.github.io/Logging_0581/klagomålsmail/A 28141-2026 FSC-klagomål mail.docx", "A 28141-2026")</f>
        <v/>
      </c>
      <c r="AA15">
        <f>HYPERLINK("https://klasma.github.io/Logging_0581/tillsyn/A 28141-2026 tillsynsbegäran.docx", "A 28141-2026")</f>
        <v/>
      </c>
      <c r="AB15">
        <f>HYPERLINK("https://klasma.github.io/Logging_0581/tillsynsmail/A 28141-2026 tillsynsbegäran mail.docx", "A 28141-2026")</f>
        <v/>
      </c>
      <c r="AC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46221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s="2" t="inlineStr">
        <is>
          <t>Knärot
Dropptaggsvamp
Motaggsvamp
Orange taggsvamp
Tallticka
Fällmossa
Platt fjädermossa
Blåsippa
Vanlig snok</t>
        </is>
      </c>
      <c r="V16">
        <f>HYPERLINK("https://klasma.github.io/Logging_0581/artfynd/A 45509-2025 artfynd.xlsx", "A 45509-2025")</f>
        <v/>
      </c>
      <c r="W16">
        <f>HYPERLINK("https://klasma.github.io/Logging_0581/kartor/A 45509-2025 karta.png", "A 45509-2025")</f>
        <v/>
      </c>
      <c r="X16">
        <f>HYPERLINK("https://klasma.github.io/Logging_0581/knärot/A 45509-2025 karta knärot.png", "A 45509-2025")</f>
        <v/>
      </c>
      <c r="Y16">
        <f>HYPERLINK("https://klasma.github.io/Logging_0581/klagomål/A 45509-2025 FSC-klagomål.docx", "A 45509-2025")</f>
        <v/>
      </c>
      <c r="Z16">
        <f>HYPERLINK("https://klasma.github.io/Logging_0581/klagomålsmail/A 45509-2025 FSC-klagomål mail.docx", "A 45509-2025")</f>
        <v/>
      </c>
      <c r="AA16">
        <f>HYPERLINK("https://klasma.github.io/Logging_0581/tillsyn/A 45509-2025 tillsynsbegäran.docx", "A 45509-2025")</f>
        <v/>
      </c>
      <c r="AB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46221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s="2" t="inlineStr">
        <is>
          <t>Blek kryptolav
Kandelabersvamp
Motaggsvamp
Skogsklocka
Svinrot
Tallticka
Vippärt
Stekelbock
Blåsippa</t>
        </is>
      </c>
      <c r="V17">
        <f>HYPERLINK("https://klasma.github.io/Logging_0581/artfynd/A 37730-2025 artfynd.xlsx", "A 37730-2025")</f>
        <v/>
      </c>
      <c r="W17">
        <f>HYPERLINK("https://klasma.github.io/Logging_0581/kartor/A 37730-2025 karta.png", "A 37730-2025")</f>
        <v/>
      </c>
      <c r="Y17">
        <f>HYPERLINK("https://klasma.github.io/Logging_0581/klagomål/A 37730-2025 FSC-klagomål.docx", "A 37730-2025")</f>
        <v/>
      </c>
      <c r="Z17">
        <f>HYPERLINK("https://klasma.github.io/Logging_0581/klagomålsmail/A 37730-2025 FSC-klagomål mail.docx", "A 37730-2025")</f>
        <v/>
      </c>
      <c r="AA17">
        <f>HYPERLINK("https://klasma.github.io/Logging_0581/tillsyn/A 37730-2025 tillsynsbegäran.docx", "A 37730-2025")</f>
        <v/>
      </c>
      <c r="AB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46221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s="2" t="inlineStr">
        <is>
          <t>Granlundlav
Hasselsnok
Lunglav
Rosa skärelav
Tallticka
Vedskivlav
Fällmossa
Grovticka
Klippfrullania</t>
        </is>
      </c>
      <c r="V18">
        <f>HYPERLINK("https://klasma.github.io/Logging_0581/artfynd/A 26385-2023 artfynd.xlsx", "A 26385-2023")</f>
        <v/>
      </c>
      <c r="W18">
        <f>HYPERLINK("https://klasma.github.io/Logging_0581/kartor/A 26385-2023 karta.png", "A 26385-2023")</f>
        <v/>
      </c>
      <c r="Y18">
        <f>HYPERLINK("https://klasma.github.io/Logging_0581/klagomål/A 26385-2023 FSC-klagomål.docx", "A 26385-2023")</f>
        <v/>
      </c>
      <c r="Z18">
        <f>HYPERLINK("https://klasma.github.io/Logging_0581/klagomålsmail/A 26385-2023 FSC-klagomål mail.docx", "A 26385-2023")</f>
        <v/>
      </c>
      <c r="AA18">
        <f>HYPERLINK("https://klasma.github.io/Logging_0581/tillsyn/A 26385-2023 tillsynsbegäran.docx", "A 26385-2023")</f>
        <v/>
      </c>
      <c r="AB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s="2" t="inlineStr">
        <is>
          <t>Knärot
Vedskivlav
Blåmossa
Bronshjon
Fällmossa
Grönpyrola
Mindre märgborre
Skärmstarr
Spillkråka</t>
        </is>
      </c>
      <c r="V19">
        <f>HYPERLINK("https://klasma.github.io/Logging_0581/artfynd/A 21098-2026 artfynd.xlsx", "A 21098-2026")</f>
        <v/>
      </c>
      <c r="W19">
        <f>HYPERLINK("https://klasma.github.io/Logging_0581/kartor/A 21098-2026 karta.png", "A 21098-2026")</f>
        <v/>
      </c>
      <c r="X19">
        <f>HYPERLINK("https://klasma.github.io/Logging_0581/knärot/A 21098-2026 karta knärot.png", "A 21098-2026")</f>
        <v/>
      </c>
      <c r="Y19">
        <f>HYPERLINK("https://klasma.github.io/Logging_0581/klagomål/A 21098-2026 FSC-klagomål.docx", "A 21098-2026")</f>
        <v/>
      </c>
      <c r="Z19">
        <f>HYPERLINK("https://klasma.github.io/Logging_0581/klagomålsmail/A 21098-2026 FSC-klagomål mail.docx", "A 21098-2026")</f>
        <v/>
      </c>
      <c r="AA19">
        <f>HYPERLINK("https://klasma.github.io/Logging_0581/tillsyn/A 21098-2026 tillsynsbegäran.docx", "A 21098-2026")</f>
        <v/>
      </c>
      <c r="AB19">
        <f>HYPERLINK("https://klasma.github.io/Logging_0581/tillsynsmail/A 21098-2026 tillsynsbegäran mail.docx", "A 21098-2026")</f>
        <v/>
      </c>
      <c r="AC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46221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s="2" t="inlineStr">
        <is>
          <t>Dvärgbägarlav
Gransotdyna
Ullticka
Vedskivlav
Blodticka
Blåmossa
Grönpyrola
Kopparödla</t>
        </is>
      </c>
      <c r="V20">
        <f>HYPERLINK("https://klasma.github.io/Logging_0581/artfynd/A 21520-2024 artfynd.xlsx", "A 21520-2024")</f>
        <v/>
      </c>
      <c r="W20">
        <f>HYPERLINK("https://klasma.github.io/Logging_0581/kartor/A 21520-2024 karta.png", "A 21520-2024")</f>
        <v/>
      </c>
      <c r="Y20">
        <f>HYPERLINK("https://klasma.github.io/Logging_0581/klagomål/A 21520-2024 FSC-klagomål.docx", "A 21520-2024")</f>
        <v/>
      </c>
      <c r="Z20">
        <f>HYPERLINK("https://klasma.github.io/Logging_0581/klagomålsmail/A 21520-2024 FSC-klagomål mail.docx", "A 21520-2024")</f>
        <v/>
      </c>
      <c r="AA20">
        <f>HYPERLINK("https://klasma.github.io/Logging_0581/tillsyn/A 21520-2024 tillsynsbegäran.docx", "A 21520-2024")</f>
        <v/>
      </c>
      <c r="AB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46221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s="2" t="inlineStr">
        <is>
          <t>Ostticka
Dropptaggsvamp
Stubbtrådmossa
Vedskivlav
Vedtrappmossa
Bronshjon
Flagellkvastmossa
Kornknutmossa</t>
        </is>
      </c>
      <c r="V21">
        <f>HYPERLINK("https://klasma.github.io/Logging_0581/artfynd/A 27912-2025 artfynd.xlsx", "A 27912-2025")</f>
        <v/>
      </c>
      <c r="W21">
        <f>HYPERLINK("https://klasma.github.io/Logging_0581/kartor/A 27912-2025 karta.png", "A 27912-2025")</f>
        <v/>
      </c>
      <c r="Y21">
        <f>HYPERLINK("https://klasma.github.io/Logging_0581/klagomål/A 27912-2025 FSC-klagomål.docx", "A 27912-2025")</f>
        <v/>
      </c>
      <c r="Z21">
        <f>HYPERLINK("https://klasma.github.io/Logging_0581/klagomålsmail/A 27912-2025 FSC-klagomål mail.docx", "A 27912-2025")</f>
        <v/>
      </c>
      <c r="AA21">
        <f>HYPERLINK("https://klasma.github.io/Logging_0581/tillsyn/A 27912-2025 tillsynsbegäran.docx", "A 27912-2025")</f>
        <v/>
      </c>
      <c r="AB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46221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s="2" t="inlineStr">
        <is>
          <t>Knärot
Skuggblåslav
Tallticka
Blåmossa
Granbarkgnagare
Grönpyrola
Klippfrullania
Spillkråka</t>
        </is>
      </c>
      <c r="V22">
        <f>HYPERLINK("https://klasma.github.io/Logging_0581/artfynd/A 17463-2026 artfynd.xlsx", "A 17463-2026")</f>
        <v/>
      </c>
      <c r="W22">
        <f>HYPERLINK("https://klasma.github.io/Logging_0581/kartor/A 17463-2026 karta.png", "A 17463-2026")</f>
        <v/>
      </c>
      <c r="X22">
        <f>HYPERLINK("https://klasma.github.io/Logging_0581/knärot/A 17463-2026 karta knärot.png", "A 17463-2026")</f>
        <v/>
      </c>
      <c r="Y22">
        <f>HYPERLINK("https://klasma.github.io/Logging_0581/klagomål/A 17463-2026 FSC-klagomål.docx", "A 17463-2026")</f>
        <v/>
      </c>
      <c r="Z22">
        <f>HYPERLINK("https://klasma.github.io/Logging_0581/klagomålsmail/A 17463-2026 FSC-klagomål mail.docx", "A 17463-2026")</f>
        <v/>
      </c>
      <c r="AA22">
        <f>HYPERLINK("https://klasma.github.io/Logging_0581/tillsyn/A 17463-2026 tillsynsbegäran.docx", "A 17463-2026")</f>
        <v/>
      </c>
      <c r="AB22">
        <f>HYPERLINK("https://klasma.github.io/Logging_0581/tillsynsmail/A 17463-2026 tillsynsbegäran mail.docx", "A 17463-2026")</f>
        <v/>
      </c>
      <c r="AC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s="2" t="inlineStr">
        <is>
          <t>Grynig filtlav
Gulsparv
Motaggsvamp
Tallticka
Talltita
Stekelbock
Järpe
Mattlummer</t>
        </is>
      </c>
      <c r="V23">
        <f>HYPERLINK("https://klasma.github.io/Logging_0581/artfynd/S 212-2025 artfynd.xlsx", "S 212-2025")</f>
        <v/>
      </c>
      <c r="W23">
        <f>HYPERLINK("https://klasma.github.io/Logging_0581/kartor/S 212-2025 karta.png", "S 212-2025")</f>
        <v/>
      </c>
      <c r="Y23">
        <f>HYPERLINK("https://klasma.github.io/Logging_0581/klagomål/S 212-2025 FSC-klagomål.docx", "S 212-2025")</f>
        <v/>
      </c>
      <c r="Z23">
        <f>HYPERLINK("https://klasma.github.io/Logging_0581/klagomålsmail/S 212-2025 FSC-klagomål mail.docx", "S 212-2025")</f>
        <v/>
      </c>
      <c r="AA23">
        <f>HYPERLINK("https://klasma.github.io/Logging_0581/tillsyn/S 212-2025 tillsynsbegäran.docx", "S 212-2025")</f>
        <v/>
      </c>
      <c r="AB23">
        <f>HYPERLINK("https://klasma.github.io/Logging_0581/tillsynsmail/S 212-2025 tillsynsbegäran mail.docx", "S 212-2025")</f>
        <v/>
      </c>
      <c r="AC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s="2" t="inlineStr">
        <is>
          <t>Knärot
Dunmossa
Vedtrappmossa
Grönpyrola
Stubbspretmossa
Mattlummer
Tjäder</t>
        </is>
      </c>
      <c r="V24">
        <f>HYPERLINK("https://klasma.github.io/Logging_0581/artfynd/A 14619-2025 artfynd.xlsx", "A 14619-2025")</f>
        <v/>
      </c>
      <c r="W24">
        <f>HYPERLINK("https://klasma.github.io/Logging_0581/kartor/A 14619-2025 karta.png", "A 14619-2025")</f>
        <v/>
      </c>
      <c r="X24">
        <f>HYPERLINK("https://klasma.github.io/Logging_0581/knärot/A 14619-2025 karta knärot.png", "A 14619-2025")</f>
        <v/>
      </c>
      <c r="Y24">
        <f>HYPERLINK("https://klasma.github.io/Logging_0581/klagomål/A 14619-2025 FSC-klagomål.docx", "A 14619-2025")</f>
        <v/>
      </c>
      <c r="Z24">
        <f>HYPERLINK("https://klasma.github.io/Logging_0581/klagomålsmail/A 14619-2025 FSC-klagomål mail.docx", "A 14619-2025")</f>
        <v/>
      </c>
      <c r="AA24">
        <f>HYPERLINK("https://klasma.github.io/Logging_0581/tillsyn/A 14619-2025 tillsynsbegäran.docx", "A 14619-2025")</f>
        <v/>
      </c>
      <c r="AB24">
        <f>HYPERLINK("https://klasma.github.io/Logging_0581/tillsynsmail/A 14619-2025 tillsynsbegäran mail.docx", "A 14619-2025")</f>
        <v/>
      </c>
      <c r="AC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s="2" t="inlineStr">
        <is>
          <t>Fällmossa
Guldlockmossa
Platt fjädermossa
Scharlakansvårskål agg.
Trubbfjädermossa
Blåsippa
Spillkråka</t>
        </is>
      </c>
      <c r="V25">
        <f>HYPERLINK("https://klasma.github.io/Logging_0581/artfynd/A 11100-2025 artfynd.xlsx", "A 11100-2025")</f>
        <v/>
      </c>
      <c r="W25">
        <f>HYPERLINK("https://klasma.github.io/Logging_0581/kartor/A 11100-2025 karta.png", "A 11100-2025")</f>
        <v/>
      </c>
      <c r="Y25">
        <f>HYPERLINK("https://klasma.github.io/Logging_0581/klagomål/A 11100-2025 FSC-klagomål.docx", "A 11100-2025")</f>
        <v/>
      </c>
      <c r="Z25">
        <f>HYPERLINK("https://klasma.github.io/Logging_0581/klagomålsmail/A 11100-2025 FSC-klagomål mail.docx", "A 11100-2025")</f>
        <v/>
      </c>
      <c r="AA25">
        <f>HYPERLINK("https://klasma.github.io/Logging_0581/tillsyn/A 11100-2025 tillsynsbegäran.docx", "A 11100-2025")</f>
        <v/>
      </c>
      <c r="AB25">
        <f>HYPERLINK("https://klasma.github.io/Logging_0581/tillsynsmail/A 11100-2025 tillsynsbegäran mail.docx", "A 11100-2025")</f>
        <v/>
      </c>
      <c r="AC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46221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s="2" t="inlineStr">
        <is>
          <t>Knärot
Motaggsvamp
Vedtrappmossa
Grönpyrola
Stor revmossa
Vedticka</t>
        </is>
      </c>
      <c r="V26">
        <f>HYPERLINK("https://klasma.github.io/Logging_0581/artfynd/A 44700-2025 artfynd.xlsx", "A 44700-2025")</f>
        <v/>
      </c>
      <c r="W26">
        <f>HYPERLINK("https://klasma.github.io/Logging_0581/kartor/A 44700-2025 karta.png", "A 44700-2025")</f>
        <v/>
      </c>
      <c r="X26">
        <f>HYPERLINK("https://klasma.github.io/Logging_0581/knärot/A 44700-2025 karta knärot.png", "A 44700-2025")</f>
        <v/>
      </c>
      <c r="Y26">
        <f>HYPERLINK("https://klasma.github.io/Logging_0581/klagomål/A 44700-2025 FSC-klagomål.docx", "A 44700-2025")</f>
        <v/>
      </c>
      <c r="Z26">
        <f>HYPERLINK("https://klasma.github.io/Logging_0581/klagomålsmail/A 44700-2025 FSC-klagomål mail.docx", "A 44700-2025")</f>
        <v/>
      </c>
      <c r="AA26">
        <f>HYPERLINK("https://klasma.github.io/Logging_0581/tillsyn/A 44700-2025 tillsynsbegäran.docx", "A 44700-2025")</f>
        <v/>
      </c>
      <c r="AB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46221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s="2" t="inlineStr">
        <is>
          <t>Ask
Adam och eva
Lunglav
Bårdlav
Ekoxe
Lönnlav</t>
        </is>
      </c>
      <c r="V27">
        <f>HYPERLINK("https://klasma.github.io/Logging_0581/artfynd/A 55104-2025 artfynd.xlsx", "A 55104-2025")</f>
        <v/>
      </c>
      <c r="W27">
        <f>HYPERLINK("https://klasma.github.io/Logging_0581/kartor/A 55104-2025 karta.png", "A 55104-2025")</f>
        <v/>
      </c>
      <c r="Y27">
        <f>HYPERLINK("https://klasma.github.io/Logging_0581/klagomål/A 55104-2025 FSC-klagomål.docx", "A 55104-2025")</f>
        <v/>
      </c>
      <c r="Z27">
        <f>HYPERLINK("https://klasma.github.io/Logging_0581/klagomålsmail/A 55104-2025 FSC-klagomål mail.docx", "A 55104-2025")</f>
        <v/>
      </c>
      <c r="AA27">
        <f>HYPERLINK("https://klasma.github.io/Logging_0581/tillsyn/A 55104-2025 tillsynsbegäran.docx", "A 55104-2025")</f>
        <v/>
      </c>
      <c r="AB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46221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s="2" t="inlineStr">
        <is>
          <t>Dvärgbägarlav
Kolflarnlav
Tallticka
Vintertagging
Grön sköldmossa
Tjäder</t>
        </is>
      </c>
      <c r="V28">
        <f>HYPERLINK("https://klasma.github.io/Logging_0581/artfynd/A 21404-2024 artfynd.xlsx", "A 21404-2024")</f>
        <v/>
      </c>
      <c r="W28">
        <f>HYPERLINK("https://klasma.github.io/Logging_0581/kartor/A 21404-2024 karta.png", "A 21404-2024")</f>
        <v/>
      </c>
      <c r="Y28">
        <f>HYPERLINK("https://klasma.github.io/Logging_0581/klagomål/A 21404-2024 FSC-klagomål.docx", "A 21404-2024")</f>
        <v/>
      </c>
      <c r="Z28">
        <f>HYPERLINK("https://klasma.github.io/Logging_0581/klagomålsmail/A 21404-2024 FSC-klagomål mail.docx", "A 21404-2024")</f>
        <v/>
      </c>
      <c r="AA28">
        <f>HYPERLINK("https://klasma.github.io/Logging_0581/tillsyn/A 21404-2024 tillsynsbegäran.docx", "A 21404-2024")</f>
        <v/>
      </c>
      <c r="AB28">
        <f>HYPERLINK("https://klasma.github.io/Logging_0581/tillsynsmail/A 21404-2024 tillsynsbegäran mail.docx", "A 21404-2024")</f>
        <v/>
      </c>
      <c r="AC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46221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s="2" t="inlineStr">
        <is>
          <t>Gammelekslav
Gul dropplav
Skuggorangelav
Tallticka
Brun nållav</t>
        </is>
      </c>
      <c r="V29">
        <f>HYPERLINK("https://klasma.github.io/Logging_0581/artfynd/A 4820-2026 artfynd.xlsx", "A 4820-2026")</f>
        <v/>
      </c>
      <c r="W29">
        <f>HYPERLINK("https://klasma.github.io/Logging_0581/kartor/A 4820-2026 karta.png", "A 4820-2026")</f>
        <v/>
      </c>
      <c r="Y29">
        <f>HYPERLINK("https://klasma.github.io/Logging_0581/klagomål/A 4820-2026 FSC-klagomål.docx", "A 4820-2026")</f>
        <v/>
      </c>
      <c r="Z29">
        <f>HYPERLINK("https://klasma.github.io/Logging_0581/klagomålsmail/A 4820-2026 FSC-klagomål mail.docx", "A 4820-2026")</f>
        <v/>
      </c>
      <c r="AA29">
        <f>HYPERLINK("https://klasma.github.io/Logging_0581/tillsyn/A 4820-2026 tillsynsbegäran.docx", "A 4820-2026")</f>
        <v/>
      </c>
      <c r="AB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46221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s="2" t="inlineStr">
        <is>
          <t>Knärot
Tallticka
Bronshjon
Flagellkvastmossa
Stubbspretmossa</t>
        </is>
      </c>
      <c r="V30">
        <f>HYPERLINK("https://klasma.github.io/Logging_0581/artfynd/A 44620-2025 artfynd.xlsx", "A 44620-2025")</f>
        <v/>
      </c>
      <c r="W30">
        <f>HYPERLINK("https://klasma.github.io/Logging_0581/kartor/A 44620-2025 karta.png", "A 44620-2025")</f>
        <v/>
      </c>
      <c r="X30">
        <f>HYPERLINK("https://klasma.github.io/Logging_0581/knärot/A 44620-2025 karta knärot.png", "A 44620-2025")</f>
        <v/>
      </c>
      <c r="Y30">
        <f>HYPERLINK("https://klasma.github.io/Logging_0581/klagomål/A 44620-2025 FSC-klagomål.docx", "A 44620-2025")</f>
        <v/>
      </c>
      <c r="Z30">
        <f>HYPERLINK("https://klasma.github.io/Logging_0581/klagomålsmail/A 44620-2025 FSC-klagomål mail.docx", "A 44620-2025")</f>
        <v/>
      </c>
      <c r="AA30">
        <f>HYPERLINK("https://klasma.github.io/Logging_0581/tillsyn/A 44620-2025 tillsynsbegäran.docx", "A 44620-2025")</f>
        <v/>
      </c>
      <c r="AB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46221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s="2" t="inlineStr">
        <is>
          <t>Röd skogslilja
Granbarkgnagare
Purpurknipprot
Stubbspretmossa
Blåsippa</t>
        </is>
      </c>
      <c r="V31">
        <f>HYPERLINK("https://klasma.github.io/Logging_0581/artfynd/A 2165-2022 artfynd.xlsx", "A 2165-2022")</f>
        <v/>
      </c>
      <c r="W31">
        <f>HYPERLINK("https://klasma.github.io/Logging_0581/kartor/A 2165-2022 karta.png", "A 2165-2022")</f>
        <v/>
      </c>
      <c r="Y31">
        <f>HYPERLINK("https://klasma.github.io/Logging_0581/klagomål/A 2165-2022 FSC-klagomål.docx", "A 2165-2022")</f>
        <v/>
      </c>
      <c r="Z31">
        <f>HYPERLINK("https://klasma.github.io/Logging_0581/klagomålsmail/A 2165-2022 FSC-klagomål mail.docx", "A 2165-2022")</f>
        <v/>
      </c>
      <c r="AA31">
        <f>HYPERLINK("https://klasma.github.io/Logging_0581/tillsyn/A 2165-2022 tillsynsbegäran.docx", "A 2165-2022")</f>
        <v/>
      </c>
      <c r="AB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46221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s="2" t="inlineStr">
        <is>
          <t>Tallticka
Blåmossa
Granbarkgnagare
Mindre märgborre
Spillkråka</t>
        </is>
      </c>
      <c r="V32">
        <f>HYPERLINK("https://klasma.github.io/Logging_0581/artfynd/A 17466-2026 artfynd.xlsx", "A 17466-2026")</f>
        <v/>
      </c>
      <c r="W32">
        <f>HYPERLINK("https://klasma.github.io/Logging_0581/kartor/A 17466-2026 karta.png", "A 17466-2026")</f>
        <v/>
      </c>
      <c r="Y32">
        <f>HYPERLINK("https://klasma.github.io/Logging_0581/klagomål/A 17466-2026 FSC-klagomål.docx", "A 17466-2026")</f>
        <v/>
      </c>
      <c r="Z32">
        <f>HYPERLINK("https://klasma.github.io/Logging_0581/klagomålsmail/A 17466-2026 FSC-klagomål mail.docx", "A 17466-2026")</f>
        <v/>
      </c>
      <c r="AA32">
        <f>HYPERLINK("https://klasma.github.io/Logging_0581/tillsyn/A 17466-2026 tillsynsbegäran.docx", "A 17466-2026")</f>
        <v/>
      </c>
      <c r="AB32">
        <f>HYPERLINK("https://klasma.github.io/Logging_0581/tillsynsmail/A 17466-2026 tillsynsbegäran mail.docx", "A 17466-2026")</f>
        <v/>
      </c>
      <c r="AC32">
        <f>HYPERLINK("https://klasma.github.io/Logging_0581/fåglar/A 17466-2026 prioriterade fågelarter.docx", "A 17466-2026")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46221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s="2" t="inlineStr">
        <is>
          <t>Entita
Nordfladdermus
Slåtterfibbla
Dvärgpipistrell
Större brunfladdermus</t>
        </is>
      </c>
      <c r="V33">
        <f>HYPERLINK("https://klasma.github.io/Logging_0581/artfynd/A 5941-2024 artfynd.xlsx", "A 5941-2024")</f>
        <v/>
      </c>
      <c r="W33">
        <f>HYPERLINK("https://klasma.github.io/Logging_0581/kartor/A 5941-2024 karta.png", "A 5941-2024")</f>
        <v/>
      </c>
      <c r="Y33">
        <f>HYPERLINK("https://klasma.github.io/Logging_0581/klagomål/A 5941-2024 FSC-klagomål.docx", "A 5941-2024")</f>
        <v/>
      </c>
      <c r="Z33">
        <f>HYPERLINK("https://klasma.github.io/Logging_0581/klagomålsmail/A 5941-2024 FSC-klagomål mail.docx", "A 5941-2024")</f>
        <v/>
      </c>
      <c r="AA33">
        <f>HYPERLINK("https://klasma.github.io/Logging_0581/tillsyn/A 5941-2024 tillsynsbegäran.docx", "A 5941-2024")</f>
        <v/>
      </c>
      <c r="AB33">
        <f>HYPERLINK("https://klasma.github.io/Logging_0581/tillsynsmail/A 5941-2024 tillsynsbegäran mail.docx", "A 5941-2024")</f>
        <v/>
      </c>
      <c r="AC33">
        <f>HYPERLINK("https://klasma.github.io/Logging_0581/fåglar/A 5941-2024 prioriterade fågelarter.docx", "A 5941-2024")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46221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s="2" t="inlineStr">
        <is>
          <t>Tofsmes
Fläcknycklar
Grönvit nattviol
Revlummer
Äkta lopplummer</t>
        </is>
      </c>
      <c r="V34">
        <f>HYPERLINK("https://klasma.github.io/Logging_0581/artfynd/A 19113-2023 artfynd.xlsx", "A 19113-2023")</f>
        <v/>
      </c>
      <c r="W34">
        <f>HYPERLINK("https://klasma.github.io/Logging_0581/kartor/A 19113-2023 karta.png", "A 19113-2023")</f>
        <v/>
      </c>
      <c r="Y34">
        <f>HYPERLINK("https://klasma.github.io/Logging_0581/klagomål/A 19113-2023 FSC-klagomål.docx", "A 19113-2023")</f>
        <v/>
      </c>
      <c r="Z34">
        <f>HYPERLINK("https://klasma.github.io/Logging_0581/klagomålsmail/A 19113-2023 FSC-klagomål mail.docx", "A 19113-2023")</f>
        <v/>
      </c>
      <c r="AA34">
        <f>HYPERLINK("https://klasma.github.io/Logging_0581/tillsyn/A 19113-2023 tillsynsbegäran.docx", "A 19113-2023")</f>
        <v/>
      </c>
      <c r="AB34">
        <f>HYPERLINK("https://klasma.github.io/Logging_0581/tillsynsmail/A 19113-2023 tillsynsbegäran mail.docx", "A 19113-2023")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46221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s="2" t="inlineStr">
        <is>
          <t>Sårläka
Guldlockmossa
Gulpudrad spiklav
Svart trolldruva
Blåsippa</t>
        </is>
      </c>
      <c r="V35">
        <f>HYPERLINK("https://klasma.github.io/Logging_0581/artfynd/A 54081-2025 artfynd.xlsx", "A 54081-2025")</f>
        <v/>
      </c>
      <c r="W35">
        <f>HYPERLINK("https://klasma.github.io/Logging_0581/kartor/A 54081-2025 karta.png", "A 54081-2025")</f>
        <v/>
      </c>
      <c r="Y35">
        <f>HYPERLINK("https://klasma.github.io/Logging_0581/klagomål/A 54081-2025 FSC-klagomål.docx", "A 54081-2025")</f>
        <v/>
      </c>
      <c r="Z35">
        <f>HYPERLINK("https://klasma.github.io/Logging_0581/klagomålsmail/A 54081-2025 FSC-klagomål mail.docx", "A 54081-2025")</f>
        <v/>
      </c>
      <c r="AA35">
        <f>HYPERLINK("https://klasma.github.io/Logging_0581/tillsyn/A 54081-2025 tillsynsbegäran.docx", "A 54081-2025")</f>
        <v/>
      </c>
      <c r="AB35">
        <f>HYPERLINK("https://klasma.github.io/Logging_0581/tillsynsmail/A 54081-2025 tillsynsbegäran mail.docx", "A 54081-2025")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46221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s="2" t="inlineStr">
        <is>
          <t>Reliktbock
Tjockfotad fingersvamp
Grovticka
Grön sköldmossa
Stubbspretmossa</t>
        </is>
      </c>
      <c r="V36">
        <f>HYPERLINK("https://klasma.github.io/Logging_0581/artfynd/A 21536-2025 artfynd.xlsx", "A 21536-2025")</f>
        <v/>
      </c>
      <c r="W36">
        <f>HYPERLINK("https://klasma.github.io/Logging_0581/kartor/A 21536-2025 karta.png", "A 21536-2025")</f>
        <v/>
      </c>
      <c r="Y36">
        <f>HYPERLINK("https://klasma.github.io/Logging_0581/klagomål/A 21536-2025 FSC-klagomål.docx", "A 21536-2025")</f>
        <v/>
      </c>
      <c r="Z36">
        <f>HYPERLINK("https://klasma.github.io/Logging_0581/klagomålsmail/A 21536-2025 FSC-klagomål mail.docx", "A 21536-2025")</f>
        <v/>
      </c>
      <c r="AA36">
        <f>HYPERLINK("https://klasma.github.io/Logging_0581/tillsyn/A 21536-2025 tillsynsbegäran.docx", "A 21536-2025")</f>
        <v/>
      </c>
      <c r="AB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46221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Y37">
        <f>HYPERLINK("https://klasma.github.io/Logging_0581/klagomål/S 1484-2025 FSC-klagomål.docx", "S 1484-2025")</f>
        <v/>
      </c>
      <c r="Z37">
        <f>HYPERLINK("https://klasma.github.io/Logging_0581/klagomålsmail/S 1484-2025 FSC-klagomål mail.docx", "S 1484-2025")</f>
        <v/>
      </c>
      <c r="AA37">
        <f>HYPERLINK("https://klasma.github.io/Logging_0581/tillsyn/S 1484-2025 tillsynsbegäran.docx", "S 1484-2025")</f>
        <v/>
      </c>
      <c r="AB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46221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Y38">
        <f>HYPERLINK("https://klasma.github.io/Logging_0581/klagomål/A 39136-2021 FSC-klagomål.docx", "A 39136-2021")</f>
        <v/>
      </c>
      <c r="Z38">
        <f>HYPERLINK("https://klasma.github.io/Logging_0581/klagomålsmail/A 39136-2021 FSC-klagomål mail.docx", "A 39136-2021")</f>
        <v/>
      </c>
      <c r="AA38">
        <f>HYPERLINK("https://klasma.github.io/Logging_0581/tillsyn/A 39136-2021 tillsynsbegäran.docx", "A 39136-2021")</f>
        <v/>
      </c>
      <c r="AB38">
        <f>HYPERLINK("https://klasma.github.io/Logging_0581/tillsynsmail/A 39136-2021 tillsynsbegäran mail.docx", "A 39136-2021")</f>
        <v/>
      </c>
      <c r="AC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46221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Aspfjädermossa
Ullticka
Vedtrappmossa
Grön sköldmossa</t>
        </is>
      </c>
      <c r="V39">
        <f>HYPERLINK("https://klasma.github.io/Logging_0581/artfynd/A 11741-2024 artfynd.xlsx", "A 11741-2024")</f>
        <v/>
      </c>
      <c r="W39">
        <f>HYPERLINK("https://klasma.github.io/Logging_0581/kartor/A 11741-2024 karta.png", "A 11741-2024")</f>
        <v/>
      </c>
      <c r="Y39">
        <f>HYPERLINK("https://klasma.github.io/Logging_0581/klagomål/A 11741-2024 FSC-klagomål.docx", "A 11741-2024")</f>
        <v/>
      </c>
      <c r="Z39">
        <f>HYPERLINK("https://klasma.github.io/Logging_0581/klagomålsmail/A 11741-2024 FSC-klagomål mail.docx", "A 11741-2024")</f>
        <v/>
      </c>
      <c r="AA39">
        <f>HYPERLINK("https://klasma.github.io/Logging_0581/tillsyn/A 11741-2024 tillsynsbegäran.docx", "A 11741-2024")</f>
        <v/>
      </c>
      <c r="AB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46221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Mörk kolflarnlav
Gullgröppa
Tjäder
Fläcknycklar</t>
        </is>
      </c>
      <c r="V40">
        <f>HYPERLINK("https://klasma.github.io/Logging_0581/artfynd/A 18267-2024 artfynd.xlsx", "A 18267-2024")</f>
        <v/>
      </c>
      <c r="W40">
        <f>HYPERLINK("https://klasma.github.io/Logging_0581/kartor/A 18267-2024 karta.png", "A 18267-2024")</f>
        <v/>
      </c>
      <c r="Y40">
        <f>HYPERLINK("https://klasma.github.io/Logging_0581/klagomål/A 18267-2024 FSC-klagomål.docx", "A 18267-2024")</f>
        <v/>
      </c>
      <c r="Z40">
        <f>HYPERLINK("https://klasma.github.io/Logging_0581/klagomålsmail/A 18267-2024 FSC-klagomål mail.docx", "A 18267-2024")</f>
        <v/>
      </c>
      <c r="AA40">
        <f>HYPERLINK("https://klasma.github.io/Logging_0581/tillsyn/A 18267-2024 tillsynsbegäran.docx", "A 18267-2024")</f>
        <v/>
      </c>
      <c r="AB40">
        <f>HYPERLINK("https://klasma.github.io/Logging_0581/tillsynsmail/A 18267-2024 tillsynsbegäran mail.docx", "A 18267-2024")</f>
        <v/>
      </c>
      <c r="AC40">
        <f>HYPERLINK("https://klasma.github.io/Logging_0581/fåglar/A 18267-2024 prioriterade fågelarter.docx", "A 18267-2024")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46221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s="2" t="inlineStr">
        <is>
          <t>Talltita
Vedskivlav
Grönpyrola
Blåsippa</t>
        </is>
      </c>
      <c r="V41">
        <f>HYPERLINK("https://klasma.github.io/Logging_0581/artfynd/A 31468-2025 artfynd.xlsx", "A 31468-2025")</f>
        <v/>
      </c>
      <c r="W41">
        <f>HYPERLINK("https://klasma.github.io/Logging_0581/kartor/A 31468-2025 karta.png", "A 31468-2025")</f>
        <v/>
      </c>
      <c r="Y41">
        <f>HYPERLINK("https://klasma.github.io/Logging_0581/klagomål/A 31468-2025 FSC-klagomål.docx", "A 31468-2025")</f>
        <v/>
      </c>
      <c r="Z41">
        <f>HYPERLINK("https://klasma.github.io/Logging_0581/klagomålsmail/A 31468-2025 FSC-klagomål mail.docx", "A 31468-2025")</f>
        <v/>
      </c>
      <c r="AA41">
        <f>HYPERLINK("https://klasma.github.io/Logging_0581/tillsyn/A 31468-2025 tillsynsbegäran.docx", "A 31468-2025")</f>
        <v/>
      </c>
      <c r="AB41">
        <f>HYPERLINK("https://klasma.github.io/Logging_0581/tillsynsmail/A 31468-2025 tillsynsbegäran mail.docx", "A 31468-2025")</f>
        <v/>
      </c>
      <c r="AC41">
        <f>HYPERLINK("https://klasma.github.io/Logging_0581/fåglar/A 31468-2025 prioriterade fågelarter.docx", "A 31468-2025")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46221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s="2" t="inlineStr">
        <is>
          <t>Vedskivlav
Blåmossa
Grönpyrola
Guldlockmossa</t>
        </is>
      </c>
      <c r="V42">
        <f>HYPERLINK("https://klasma.github.io/Logging_0581/artfynd/A 42434-2025 artfynd.xlsx", "A 42434-2025")</f>
        <v/>
      </c>
      <c r="W42">
        <f>HYPERLINK("https://klasma.github.io/Logging_0581/kartor/A 42434-2025 karta.png", "A 42434-2025")</f>
        <v/>
      </c>
      <c r="Y42">
        <f>HYPERLINK("https://klasma.github.io/Logging_0581/klagomål/A 42434-2025 FSC-klagomål.docx", "A 42434-2025")</f>
        <v/>
      </c>
      <c r="Z42">
        <f>HYPERLINK("https://klasma.github.io/Logging_0581/klagomålsmail/A 42434-2025 FSC-klagomål mail.docx", "A 42434-2025")</f>
        <v/>
      </c>
      <c r="AA42">
        <f>HYPERLINK("https://klasma.github.io/Logging_0581/tillsyn/A 42434-2025 tillsynsbegäran.docx", "A 42434-2025")</f>
        <v/>
      </c>
      <c r="AB42">
        <f>HYPERLINK("https://klasma.github.io/Logging_0581/tillsynsmail/A 42434-2025 tillsynsbegäran mail.docx", "A 42434-2025")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46221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Kalkkärrsgrynsnäcka
Majviva
Grönvit nattviol
Ängsnycklar</t>
        </is>
      </c>
      <c r="V43">
        <f>HYPERLINK("https://klasma.github.io/Logging_0581/artfynd/A 38599-2025 artfynd.xlsx", "A 38599-2025")</f>
        <v/>
      </c>
      <c r="W43">
        <f>HYPERLINK("https://klasma.github.io/Logging_0581/kartor/A 38599-2025 karta.png", "A 38599-2025")</f>
        <v/>
      </c>
      <c r="Y43">
        <f>HYPERLINK("https://klasma.github.io/Logging_0581/klagomål/A 38599-2025 FSC-klagomål.docx", "A 38599-2025")</f>
        <v/>
      </c>
      <c r="Z43">
        <f>HYPERLINK("https://klasma.github.io/Logging_0581/klagomålsmail/A 38599-2025 FSC-klagomål mail.docx", "A 38599-2025")</f>
        <v/>
      </c>
      <c r="AA43">
        <f>HYPERLINK("https://klasma.github.io/Logging_0581/tillsyn/A 38599-2025 tillsynsbegäran.docx", "A 38599-2025")</f>
        <v/>
      </c>
      <c r="AB43">
        <f>HYPERLINK("https://klasma.github.io/Logging_0581/tillsynsmail/A 38599-2025 tillsynsbegäran mail.docx", "A 38599-2025")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46221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s="2" t="inlineStr">
        <is>
          <t>Citronporing
Kandelabersvamp
Vit vedfingersvamp
Tibast</t>
        </is>
      </c>
      <c r="V44">
        <f>HYPERLINK("https://klasma.github.io/Logging_0581/artfynd/A 18491-2023 artfynd.xlsx", "A 18491-2023")</f>
        <v/>
      </c>
      <c r="W44">
        <f>HYPERLINK("https://klasma.github.io/Logging_0581/kartor/A 18491-2023 karta.png", "A 18491-2023")</f>
        <v/>
      </c>
      <c r="Y44">
        <f>HYPERLINK("https://klasma.github.io/Logging_0581/klagomål/A 18491-2023 FSC-klagomål.docx", "A 18491-2023")</f>
        <v/>
      </c>
      <c r="Z44">
        <f>HYPERLINK("https://klasma.github.io/Logging_0581/klagomålsmail/A 18491-2023 FSC-klagomål mail.docx", "A 18491-2023")</f>
        <v/>
      </c>
      <c r="AA44">
        <f>HYPERLINK("https://klasma.github.io/Logging_0581/tillsyn/A 18491-2023 tillsynsbegäran.docx", "A 18491-2023")</f>
        <v/>
      </c>
      <c r="AB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46221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s="2" t="inlineStr">
        <is>
          <t>Kattfotslav
Rynkskinn
Ullticka
Vedticka</t>
        </is>
      </c>
      <c r="V45">
        <f>HYPERLINK("https://klasma.github.io/Logging_0581/artfynd/A 18922-2025 artfynd.xlsx", "A 18922-2025")</f>
        <v/>
      </c>
      <c r="W45">
        <f>HYPERLINK("https://klasma.github.io/Logging_0581/kartor/A 18922-2025 karta.png", "A 18922-2025")</f>
        <v/>
      </c>
      <c r="Y45">
        <f>HYPERLINK("https://klasma.github.io/Logging_0581/klagomål/A 18922-2025 FSC-klagomål.docx", "A 18922-2025")</f>
        <v/>
      </c>
      <c r="Z45">
        <f>HYPERLINK("https://klasma.github.io/Logging_0581/klagomålsmail/A 18922-2025 FSC-klagomål mail.docx", "A 18922-2025")</f>
        <v/>
      </c>
      <c r="AA45">
        <f>HYPERLINK("https://klasma.github.io/Logging_0581/tillsyn/A 18922-2025 tillsynsbegäran.docx", "A 18922-2025")</f>
        <v/>
      </c>
      <c r="AB45">
        <f>HYPERLINK("https://klasma.github.io/Logging_0581/tillsynsmail/A 18922-2025 tillsynsbegäran mail.docx", "A 18922-2025")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46221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s="2" t="inlineStr">
        <is>
          <t>Knärot
Blåmossa
Grönpyrola
Spillkråka</t>
        </is>
      </c>
      <c r="V46">
        <f>HYPERLINK("https://klasma.github.io/Logging_0581/artfynd/A 17465-2026 artfynd.xlsx", "A 17465-2026")</f>
        <v/>
      </c>
      <c r="W46">
        <f>HYPERLINK("https://klasma.github.io/Logging_0581/kartor/A 17465-2026 karta.png", "A 17465-2026")</f>
        <v/>
      </c>
      <c r="X46">
        <f>HYPERLINK("https://klasma.github.io/Logging_0581/knärot/A 17465-2026 karta knärot.png", "A 17465-2026")</f>
        <v/>
      </c>
      <c r="Y46">
        <f>HYPERLINK("https://klasma.github.io/Logging_0581/klagomål/A 17465-2026 FSC-klagomål.docx", "A 17465-2026")</f>
        <v/>
      </c>
      <c r="Z46">
        <f>HYPERLINK("https://klasma.github.io/Logging_0581/klagomålsmail/A 17465-2026 FSC-klagomål mail.docx", "A 17465-2026")</f>
        <v/>
      </c>
      <c r="AA46">
        <f>HYPERLINK("https://klasma.github.io/Logging_0581/tillsyn/A 17465-2026 tillsynsbegäran.docx", "A 17465-2026")</f>
        <v/>
      </c>
      <c r="AB46">
        <f>HYPERLINK("https://klasma.github.io/Logging_0581/tillsynsmail/A 17465-2026 tillsynsbegäran mail.docx", "A 17465-2026")</f>
        <v/>
      </c>
      <c r="AC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46221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s="2" t="inlineStr">
        <is>
          <t>Bårdlav
Fällmossa
Hasselticka
Blåsippa</t>
        </is>
      </c>
      <c r="V47">
        <f>HYPERLINK("https://klasma.github.io/Logging_0581/artfynd/A 51538-2024 artfynd.xlsx", "A 51538-2024")</f>
        <v/>
      </c>
      <c r="W47">
        <f>HYPERLINK("https://klasma.github.io/Logging_0581/kartor/A 51538-2024 karta.png", "A 51538-2024")</f>
        <v/>
      </c>
      <c r="Y47">
        <f>HYPERLINK("https://klasma.github.io/Logging_0581/klagomål/A 51538-2024 FSC-klagomål.docx", "A 51538-2024")</f>
        <v/>
      </c>
      <c r="Z47">
        <f>HYPERLINK("https://klasma.github.io/Logging_0581/klagomålsmail/A 51538-2024 FSC-klagomål mail.docx", "A 51538-2024")</f>
        <v/>
      </c>
      <c r="AA47">
        <f>HYPERLINK("https://klasma.github.io/Logging_0581/tillsyn/A 51538-2024 tillsynsbegäran.docx", "A 51538-2024")</f>
        <v/>
      </c>
      <c r="AB47">
        <f>HYPERLINK("https://klasma.github.io/Logging_0581/tillsynsmail/A 51538-2024 tillsynsbegäran mail.docx", "A 51538-2024")</f>
        <v/>
      </c>
    </row>
    <row r="48" ht="15" customHeight="1">
      <c r="A48" t="inlineStr">
        <is>
          <t>A 21147-2026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46146</v>
      </c>
      <c r="E48" s="1" t="n">
        <v>46221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1.1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6</v>
      </c>
      <c r="U48" s="2" t="inlineStr">
        <is>
          <t>Vedskivlav
Fällmossa
Spillkråka
Tofsmes</t>
        </is>
      </c>
      <c r="V48">
        <f>HYPERLINK("https://klasma.github.io/Logging_0581/artfynd/A 21147-2026 artfynd.xlsx", "A 21147-2026")</f>
        <v/>
      </c>
      <c r="W48">
        <f>HYPERLINK("https://klasma.github.io/Logging_0581/kartor/A 21147-2026 karta.png", "A 21147-2026")</f>
        <v/>
      </c>
      <c r="Y48">
        <f>HYPERLINK("https://klasma.github.io/Logging_0581/klagomål/A 21147-2026 FSC-klagomål.docx", "A 21147-2026")</f>
        <v/>
      </c>
      <c r="Z48">
        <f>HYPERLINK("https://klasma.github.io/Logging_0581/klagomålsmail/A 21147-2026 FSC-klagomål mail.docx", "A 21147-2026")</f>
        <v/>
      </c>
      <c r="AA48">
        <f>HYPERLINK("https://klasma.github.io/Logging_0581/tillsyn/A 21147-2026 tillsynsbegäran.docx", "A 21147-2026")</f>
        <v/>
      </c>
      <c r="AB48">
        <f>HYPERLINK("https://klasma.github.io/Logging_0581/tillsynsmail/A 21147-2026 tillsynsbegäran mail.docx", "A 21147-2026")</f>
        <v/>
      </c>
      <c r="AC48">
        <f>HYPERLINK("https://klasma.github.io/Logging_0581/fåglar/A 21147-2026 prioriterade fågelarter.docx", "A 21147-2026")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46221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Vedskivlav
Blodticka
Blåmossa
Fläcknycklar</t>
        </is>
      </c>
      <c r="V49">
        <f>HYPERLINK("https://klasma.github.io/Logging_0581/artfynd/A 31251-2026 artfynd.xlsx", "A 31251-2026")</f>
        <v/>
      </c>
      <c r="W49">
        <f>HYPERLINK("https://klasma.github.io/Logging_0581/kartor/A 31251-2026 karta.png", "A 31251-2026")</f>
        <v/>
      </c>
      <c r="Y49">
        <f>HYPERLINK("https://klasma.github.io/Logging_0581/klagomål/A 31251-2026 FSC-klagomål.docx", "A 31251-2026")</f>
        <v/>
      </c>
      <c r="Z49">
        <f>HYPERLINK("https://klasma.github.io/Logging_0581/klagomålsmail/A 31251-2026 FSC-klagomål mail.docx", "A 31251-2026")</f>
        <v/>
      </c>
      <c r="AA49">
        <f>HYPERLINK("https://klasma.github.io/Logging_0581/tillsyn/A 31251-2026 tillsynsbegäran.docx", "A 31251-2026")</f>
        <v/>
      </c>
      <c r="AB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46221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s="2" t="inlineStr">
        <is>
          <t>Flagellkvastmossa
Guldlockmossa
Rostfläck
Vedticka</t>
        </is>
      </c>
      <c r="V50">
        <f>HYPERLINK("https://klasma.github.io/Logging_0581/artfynd/A 52576-2025 artfynd.xlsx", "A 52576-2025")</f>
        <v/>
      </c>
      <c r="W50">
        <f>HYPERLINK("https://klasma.github.io/Logging_0581/kartor/A 52576-2025 karta.png", "A 52576-2025")</f>
        <v/>
      </c>
      <c r="Y50">
        <f>HYPERLINK("https://klasma.github.io/Logging_0581/klagomål/A 52576-2025 FSC-klagomål.docx", "A 52576-2025")</f>
        <v/>
      </c>
      <c r="Z50">
        <f>HYPERLINK("https://klasma.github.io/Logging_0581/klagomålsmail/A 52576-2025 FSC-klagomål mail.docx", "A 52576-2025")</f>
        <v/>
      </c>
      <c r="AA50">
        <f>HYPERLINK("https://klasma.github.io/Logging_0581/tillsyn/A 52576-2025 tillsynsbegäran.docx", "A 52576-2025")</f>
        <v/>
      </c>
      <c r="AB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s="2" t="inlineStr">
        <is>
          <t>Grönfink
Skogsklocka
Blåsippa</t>
        </is>
      </c>
      <c r="V51">
        <f>HYPERLINK("https://klasma.github.io/Logging_0581/artfynd/A 10282-2022 artfynd.xlsx", "A 10282-2022")</f>
        <v/>
      </c>
      <c r="W51">
        <f>HYPERLINK("https://klasma.github.io/Logging_0581/kartor/A 10282-2022 karta.png", "A 10282-2022")</f>
        <v/>
      </c>
      <c r="Y51">
        <f>HYPERLINK("https://klasma.github.io/Logging_0581/klagomål/A 10282-2022 FSC-klagomål.docx", "A 10282-2022")</f>
        <v/>
      </c>
      <c r="Z51">
        <f>HYPERLINK("https://klasma.github.io/Logging_0581/klagomålsmail/A 10282-2022 FSC-klagomål mail.docx", "A 10282-2022")</f>
        <v/>
      </c>
      <c r="AA51">
        <f>HYPERLINK("https://klasma.github.io/Logging_0581/tillsyn/A 10282-2022 tillsynsbegäran.docx", "A 10282-2022")</f>
        <v/>
      </c>
      <c r="AB51">
        <f>HYPERLINK("https://klasma.github.io/Logging_0581/tillsynsmail/A 10282-2022 tillsynsbegäran mail.docx", "A 10282-2022")</f>
        <v/>
      </c>
      <c r="AC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46221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Tallticka
Blomkålssvamp
Kransmossa</t>
        </is>
      </c>
      <c r="V52">
        <f>HYPERLINK("https://klasma.github.io/Logging_0581/artfynd/A 60171-2023 artfynd.xlsx", "A 60171-2023")</f>
        <v/>
      </c>
      <c r="W52">
        <f>HYPERLINK("https://klasma.github.io/Logging_0581/kartor/A 60171-2023 karta.png", "A 60171-2023")</f>
        <v/>
      </c>
      <c r="Y52">
        <f>HYPERLINK("https://klasma.github.io/Logging_0581/klagomål/A 60171-2023 FSC-klagomål.docx", "A 60171-2023")</f>
        <v/>
      </c>
      <c r="Z52">
        <f>HYPERLINK("https://klasma.github.io/Logging_0581/klagomålsmail/A 60171-2023 FSC-klagomål mail.docx", "A 60171-2023")</f>
        <v/>
      </c>
      <c r="AA52">
        <f>HYPERLINK("https://klasma.github.io/Logging_0581/tillsyn/A 60171-2023 tillsynsbegäran.docx", "A 60171-2023")</f>
        <v/>
      </c>
      <c r="AB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46221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s="2" t="inlineStr">
        <is>
          <t>Vedskivlav
Flagellkvastmossa
Mindre märgborre</t>
        </is>
      </c>
      <c r="V53">
        <f>HYPERLINK("https://klasma.github.io/Logging_0581/artfynd/A 45699-2024 artfynd.xlsx", "A 45699-2024")</f>
        <v/>
      </c>
      <c r="W53">
        <f>HYPERLINK("https://klasma.github.io/Logging_0581/kartor/A 45699-2024 karta.png", "A 45699-2024")</f>
        <v/>
      </c>
      <c r="Y53">
        <f>HYPERLINK("https://klasma.github.io/Logging_0581/klagomål/A 45699-2024 FSC-klagomål.docx", "A 45699-2024")</f>
        <v/>
      </c>
      <c r="Z53">
        <f>HYPERLINK("https://klasma.github.io/Logging_0581/klagomålsmail/A 45699-2024 FSC-klagomål mail.docx", "A 45699-2024")</f>
        <v/>
      </c>
      <c r="AA53">
        <f>HYPERLINK("https://klasma.github.io/Logging_0581/tillsyn/A 45699-2024 tillsynsbegäran.docx", "A 45699-2024")</f>
        <v/>
      </c>
      <c r="AB53">
        <f>HYPERLINK("https://klasma.github.io/Logging_0581/tillsynsmail/A 45699-2024 tillsynsbegäran mail.docx", "A 45699-2024")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46221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s="2" t="inlineStr">
        <is>
          <t>Tallticka
Vedskivlav
Blåmossa</t>
        </is>
      </c>
      <c r="V54">
        <f>HYPERLINK("https://klasma.github.io/Logging_0581/artfynd/A 19973-2025 artfynd.xlsx", "A 19973-2025")</f>
        <v/>
      </c>
      <c r="W54">
        <f>HYPERLINK("https://klasma.github.io/Logging_0581/kartor/A 19973-2025 karta.png", "A 19973-2025")</f>
        <v/>
      </c>
      <c r="Y54">
        <f>HYPERLINK("https://klasma.github.io/Logging_0581/klagomål/A 19973-2025 FSC-klagomål.docx", "A 19973-2025")</f>
        <v/>
      </c>
      <c r="Z54">
        <f>HYPERLINK("https://klasma.github.io/Logging_0581/klagomålsmail/A 19973-2025 FSC-klagomål mail.docx", "A 19973-2025")</f>
        <v/>
      </c>
      <c r="AA54">
        <f>HYPERLINK("https://klasma.github.io/Logging_0581/tillsyn/A 19973-2025 tillsynsbegäran.docx", "A 19973-2025")</f>
        <v/>
      </c>
      <c r="AB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46221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s="2" t="inlineStr">
        <is>
          <t>Motaggsvamp
Vedskivlav
Fällmossa</t>
        </is>
      </c>
      <c r="V55">
        <f>HYPERLINK("https://klasma.github.io/Logging_0581/artfynd/A 44677-2025 artfynd.xlsx", "A 44677-2025")</f>
        <v/>
      </c>
      <c r="W55">
        <f>HYPERLINK("https://klasma.github.io/Logging_0581/kartor/A 44677-2025 karta.png", "A 44677-2025")</f>
        <v/>
      </c>
      <c r="Y55">
        <f>HYPERLINK("https://klasma.github.io/Logging_0581/klagomål/A 44677-2025 FSC-klagomål.docx", "A 44677-2025")</f>
        <v/>
      </c>
      <c r="Z55">
        <f>HYPERLINK("https://klasma.github.io/Logging_0581/klagomålsmail/A 44677-2025 FSC-klagomål mail.docx", "A 44677-2025")</f>
        <v/>
      </c>
      <c r="AA55">
        <f>HYPERLINK("https://klasma.github.io/Logging_0581/tillsyn/A 44677-2025 tillsynsbegäran.docx", "A 44677-2025")</f>
        <v/>
      </c>
      <c r="AB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46221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s="2" t="inlineStr">
        <is>
          <t>Nordfladdermus
Dvärgpipistrell
Vattenfladdermus</t>
        </is>
      </c>
      <c r="V56">
        <f>HYPERLINK("https://klasma.github.io/Logging_0581/artfynd/A 861-2023 artfynd.xlsx", "A 861-2023")</f>
        <v/>
      </c>
      <c r="W56">
        <f>HYPERLINK("https://klasma.github.io/Logging_0581/kartor/A 861-2023 karta.png", "A 861-2023")</f>
        <v/>
      </c>
      <c r="Y56">
        <f>HYPERLINK("https://klasma.github.io/Logging_0581/klagomål/A 861-2023 FSC-klagomål.docx", "A 861-2023")</f>
        <v/>
      </c>
      <c r="Z56">
        <f>HYPERLINK("https://klasma.github.io/Logging_0581/klagomålsmail/A 861-2023 FSC-klagomål mail.docx", "A 861-2023")</f>
        <v/>
      </c>
      <c r="AA56">
        <f>HYPERLINK("https://klasma.github.io/Logging_0581/tillsyn/A 861-2023 tillsynsbegäran.docx", "A 861-2023")</f>
        <v/>
      </c>
      <c r="AB56">
        <f>HYPERLINK("https://klasma.github.io/Logging_0581/tillsynsmail/A 861-2023 tillsynsbegäran mail.docx", "A 861-2023")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46221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Dropptaggsvamp
Vedskivlav
Tjäder</t>
        </is>
      </c>
      <c r="V57">
        <f>HYPERLINK("https://klasma.github.io/Logging_0581/artfynd/A 35736-2025 artfynd.xlsx", "A 35736-2025")</f>
        <v/>
      </c>
      <c r="W57">
        <f>HYPERLINK("https://klasma.github.io/Logging_0581/kartor/A 35736-2025 karta.png", "A 35736-2025")</f>
        <v/>
      </c>
      <c r="Y57">
        <f>HYPERLINK("https://klasma.github.io/Logging_0581/klagomål/A 35736-2025 FSC-klagomål.docx", "A 35736-2025")</f>
        <v/>
      </c>
      <c r="Z57">
        <f>HYPERLINK("https://klasma.github.io/Logging_0581/klagomålsmail/A 35736-2025 FSC-klagomål mail.docx", "A 35736-2025")</f>
        <v/>
      </c>
      <c r="AA57">
        <f>HYPERLINK("https://klasma.github.io/Logging_0581/tillsyn/A 35736-2025 tillsynsbegäran.docx", "A 35736-2025")</f>
        <v/>
      </c>
      <c r="AB57">
        <f>HYPERLINK("https://klasma.github.io/Logging_0581/tillsynsmail/A 35736-2025 tillsynsbegäran mail.docx", "A 35736-2025")</f>
        <v/>
      </c>
      <c r="AC57">
        <f>HYPERLINK("https://klasma.github.io/Logging_0581/fåglar/A 35736-2025 prioriterade fågelarter.docx", "A 35736-2025")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46221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s="2" t="inlineStr">
        <is>
          <t>Dropptaggsvamp
Blomkålssvamp
Kornknutmossa</t>
        </is>
      </c>
      <c r="V58">
        <f>HYPERLINK("https://klasma.github.io/Logging_0581/artfynd/A 11757-2025 artfynd.xlsx", "A 11757-2025")</f>
        <v/>
      </c>
      <c r="W58">
        <f>HYPERLINK("https://klasma.github.io/Logging_0581/kartor/A 11757-2025 karta.png", "A 11757-2025")</f>
        <v/>
      </c>
      <c r="Y58">
        <f>HYPERLINK("https://klasma.github.io/Logging_0581/klagomål/A 11757-2025 FSC-klagomål.docx", "A 11757-2025")</f>
        <v/>
      </c>
      <c r="Z58">
        <f>HYPERLINK("https://klasma.github.io/Logging_0581/klagomålsmail/A 11757-2025 FSC-klagomål mail.docx", "A 11757-2025")</f>
        <v/>
      </c>
      <c r="AA58">
        <f>HYPERLINK("https://klasma.github.io/Logging_0581/tillsyn/A 11757-2025 tillsynsbegäran.docx", "A 11757-2025")</f>
        <v/>
      </c>
      <c r="AB58">
        <f>HYPERLINK("https://klasma.github.io/Logging_0581/tillsynsmail/A 11757-2025 tillsynsbegäran mail.docx", "A 11757-2025")</f>
        <v/>
      </c>
    </row>
    <row r="59" ht="15" customHeight="1">
      <c r="A59" t="inlineStr">
        <is>
          <t>A 12692-2025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46221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6.1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s="2" t="inlineStr">
        <is>
          <t>Dvärgbägarlav
Vedskivlav
Mattlummer</t>
        </is>
      </c>
      <c r="V59">
        <f>HYPERLINK("https://klasma.github.io/Logging_0581/artfynd/A 12692-2025 artfynd.xlsx", "A 12692-2025")</f>
        <v/>
      </c>
      <c r="W59">
        <f>HYPERLINK("https://klasma.github.io/Logging_0581/kartor/A 12692-2025 karta.png", "A 12692-2025")</f>
        <v/>
      </c>
      <c r="Y59">
        <f>HYPERLINK("https://klasma.github.io/Logging_0581/klagomål/A 12692-2025 FSC-klagomål.docx", "A 12692-2025")</f>
        <v/>
      </c>
      <c r="Z59">
        <f>HYPERLINK("https://klasma.github.io/Logging_0581/klagomålsmail/A 12692-2025 FSC-klagomål mail.docx", "A 12692-2025")</f>
        <v/>
      </c>
      <c r="AA59">
        <f>HYPERLINK("https://klasma.github.io/Logging_0581/tillsyn/A 12692-2025 tillsynsbegäran.docx", "A 12692-2025")</f>
        <v/>
      </c>
      <c r="AB59">
        <f>HYPERLINK("https://klasma.github.io/Logging_0581/tillsynsmail/A 12692-2025 tillsynsbegäran mail.docx", "A 12692-2025")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46221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s="2" t="inlineStr">
        <is>
          <t>Silltrut
Vinterhämpling
Sångsvan</t>
        </is>
      </c>
      <c r="V60">
        <f>HYPERLINK("https://klasma.github.io/Logging_0581/artfynd/A 7316-2025 artfynd.xlsx", "A 7316-2025")</f>
        <v/>
      </c>
      <c r="W60">
        <f>HYPERLINK("https://klasma.github.io/Logging_0581/kartor/A 7316-2025 karta.png", "A 7316-2025")</f>
        <v/>
      </c>
      <c r="Y60">
        <f>HYPERLINK("https://klasma.github.io/Logging_0581/klagomål/A 7316-2025 FSC-klagomål.docx", "A 7316-2025")</f>
        <v/>
      </c>
      <c r="Z60">
        <f>HYPERLINK("https://klasma.github.io/Logging_0581/klagomålsmail/A 7316-2025 FSC-klagomål mail.docx", "A 7316-2025")</f>
        <v/>
      </c>
      <c r="AA60">
        <f>HYPERLINK("https://klasma.github.io/Logging_0581/tillsyn/A 7316-2025 tillsynsbegäran.docx", "A 7316-2025")</f>
        <v/>
      </c>
      <c r="AB60">
        <f>HYPERLINK("https://klasma.github.io/Logging_0581/tillsynsmail/A 7316-2025 tillsynsbegäran mail.docx", "A 7316-2025")</f>
        <v/>
      </c>
      <c r="AC60">
        <f>HYPERLINK("https://klasma.github.io/Logging_0581/fåglar/A 7316-2025 prioriterade fågelarter.docx", "A 7316-2025")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46221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s="2" t="inlineStr">
        <is>
          <t>Slåtterfibbla
Svinrot
Mattlummer</t>
        </is>
      </c>
      <c r="V61">
        <f>HYPERLINK("https://klasma.github.io/Logging_0581/artfynd/A 28062-2022 artfynd.xlsx", "A 28062-2022")</f>
        <v/>
      </c>
      <c r="W61">
        <f>HYPERLINK("https://klasma.github.io/Logging_0581/kartor/A 28062-2022 karta.png", "A 28062-2022")</f>
        <v/>
      </c>
      <c r="Y61">
        <f>HYPERLINK("https://klasma.github.io/Logging_0581/klagomål/A 28062-2022 FSC-klagomål.docx", "A 28062-2022")</f>
        <v/>
      </c>
      <c r="Z61">
        <f>HYPERLINK("https://klasma.github.io/Logging_0581/klagomålsmail/A 28062-2022 FSC-klagomål mail.docx", "A 28062-2022")</f>
        <v/>
      </c>
      <c r="AA61">
        <f>HYPERLINK("https://klasma.github.io/Logging_0581/tillsyn/A 28062-2022 tillsynsbegäran.docx", "A 28062-2022")</f>
        <v/>
      </c>
      <c r="AB61">
        <f>HYPERLINK("https://klasma.github.io/Logging_0581/tillsynsmail/A 28062-2022 tillsynsbegäran mail.docx", "A 28062-2022")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46221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Skogsalm
Vanlig backsmörblomma
Fläcknycklar</t>
        </is>
      </c>
      <c r="V62">
        <f>HYPERLINK("https://klasma.github.io/Logging_0581/artfynd/A 14646-2023 artfynd.xlsx", "A 14646-2023")</f>
        <v/>
      </c>
      <c r="W62">
        <f>HYPERLINK("https://klasma.github.io/Logging_0581/kartor/A 14646-2023 karta.png", "A 14646-2023")</f>
        <v/>
      </c>
      <c r="Y62">
        <f>HYPERLINK("https://klasma.github.io/Logging_0581/klagomål/A 14646-2023 FSC-klagomål.docx", "A 14646-2023")</f>
        <v/>
      </c>
      <c r="Z62">
        <f>HYPERLINK("https://klasma.github.io/Logging_0581/klagomålsmail/A 14646-2023 FSC-klagomål mail.docx", "A 14646-2023")</f>
        <v/>
      </c>
      <c r="AA62">
        <f>HYPERLINK("https://klasma.github.io/Logging_0581/tillsyn/A 14646-2023 tillsynsbegäran.docx", "A 14646-2023")</f>
        <v/>
      </c>
      <c r="AB62">
        <f>HYPERLINK("https://klasma.github.io/Logging_0581/tillsynsmail/A 14646-2023 tillsynsbegäran mail.docx", "A 14646-2023")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46221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s="2" t="inlineStr">
        <is>
          <t>Grönpyrola
Plattlummer
Äkta lopplummer</t>
        </is>
      </c>
      <c r="V63">
        <f>HYPERLINK("https://klasma.github.io/Logging_0581/artfynd/A 34439-2023 artfynd.xlsx", "A 34439-2023")</f>
        <v/>
      </c>
      <c r="W63">
        <f>HYPERLINK("https://klasma.github.io/Logging_0581/kartor/A 34439-2023 karta.png", "A 34439-2023")</f>
        <v/>
      </c>
      <c r="X63">
        <f>HYPERLINK("https://klasma.github.io/Logging_0581/knärot/A 34439-2023 karta knärot.png", "A 34439-2023")</f>
        <v/>
      </c>
      <c r="Y63">
        <f>HYPERLINK("https://klasma.github.io/Logging_0581/klagomål/A 34439-2023 FSC-klagomål.docx", "A 34439-2023")</f>
        <v/>
      </c>
      <c r="Z63">
        <f>HYPERLINK("https://klasma.github.io/Logging_0581/klagomålsmail/A 34439-2023 FSC-klagomål mail.docx", "A 34439-2023")</f>
        <v/>
      </c>
      <c r="AA63">
        <f>HYPERLINK("https://klasma.github.io/Logging_0581/tillsyn/A 34439-2023 tillsynsbegäran.docx", "A 34439-2023")</f>
        <v/>
      </c>
      <c r="AB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46221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s="2" t="inlineStr">
        <is>
          <t>Dropptaggsvamp
Dvärgbägarlav
Bronshjon</t>
        </is>
      </c>
      <c r="V64">
        <f>HYPERLINK("https://klasma.github.io/Logging_0581/artfynd/A 2484-2026 artfynd.xlsx", "A 2484-2026")</f>
        <v/>
      </c>
      <c r="W64">
        <f>HYPERLINK("https://klasma.github.io/Logging_0581/kartor/A 2484-2026 karta.png", "A 2484-2026")</f>
        <v/>
      </c>
      <c r="Y64">
        <f>HYPERLINK("https://klasma.github.io/Logging_0581/klagomål/A 2484-2026 FSC-klagomål.docx", "A 2484-2026")</f>
        <v/>
      </c>
      <c r="Z64">
        <f>HYPERLINK("https://klasma.github.io/Logging_0581/klagomålsmail/A 2484-2026 FSC-klagomål mail.docx", "A 2484-2026")</f>
        <v/>
      </c>
      <c r="AA64">
        <f>HYPERLINK("https://klasma.github.io/Logging_0581/tillsyn/A 2484-2026 tillsynsbegäran.docx", "A 2484-2026")</f>
        <v/>
      </c>
      <c r="AB64">
        <f>HYPERLINK("https://klasma.github.io/Logging_0581/tillsynsmail/A 2484-2026 tillsynsbegäran mail.docx", "A 2484-2026")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46221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s="2" t="inlineStr">
        <is>
          <t>Tallticka
Bronshjon
Blåsippa</t>
        </is>
      </c>
      <c r="V65">
        <f>HYPERLINK("https://klasma.github.io/Logging_0581/artfynd/A 8468-2023 artfynd.xlsx", "A 8468-2023")</f>
        <v/>
      </c>
      <c r="W65">
        <f>HYPERLINK("https://klasma.github.io/Logging_0581/kartor/A 8468-2023 karta.png", "A 8468-2023")</f>
        <v/>
      </c>
      <c r="Y65">
        <f>HYPERLINK("https://klasma.github.io/Logging_0581/klagomål/A 8468-2023 FSC-klagomål.docx", "A 8468-2023")</f>
        <v/>
      </c>
      <c r="Z65">
        <f>HYPERLINK("https://klasma.github.io/Logging_0581/klagomålsmail/A 8468-2023 FSC-klagomål mail.docx", "A 8468-2023")</f>
        <v/>
      </c>
      <c r="AA65">
        <f>HYPERLINK("https://klasma.github.io/Logging_0581/tillsyn/A 8468-2023 tillsynsbegäran.docx", "A 8468-2023")</f>
        <v/>
      </c>
      <c r="AB65">
        <f>HYPERLINK("https://klasma.github.io/Logging_0581/tillsynsmail/A 8468-2023 tillsynsbegäran mail.docx", "A 8468-2023")</f>
        <v/>
      </c>
    </row>
    <row r="66" ht="15" customHeight="1">
      <c r="A66" t="inlineStr">
        <is>
          <t>A 19989-2026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46221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4.6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s="2" t="inlineStr">
        <is>
          <t>Ullticka
Hasselticka
Spillkråka</t>
        </is>
      </c>
      <c r="V66">
        <f>HYPERLINK("https://klasma.github.io/Logging_0581/artfynd/A 19989-2026 artfynd.xlsx", "A 19989-2026")</f>
        <v/>
      </c>
      <c r="W66">
        <f>HYPERLINK("https://klasma.github.io/Logging_0581/kartor/A 19989-2026 karta.png", "A 19989-2026")</f>
        <v/>
      </c>
      <c r="Y66">
        <f>HYPERLINK("https://klasma.github.io/Logging_0581/klagomål/A 19989-2026 FSC-klagomål.docx", "A 19989-2026")</f>
        <v/>
      </c>
      <c r="Z66">
        <f>HYPERLINK("https://klasma.github.io/Logging_0581/klagomålsmail/A 19989-2026 FSC-klagomål mail.docx", "A 19989-2026")</f>
        <v/>
      </c>
      <c r="AA66">
        <f>HYPERLINK("https://klasma.github.io/Logging_0581/tillsyn/A 19989-2026 tillsynsbegäran.docx", "A 19989-2026")</f>
        <v/>
      </c>
      <c r="AB66">
        <f>HYPERLINK("https://klasma.github.io/Logging_0581/tillsynsmail/A 19989-2026 tillsynsbegäran mail.docx", "A 19989-2026")</f>
        <v/>
      </c>
      <c r="AC66">
        <f>HYPERLINK("https://klasma.github.io/Logging_0581/fåglar/A 19989-2026 prioriterade fågelarter.docx", "A 19989-2026")</f>
        <v/>
      </c>
    </row>
    <row r="67" ht="15" customHeight="1">
      <c r="A67" t="inlineStr">
        <is>
          <t>A 19806-2026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46135</v>
      </c>
      <c r="E67" s="1" t="n">
        <v>46221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s="2" t="inlineStr">
        <is>
          <t>Ullticka
Blåmossa
Kungsfågel</t>
        </is>
      </c>
      <c r="V67">
        <f>HYPERLINK("https://klasma.github.io/Logging_0581/artfynd/A 19806-2026 artfynd.xlsx", "A 19806-2026")</f>
        <v/>
      </c>
      <c r="W67">
        <f>HYPERLINK("https://klasma.github.io/Logging_0581/kartor/A 19806-2026 karta.png", "A 19806-2026")</f>
        <v/>
      </c>
      <c r="Y67">
        <f>HYPERLINK("https://klasma.github.io/Logging_0581/klagomål/A 19806-2026 FSC-klagomål.docx", "A 19806-2026")</f>
        <v/>
      </c>
      <c r="Z67">
        <f>HYPERLINK("https://klasma.github.io/Logging_0581/klagomålsmail/A 19806-2026 FSC-klagomål mail.docx", "A 19806-2026")</f>
        <v/>
      </c>
      <c r="AA67">
        <f>HYPERLINK("https://klasma.github.io/Logging_0581/tillsyn/A 19806-2026 tillsynsbegäran.docx", "A 19806-2026")</f>
        <v/>
      </c>
      <c r="AB67">
        <f>HYPERLINK("https://klasma.github.io/Logging_0581/tillsynsmail/A 19806-2026 tillsynsbegäran mail.docx", "A 19806-2026")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Motaggsvamp
Vedskivlav
Blomkålssvamp</t>
        </is>
      </c>
      <c r="V68">
        <f>HYPERLINK("https://klasma.github.io/Logging_0581/artfynd/A 15183-2023 artfynd.xlsx", "A 15183-2023")</f>
        <v/>
      </c>
      <c r="W68">
        <f>HYPERLINK("https://klasma.github.io/Logging_0581/kartor/A 15183-2023 karta.png", "A 15183-2023")</f>
        <v/>
      </c>
      <c r="Y68">
        <f>HYPERLINK("https://klasma.github.io/Logging_0581/klagomål/A 15183-2023 FSC-klagomål.docx", "A 15183-2023")</f>
        <v/>
      </c>
      <c r="Z68">
        <f>HYPERLINK("https://klasma.github.io/Logging_0581/klagomålsmail/A 15183-2023 FSC-klagomål mail.docx", "A 15183-2023")</f>
        <v/>
      </c>
      <c r="AA68">
        <f>HYPERLINK("https://klasma.github.io/Logging_0581/tillsyn/A 15183-2023 tillsynsbegäran.docx", "A 15183-2023")</f>
        <v/>
      </c>
      <c r="AB68">
        <f>HYPERLINK("https://klasma.github.io/Logging_0581/tillsynsmail/A 15183-2023 tillsynsbegäran mail.docx", "A 15183-2023")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s="2" t="inlineStr">
        <is>
          <t>Garnlav
Tallticka
Jättesvampmal</t>
        </is>
      </c>
      <c r="V69">
        <f>HYPERLINK("https://klasma.github.io/Logging_0581/artfynd/A 9512-2023 artfynd.xlsx", "A 9512-2023")</f>
        <v/>
      </c>
      <c r="W69">
        <f>HYPERLINK("https://klasma.github.io/Logging_0581/kartor/A 9512-2023 karta.png", "A 9512-2023")</f>
        <v/>
      </c>
      <c r="Y69">
        <f>HYPERLINK("https://klasma.github.io/Logging_0581/klagomål/A 9512-2023 FSC-klagomål.docx", "A 9512-2023")</f>
        <v/>
      </c>
      <c r="Z69">
        <f>HYPERLINK("https://klasma.github.io/Logging_0581/klagomålsmail/A 9512-2023 FSC-klagomål mail.docx", "A 9512-2023")</f>
        <v/>
      </c>
      <c r="AA69">
        <f>HYPERLINK("https://klasma.github.io/Logging_0581/tillsyn/A 9512-2023 tillsynsbegäran.docx", "A 9512-2023")</f>
        <v/>
      </c>
      <c r="AB69">
        <f>HYPERLINK("https://klasma.github.io/Logging_0581/tillsynsmail/A 9512-2023 tillsynsbegäran mail.docx", "A 9512-2023")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46221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s="2" t="inlineStr">
        <is>
          <t>Crepis tectorum subsp. tectorum
Grönsångare
Tallticka</t>
        </is>
      </c>
      <c r="V70">
        <f>HYPERLINK("https://klasma.github.io/Logging_0581/artfynd/A 23969-2025 artfynd.xlsx", "A 23969-2025")</f>
        <v/>
      </c>
      <c r="W70">
        <f>HYPERLINK("https://klasma.github.io/Logging_0581/kartor/A 23969-2025 karta.png", "A 23969-2025")</f>
        <v/>
      </c>
      <c r="Y70">
        <f>HYPERLINK("https://klasma.github.io/Logging_0581/klagomål/A 23969-2025 FSC-klagomål.docx", "A 23969-2025")</f>
        <v/>
      </c>
      <c r="Z70">
        <f>HYPERLINK("https://klasma.github.io/Logging_0581/klagomålsmail/A 23969-2025 FSC-klagomål mail.docx", "A 23969-2025")</f>
        <v/>
      </c>
      <c r="AA70">
        <f>HYPERLINK("https://klasma.github.io/Logging_0581/tillsyn/A 23969-2025 tillsynsbegäran.docx", "A 23969-2025")</f>
        <v/>
      </c>
      <c r="AB70">
        <f>HYPERLINK("https://klasma.github.io/Logging_0581/tillsynsmail/A 23969-2025 tillsynsbegäran mail.docx", "A 23969-2025")</f>
        <v/>
      </c>
      <c r="AC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46221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Mindre tåtelsmygare
Vitfläckig guldvinge</t>
        </is>
      </c>
      <c r="V71">
        <f>HYPERLINK("https://klasma.github.io/Logging_0581/artfynd/A 67646-2021 artfynd.xlsx", "A 67646-2021")</f>
        <v/>
      </c>
      <c r="W71">
        <f>HYPERLINK("https://klasma.github.io/Logging_0581/kartor/A 67646-2021 karta.png", "A 67646-2021")</f>
        <v/>
      </c>
      <c r="Y71">
        <f>HYPERLINK("https://klasma.github.io/Logging_0581/klagomål/A 67646-2021 FSC-klagomål.docx", "A 67646-2021")</f>
        <v/>
      </c>
      <c r="Z71">
        <f>HYPERLINK("https://klasma.github.io/Logging_0581/klagomålsmail/A 67646-2021 FSC-klagomål mail.docx", "A 67646-2021")</f>
        <v/>
      </c>
      <c r="AA71">
        <f>HYPERLINK("https://klasma.github.io/Logging_0581/tillsyn/A 67646-2021 tillsynsbegäran.docx", "A 67646-2021")</f>
        <v/>
      </c>
      <c r="AB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46221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s="2" t="inlineStr">
        <is>
          <t>Blåsippa
Mattlummer</t>
        </is>
      </c>
      <c r="V72">
        <f>HYPERLINK("https://klasma.github.io/Logging_0581/artfynd/A 74113-2021 artfynd.xlsx", "A 74113-2021")</f>
        <v/>
      </c>
      <c r="W72">
        <f>HYPERLINK("https://klasma.github.io/Logging_0581/kartor/A 74113-2021 karta.png", "A 74113-2021")</f>
        <v/>
      </c>
      <c r="Y72">
        <f>HYPERLINK("https://klasma.github.io/Logging_0581/klagomål/A 74113-2021 FSC-klagomål.docx", "A 74113-2021")</f>
        <v/>
      </c>
      <c r="Z72">
        <f>HYPERLINK("https://klasma.github.io/Logging_0581/klagomålsmail/A 74113-2021 FSC-klagomål mail.docx", "A 74113-2021")</f>
        <v/>
      </c>
      <c r="AA72">
        <f>HYPERLINK("https://klasma.github.io/Logging_0581/tillsyn/A 74113-2021 tillsynsbegäran.docx", "A 74113-2021")</f>
        <v/>
      </c>
      <c r="AB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46221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Sotlav</t>
        </is>
      </c>
      <c r="V73">
        <f>HYPERLINK("https://klasma.github.io/Logging_0581/artfynd/A 33659-2022 artfynd.xlsx", "A 33659-2022")</f>
        <v/>
      </c>
      <c r="W73">
        <f>HYPERLINK("https://klasma.github.io/Logging_0581/kartor/A 33659-2022 karta.png", "A 33659-2022")</f>
        <v/>
      </c>
      <c r="Y73">
        <f>HYPERLINK("https://klasma.github.io/Logging_0581/klagomål/A 33659-2022 FSC-klagomål.docx", "A 33659-2022")</f>
        <v/>
      </c>
      <c r="Z73">
        <f>HYPERLINK("https://klasma.github.io/Logging_0581/klagomålsmail/A 33659-2022 FSC-klagomål mail.docx", "A 33659-2022")</f>
        <v/>
      </c>
      <c r="AA73">
        <f>HYPERLINK("https://klasma.github.io/Logging_0581/tillsyn/A 33659-2022 tillsynsbegäran.docx", "A 33659-2022")</f>
        <v/>
      </c>
      <c r="AB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46221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s="2" t="inlineStr">
        <is>
          <t>Tallticka
Vedticka</t>
        </is>
      </c>
      <c r="V74">
        <f>HYPERLINK("https://klasma.github.io/Logging_0581/artfynd/A 17248-2024 artfynd.xlsx", "A 17248-2024")</f>
        <v/>
      </c>
      <c r="W74">
        <f>HYPERLINK("https://klasma.github.io/Logging_0581/kartor/A 17248-2024 karta.png", "A 17248-2024")</f>
        <v/>
      </c>
      <c r="Y74">
        <f>HYPERLINK("https://klasma.github.io/Logging_0581/klagomål/A 17248-2024 FSC-klagomål.docx", "A 17248-2024")</f>
        <v/>
      </c>
      <c r="Z74">
        <f>HYPERLINK("https://klasma.github.io/Logging_0581/klagomålsmail/A 17248-2024 FSC-klagomål mail.docx", "A 17248-2024")</f>
        <v/>
      </c>
      <c r="AA74">
        <f>HYPERLINK("https://klasma.github.io/Logging_0581/tillsyn/A 17248-2024 tillsynsbegäran.docx", "A 17248-2024")</f>
        <v/>
      </c>
      <c r="AB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46221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Grov baronmossa
Platt fjädermossa</t>
        </is>
      </c>
      <c r="V75">
        <f>HYPERLINK("https://klasma.github.io/Logging_0581/artfynd/A 5572-2024 artfynd.xlsx", "A 5572-2024")</f>
        <v/>
      </c>
      <c r="W75">
        <f>HYPERLINK("https://klasma.github.io/Logging_0581/kartor/A 5572-2024 karta.png", "A 5572-2024")</f>
        <v/>
      </c>
      <c r="Y75">
        <f>HYPERLINK("https://klasma.github.io/Logging_0581/klagomål/A 5572-2024 FSC-klagomål.docx", "A 5572-2024")</f>
        <v/>
      </c>
      <c r="Z75">
        <f>HYPERLINK("https://klasma.github.io/Logging_0581/klagomålsmail/A 5572-2024 FSC-klagomål mail.docx", "A 5572-2024")</f>
        <v/>
      </c>
      <c r="AA75">
        <f>HYPERLINK("https://klasma.github.io/Logging_0581/tillsyn/A 5572-2024 tillsynsbegäran.docx", "A 5572-2024")</f>
        <v/>
      </c>
      <c r="AB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46221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Tallfingersvamp
Purpurknipprot</t>
        </is>
      </c>
      <c r="V76">
        <f>HYPERLINK("https://klasma.github.io/Logging_0581/artfynd/A 55022-2022 artfynd.xlsx", "A 55022-2022")</f>
        <v/>
      </c>
      <c r="W76">
        <f>HYPERLINK("https://klasma.github.io/Logging_0581/kartor/A 55022-2022 karta.png", "A 55022-2022")</f>
        <v/>
      </c>
      <c r="Y76">
        <f>HYPERLINK("https://klasma.github.io/Logging_0581/klagomål/A 55022-2022 FSC-klagomål.docx", "A 55022-2022")</f>
        <v/>
      </c>
      <c r="Z76">
        <f>HYPERLINK("https://klasma.github.io/Logging_0581/klagomålsmail/A 55022-2022 FSC-klagomål mail.docx", "A 55022-2022")</f>
        <v/>
      </c>
      <c r="AA76">
        <f>HYPERLINK("https://klasma.github.io/Logging_0581/tillsyn/A 55022-2022 tillsynsbegäran.docx", "A 55022-2022")</f>
        <v/>
      </c>
      <c r="AB76">
        <f>HYPERLINK("https://klasma.github.io/Logging_0581/tillsynsmail/A 55022-2022 tillsynsbegäran mail.docx", "A 55022-2022")</f>
        <v/>
      </c>
    </row>
    <row r="77" ht="15" customHeight="1">
      <c r="A77" t="inlineStr">
        <is>
          <t>A 3815-2026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46221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1.1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s="2" t="inlineStr">
        <is>
          <t>Grönfink
Kungsfågel</t>
        </is>
      </c>
      <c r="V77">
        <f>HYPERLINK("https://klasma.github.io/Logging_0581/artfynd/A 3815-2026 artfynd.xlsx", "A 3815-2026")</f>
        <v/>
      </c>
      <c r="W77">
        <f>HYPERLINK("https://klasma.github.io/Logging_0581/kartor/A 3815-2026 karta.png", "A 3815-2026")</f>
        <v/>
      </c>
      <c r="Y77">
        <f>HYPERLINK("https://klasma.github.io/Logging_0581/klagomål/A 3815-2026 FSC-klagomål.docx", "A 3815-2026")</f>
        <v/>
      </c>
      <c r="Z77">
        <f>HYPERLINK("https://klasma.github.io/Logging_0581/klagomålsmail/A 3815-2026 FSC-klagomål mail.docx", "A 3815-2026")</f>
        <v/>
      </c>
      <c r="AA77">
        <f>HYPERLINK("https://klasma.github.io/Logging_0581/tillsyn/A 3815-2026 tillsynsbegäran.docx", "A 3815-2026")</f>
        <v/>
      </c>
      <c r="AB77">
        <f>HYPERLINK("https://klasma.github.io/Logging_0581/tillsynsmail/A 3815-2026 tillsynsbegäran mail.docx", "A 3815-2026")</f>
        <v/>
      </c>
      <c r="AC77">
        <f>HYPERLINK("https://klasma.github.io/Logging_0581/fåglar/A 3815-2026 prioriterade fågelarter.docx", "A 3815-2026")</f>
        <v/>
      </c>
    </row>
    <row r="78" ht="15" customHeight="1">
      <c r="A78" t="inlineStr">
        <is>
          <t>A 46955-2023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46221</v>
      </c>
      <c r="F78" t="inlineStr">
        <is>
          <t>ÖSTERGÖTLANDS LÄN</t>
        </is>
      </c>
      <c r="G78" t="inlineStr">
        <is>
          <t>NORRKÖPING</t>
        </is>
      </c>
      <c r="I78" t="n">
        <v>4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Dropptaggsvamp
Sparvuggla</t>
        </is>
      </c>
      <c r="V78">
        <f>HYPERLINK("https://klasma.github.io/Logging_0581/artfynd/A 46955-2023 artfynd.xlsx", "A 46955-2023")</f>
        <v/>
      </c>
      <c r="W78">
        <f>HYPERLINK("https://klasma.github.io/Logging_0581/kartor/A 46955-2023 karta.png", "A 46955-2023")</f>
        <v/>
      </c>
      <c r="Y78">
        <f>HYPERLINK("https://klasma.github.io/Logging_0581/klagomål/A 46955-2023 FSC-klagomål.docx", "A 46955-2023")</f>
        <v/>
      </c>
      <c r="Z78">
        <f>HYPERLINK("https://klasma.github.io/Logging_0581/klagomålsmail/A 46955-2023 FSC-klagomål mail.docx", "A 46955-2023")</f>
        <v/>
      </c>
      <c r="AA78">
        <f>HYPERLINK("https://klasma.github.io/Logging_0581/tillsyn/A 46955-2023 tillsynsbegäran.docx", "A 46955-2023")</f>
        <v/>
      </c>
      <c r="AB78">
        <f>HYPERLINK("https://klasma.github.io/Logging_0581/tillsynsmail/A 46955-2023 tillsynsbegäran mail.docx", "A 46955-2023")</f>
        <v/>
      </c>
      <c r="AC78">
        <f>HYPERLINK("https://klasma.github.io/Logging_0581/fåglar/A 46955-2023 prioriterade fågelarter.docx", "A 46955-2023")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Mattlummer
Revlummer</t>
        </is>
      </c>
      <c r="V79">
        <f>HYPERLINK("https://klasma.github.io/Logging_0581/artfynd/A 40315-2025 artfynd.xlsx", "A 40315-2025")</f>
        <v/>
      </c>
      <c r="W79">
        <f>HYPERLINK("https://klasma.github.io/Logging_0581/kartor/A 40315-2025 karta.png", "A 40315-2025")</f>
        <v/>
      </c>
      <c r="Y79">
        <f>HYPERLINK("https://klasma.github.io/Logging_0581/klagomål/A 40315-2025 FSC-klagomål.docx", "A 40315-2025")</f>
        <v/>
      </c>
      <c r="Z79">
        <f>HYPERLINK("https://klasma.github.io/Logging_0581/klagomålsmail/A 40315-2025 FSC-klagomål mail.docx", "A 40315-2025")</f>
        <v/>
      </c>
      <c r="AA79">
        <f>HYPERLINK("https://klasma.github.io/Logging_0581/tillsyn/A 40315-2025 tillsynsbegäran.docx", "A 40315-2025")</f>
        <v/>
      </c>
      <c r="AB79">
        <f>HYPERLINK("https://klasma.github.io/Logging_0581/tillsynsmail/A 40315-2025 tillsynsbegäran mail.docx", "A 40315-2025")</f>
        <v/>
      </c>
    </row>
    <row r="80" ht="15" customHeight="1">
      <c r="A80" t="inlineStr">
        <is>
          <t>A 14459-2024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45394</v>
      </c>
      <c r="E80" s="1" t="n">
        <v>46221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0.7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Garnlav
Talltita</t>
        </is>
      </c>
      <c r="V80">
        <f>HYPERLINK("https://klasma.github.io/Logging_0581/artfynd/A 14459-2024 artfynd.xlsx", "A 14459-2024")</f>
        <v/>
      </c>
      <c r="W80">
        <f>HYPERLINK("https://klasma.github.io/Logging_0581/kartor/A 14459-2024 karta.png", "A 14459-2024")</f>
        <v/>
      </c>
      <c r="Y80">
        <f>HYPERLINK("https://klasma.github.io/Logging_0581/klagomål/A 14459-2024 FSC-klagomål.docx", "A 14459-2024")</f>
        <v/>
      </c>
      <c r="Z80">
        <f>HYPERLINK("https://klasma.github.io/Logging_0581/klagomålsmail/A 14459-2024 FSC-klagomål mail.docx", "A 14459-2024")</f>
        <v/>
      </c>
      <c r="AA80">
        <f>HYPERLINK("https://klasma.github.io/Logging_0581/tillsyn/A 14459-2024 tillsynsbegäran.docx", "A 14459-2024")</f>
        <v/>
      </c>
      <c r="AB80">
        <f>HYPERLINK("https://klasma.github.io/Logging_0581/tillsynsmail/A 14459-2024 tillsynsbegäran mail.docx", "A 14459-2024")</f>
        <v/>
      </c>
      <c r="AC80">
        <f>HYPERLINK("https://klasma.github.io/Logging_0581/fåglar/A 14459-2024 prioriterade fågelarter.docx", "A 14459-2024")</f>
        <v/>
      </c>
    </row>
    <row r="81" ht="15" customHeight="1">
      <c r="A81" t="inlineStr">
        <is>
          <t>A 49869-2021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46221</v>
      </c>
      <c r="F81" t="inlineStr">
        <is>
          <t>ÖSTERGÖTLANDS LÄN</t>
        </is>
      </c>
      <c r="G81" t="inlineStr">
        <is>
          <t>NORRKÖPING</t>
        </is>
      </c>
      <c r="I81" t="n">
        <v>2.2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s="2" t="inlineStr">
        <is>
          <t>Jungfrulin
Knippnejlika</t>
        </is>
      </c>
      <c r="V81">
        <f>HYPERLINK("https://klasma.github.io/Logging_0581/artfynd/A 49869-2021 artfynd.xlsx", "A 49869-2021")</f>
        <v/>
      </c>
      <c r="W81">
        <f>HYPERLINK("https://klasma.github.io/Logging_0581/kartor/A 49869-2021 karta.png", "A 49869-2021")</f>
        <v/>
      </c>
      <c r="Y81">
        <f>HYPERLINK("https://klasma.github.io/Logging_0581/klagomål/A 49869-2021 FSC-klagomål.docx", "A 49869-2021")</f>
        <v/>
      </c>
      <c r="Z81">
        <f>HYPERLINK("https://klasma.github.io/Logging_0581/klagomålsmail/A 49869-2021 FSC-klagomål mail.docx", "A 49869-2021")</f>
        <v/>
      </c>
      <c r="AA81">
        <f>HYPERLINK("https://klasma.github.io/Logging_0581/tillsyn/A 49869-2021 tillsynsbegäran.docx", "A 49869-2021")</f>
        <v/>
      </c>
      <c r="AB81">
        <f>HYPERLINK("https://klasma.github.io/Logging_0581/tillsynsmail/A 49869-2021 tillsynsbegäran mail.docx", "A 49869-2021")</f>
        <v/>
      </c>
    </row>
    <row r="82" ht="15" customHeight="1">
      <c r="A82" t="inlineStr">
        <is>
          <t>A 10769-2024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46221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2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s="2" t="inlineStr">
        <is>
          <t>Talltita
Tjäder</t>
        </is>
      </c>
      <c r="V82">
        <f>HYPERLINK("https://klasma.github.io/Logging_0581/artfynd/A 10769-2024 artfynd.xlsx", "A 10769-2024")</f>
        <v/>
      </c>
      <c r="W82">
        <f>HYPERLINK("https://klasma.github.io/Logging_0581/kartor/A 10769-2024 karta.png", "A 10769-2024")</f>
        <v/>
      </c>
      <c r="Y82">
        <f>HYPERLINK("https://klasma.github.io/Logging_0581/klagomål/A 10769-2024 FSC-klagomål.docx", "A 10769-2024")</f>
        <v/>
      </c>
      <c r="Z82">
        <f>HYPERLINK("https://klasma.github.io/Logging_0581/klagomålsmail/A 10769-2024 FSC-klagomål mail.docx", "A 10769-2024")</f>
        <v/>
      </c>
      <c r="AA82">
        <f>HYPERLINK("https://klasma.github.io/Logging_0581/tillsyn/A 10769-2024 tillsynsbegäran.docx", "A 10769-2024")</f>
        <v/>
      </c>
      <c r="AB82">
        <f>HYPERLINK("https://klasma.github.io/Logging_0581/tillsynsmail/A 10769-2024 tillsynsbegäran mail.docx", "A 10769-2024")</f>
        <v/>
      </c>
      <c r="AC82">
        <f>HYPERLINK("https://klasma.github.io/Logging_0581/fåglar/A 10769-2024 prioriterade fågelarter.docx", "A 10769-2024")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46221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Ekoxe
Stuplav</t>
        </is>
      </c>
      <c r="V83">
        <f>HYPERLINK("https://klasma.github.io/Logging_0581/artfynd/A 48735-2025 artfynd.xlsx", "A 48735-2025")</f>
        <v/>
      </c>
      <c r="W83">
        <f>HYPERLINK("https://klasma.github.io/Logging_0581/kartor/A 48735-2025 karta.png", "A 48735-2025")</f>
        <v/>
      </c>
      <c r="Y83">
        <f>HYPERLINK("https://klasma.github.io/Logging_0581/klagomål/A 48735-2025 FSC-klagomål.docx", "A 48735-2025")</f>
        <v/>
      </c>
      <c r="Z83">
        <f>HYPERLINK("https://klasma.github.io/Logging_0581/klagomålsmail/A 48735-2025 FSC-klagomål mail.docx", "A 48735-2025")</f>
        <v/>
      </c>
      <c r="AA83">
        <f>HYPERLINK("https://klasma.github.io/Logging_0581/tillsyn/A 48735-2025 tillsynsbegäran.docx", "A 48735-2025")</f>
        <v/>
      </c>
      <c r="AB83">
        <f>HYPERLINK("https://klasma.github.io/Logging_0581/tillsynsmail/A 48735-2025 tillsynsbegäran mail.docx", "A 48735-2025")</f>
        <v/>
      </c>
    </row>
    <row r="84" ht="15" customHeight="1">
      <c r="A84" t="inlineStr">
        <is>
          <t>A 11490-2023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46221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1.9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Mattlummer
Trädlärka</t>
        </is>
      </c>
      <c r="V84">
        <f>HYPERLINK("https://klasma.github.io/Logging_0581/artfynd/A 11490-2023 artfynd.xlsx", "A 11490-2023")</f>
        <v/>
      </c>
      <c r="W84">
        <f>HYPERLINK("https://klasma.github.io/Logging_0581/kartor/A 11490-2023 karta.png", "A 11490-2023")</f>
        <v/>
      </c>
      <c r="Y84">
        <f>HYPERLINK("https://klasma.github.io/Logging_0581/klagomål/A 11490-2023 FSC-klagomål.docx", "A 11490-2023")</f>
        <v/>
      </c>
      <c r="Z84">
        <f>HYPERLINK("https://klasma.github.io/Logging_0581/klagomålsmail/A 11490-2023 FSC-klagomål mail.docx", "A 11490-2023")</f>
        <v/>
      </c>
      <c r="AA84">
        <f>HYPERLINK("https://klasma.github.io/Logging_0581/tillsyn/A 11490-2023 tillsynsbegäran.docx", "A 11490-2023")</f>
        <v/>
      </c>
      <c r="AB84">
        <f>HYPERLINK("https://klasma.github.io/Logging_0581/tillsynsmail/A 11490-2023 tillsynsbegäran mail.docx", "A 11490-2023")</f>
        <v/>
      </c>
      <c r="AC84">
        <f>HYPERLINK("https://klasma.github.io/Logging_0581/fåglar/A 11490-2023 prioriterade fågelarter.docx", "A 11490-2023")</f>
        <v/>
      </c>
    </row>
    <row r="85" ht="15" customHeight="1">
      <c r="A85" t="inlineStr">
        <is>
          <t>A 42365-2025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46221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Svinrot
Tibast</t>
        </is>
      </c>
      <c r="V85">
        <f>HYPERLINK("https://klasma.github.io/Logging_0581/artfynd/A 42365-2025 artfynd.xlsx", "A 42365-2025")</f>
        <v/>
      </c>
      <c r="W85">
        <f>HYPERLINK("https://klasma.github.io/Logging_0581/kartor/A 42365-2025 karta.png", "A 42365-2025")</f>
        <v/>
      </c>
      <c r="Y85">
        <f>HYPERLINK("https://klasma.github.io/Logging_0581/klagomål/A 42365-2025 FSC-klagomål.docx", "A 42365-2025")</f>
        <v/>
      </c>
      <c r="Z85">
        <f>HYPERLINK("https://klasma.github.io/Logging_0581/klagomålsmail/A 42365-2025 FSC-klagomål mail.docx", "A 42365-2025")</f>
        <v/>
      </c>
      <c r="AA85">
        <f>HYPERLINK("https://klasma.github.io/Logging_0581/tillsyn/A 42365-2025 tillsynsbegäran.docx", "A 42365-2025")</f>
        <v/>
      </c>
      <c r="AB85">
        <f>HYPERLINK("https://klasma.github.io/Logging_0581/tillsynsmail/A 42365-2025 tillsynsbegäran mail.docx", "A 42365-2025")</f>
        <v/>
      </c>
    </row>
    <row r="86" ht="15" customHeight="1">
      <c r="A86" t="inlineStr">
        <is>
          <t>A 27503-2022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46221</v>
      </c>
      <c r="F86" t="inlineStr">
        <is>
          <t>ÖSTERGÖTLANDS LÄN</t>
        </is>
      </c>
      <c r="G86" t="inlineStr">
        <is>
          <t>NORRKÖPING</t>
        </is>
      </c>
      <c r="I86" t="n">
        <v>2.9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Svinrot
Ängsskära</t>
        </is>
      </c>
      <c r="V86">
        <f>HYPERLINK("https://klasma.github.io/Logging_0581/artfynd/A 27503-2022 artfynd.xlsx", "A 27503-2022")</f>
        <v/>
      </c>
      <c r="W86">
        <f>HYPERLINK("https://klasma.github.io/Logging_0581/kartor/A 27503-2022 karta.png", "A 27503-2022")</f>
        <v/>
      </c>
      <c r="Y86">
        <f>HYPERLINK("https://klasma.github.io/Logging_0581/klagomål/A 27503-2022 FSC-klagomål.docx", "A 27503-2022")</f>
        <v/>
      </c>
      <c r="Z86">
        <f>HYPERLINK("https://klasma.github.io/Logging_0581/klagomålsmail/A 27503-2022 FSC-klagomål mail.docx", "A 27503-2022")</f>
        <v/>
      </c>
      <c r="AA86">
        <f>HYPERLINK("https://klasma.github.io/Logging_0581/tillsyn/A 27503-2022 tillsynsbegäran.docx", "A 27503-2022")</f>
        <v/>
      </c>
      <c r="AB86">
        <f>HYPERLINK("https://klasma.github.io/Logging_0581/tillsynsmail/A 27503-2022 tillsynsbegäran mail.docx", "A 27503-2022")</f>
        <v/>
      </c>
    </row>
    <row r="87" ht="15" customHeight="1">
      <c r="A87" t="inlineStr">
        <is>
          <t>A 5809-2025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46221</v>
      </c>
      <c r="F87" t="inlineStr">
        <is>
          <t>ÖSTERGÖTLANDS LÄN</t>
        </is>
      </c>
      <c r="G87" t="inlineStr">
        <is>
          <t>NORRKÖPING</t>
        </is>
      </c>
      <c r="I87" t="n">
        <v>3.7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s="2" t="inlineStr">
        <is>
          <t>Blåsippa
Vanlig padda</t>
        </is>
      </c>
      <c r="V87">
        <f>HYPERLINK("https://klasma.github.io/Logging_0581/artfynd/A 5809-2025 artfynd.xlsx", "A 5809-2025")</f>
        <v/>
      </c>
      <c r="W87">
        <f>HYPERLINK("https://klasma.github.io/Logging_0581/kartor/A 5809-2025 karta.png", "A 5809-2025")</f>
        <v/>
      </c>
      <c r="Y87">
        <f>HYPERLINK("https://klasma.github.io/Logging_0581/klagomål/A 5809-2025 FSC-klagomål.docx", "A 5809-2025")</f>
        <v/>
      </c>
      <c r="Z87">
        <f>HYPERLINK("https://klasma.github.io/Logging_0581/klagomålsmail/A 5809-2025 FSC-klagomål mail.docx", "A 5809-2025")</f>
        <v/>
      </c>
      <c r="AA87">
        <f>HYPERLINK("https://klasma.github.io/Logging_0581/tillsyn/A 5809-2025 tillsynsbegäran.docx", "A 5809-2025")</f>
        <v/>
      </c>
      <c r="AB87">
        <f>HYPERLINK("https://klasma.github.io/Logging_0581/tillsynsmail/A 5809-2025 tillsynsbegäran mail.docx", "A 5809-2025")</f>
        <v/>
      </c>
    </row>
    <row r="88" ht="15" customHeight="1">
      <c r="A88" t="inlineStr">
        <is>
          <t>A 53852-2022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44880</v>
      </c>
      <c r="E88" s="1" t="n">
        <v>46221</v>
      </c>
      <c r="F88" t="inlineStr">
        <is>
          <t>ÖSTERGÖTLANDS LÄN</t>
        </is>
      </c>
      <c r="G88" t="inlineStr">
        <is>
          <t>NORRKÖPING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Tibast
Blåsippa</t>
        </is>
      </c>
      <c r="V88">
        <f>HYPERLINK("https://klasma.github.io/Logging_0581/artfynd/A 53852-2022 artfynd.xlsx", "A 53852-2022")</f>
        <v/>
      </c>
      <c r="W88">
        <f>HYPERLINK("https://klasma.github.io/Logging_0581/kartor/A 53852-2022 karta.png", "A 53852-2022")</f>
        <v/>
      </c>
      <c r="Y88">
        <f>HYPERLINK("https://klasma.github.io/Logging_0581/klagomål/A 53852-2022 FSC-klagomål.docx", "A 53852-2022")</f>
        <v/>
      </c>
      <c r="Z88">
        <f>HYPERLINK("https://klasma.github.io/Logging_0581/klagomålsmail/A 53852-2022 FSC-klagomål mail.docx", "A 53852-2022")</f>
        <v/>
      </c>
      <c r="AA88">
        <f>HYPERLINK("https://klasma.github.io/Logging_0581/tillsyn/A 53852-2022 tillsynsbegäran.docx", "A 53852-2022")</f>
        <v/>
      </c>
      <c r="AB88">
        <f>HYPERLINK("https://klasma.github.io/Logging_0581/tillsynsmail/A 53852-2022 tillsynsbegäran mail.docx", "A 53852-2022")</f>
        <v/>
      </c>
    </row>
    <row r="89" ht="15" customHeight="1">
      <c r="A89" t="inlineStr">
        <is>
          <t>A 14636-2025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46221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17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Talltita
Tjäder</t>
        </is>
      </c>
      <c r="V89">
        <f>HYPERLINK("https://klasma.github.io/Logging_0581/artfynd/A 14636-2025 artfynd.xlsx", "A 14636-2025")</f>
        <v/>
      </c>
      <c r="W89">
        <f>HYPERLINK("https://klasma.github.io/Logging_0581/kartor/A 14636-2025 karta.png", "A 14636-2025")</f>
        <v/>
      </c>
      <c r="Y89">
        <f>HYPERLINK("https://klasma.github.io/Logging_0581/klagomål/A 14636-2025 FSC-klagomål.docx", "A 14636-2025")</f>
        <v/>
      </c>
      <c r="Z89">
        <f>HYPERLINK("https://klasma.github.io/Logging_0581/klagomålsmail/A 14636-2025 FSC-klagomål mail.docx", "A 14636-2025")</f>
        <v/>
      </c>
      <c r="AA89">
        <f>HYPERLINK("https://klasma.github.io/Logging_0581/tillsyn/A 14636-2025 tillsynsbegäran.docx", "A 14636-2025")</f>
        <v/>
      </c>
      <c r="AB89">
        <f>HYPERLINK("https://klasma.github.io/Logging_0581/tillsynsmail/A 14636-2025 tillsynsbegäran mail.docx", "A 14636-2025")</f>
        <v/>
      </c>
      <c r="AC89">
        <f>HYPERLINK("https://klasma.github.io/Logging_0581/fåglar/A 14636-2025 prioriterade fågelarter.docx", "A 14636-2025")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46221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s="2" t="inlineStr">
        <is>
          <t>Knärot
Tallticka</t>
        </is>
      </c>
      <c r="V90">
        <f>HYPERLINK("https://klasma.github.io/Logging_0581/artfynd/A 56971-2025 artfynd.xlsx", "A 56971-2025")</f>
        <v/>
      </c>
      <c r="W90">
        <f>HYPERLINK("https://klasma.github.io/Logging_0581/kartor/A 56971-2025 karta.png", "A 56971-2025")</f>
        <v/>
      </c>
      <c r="X90">
        <f>HYPERLINK("https://klasma.github.io/Logging_0581/knärot/A 56971-2025 karta knärot.png", "A 56971-2025")</f>
        <v/>
      </c>
      <c r="Y90">
        <f>HYPERLINK("https://klasma.github.io/Logging_0581/klagomål/A 56971-2025 FSC-klagomål.docx", "A 56971-2025")</f>
        <v/>
      </c>
      <c r="Z90">
        <f>HYPERLINK("https://klasma.github.io/Logging_0581/klagomålsmail/A 56971-2025 FSC-klagomål mail.docx", "A 56971-2025")</f>
        <v/>
      </c>
      <c r="AA90">
        <f>HYPERLINK("https://klasma.github.io/Logging_0581/tillsyn/A 56971-2025 tillsynsbegäran.docx", "A 56971-2025")</f>
        <v/>
      </c>
      <c r="AB90">
        <f>HYPERLINK("https://klasma.github.io/Logging_0581/tillsynsmail/A 56971-2025 tillsynsbegäran mail.docx", "A 56971-2025")</f>
        <v/>
      </c>
    </row>
    <row r="91" ht="15" customHeight="1">
      <c r="A91" t="inlineStr">
        <is>
          <t>A 17793-2025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46221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6.7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Blåmossa
Huggorm</t>
        </is>
      </c>
      <c r="V91">
        <f>HYPERLINK("https://klasma.github.io/Logging_0581/artfynd/A 17793-2025 artfynd.xlsx", "A 17793-2025")</f>
        <v/>
      </c>
      <c r="W91">
        <f>HYPERLINK("https://klasma.github.io/Logging_0581/kartor/A 17793-2025 karta.png", "A 17793-2025")</f>
        <v/>
      </c>
      <c r="Y91">
        <f>HYPERLINK("https://klasma.github.io/Logging_0581/klagomål/A 17793-2025 FSC-klagomål.docx", "A 17793-2025")</f>
        <v/>
      </c>
      <c r="Z91">
        <f>HYPERLINK("https://klasma.github.io/Logging_0581/klagomålsmail/A 17793-2025 FSC-klagomål mail.docx", "A 17793-2025")</f>
        <v/>
      </c>
      <c r="AA91">
        <f>HYPERLINK("https://klasma.github.io/Logging_0581/tillsyn/A 17793-2025 tillsynsbegäran.docx", "A 17793-2025")</f>
        <v/>
      </c>
      <c r="AB91">
        <f>HYPERLINK("https://klasma.github.io/Logging_0581/tillsynsmail/A 17793-2025 tillsynsbegäran mail.docx", "A 17793-2025")</f>
        <v/>
      </c>
    </row>
    <row r="92" ht="15" customHeight="1">
      <c r="A92" t="inlineStr">
        <is>
          <t>A 12188-2026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46221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Allmännings- och besparingsskogar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Blomkålssvamp
Korallrot</t>
        </is>
      </c>
      <c r="V92">
        <f>HYPERLINK("https://klasma.github.io/Logging_0581/artfynd/A 12188-2026 artfynd.xlsx", "A 12188-2026")</f>
        <v/>
      </c>
      <c r="W92">
        <f>HYPERLINK("https://klasma.github.io/Logging_0581/kartor/A 12188-2026 karta.png", "A 12188-2026")</f>
        <v/>
      </c>
      <c r="Y92">
        <f>HYPERLINK("https://klasma.github.io/Logging_0581/klagomål/A 12188-2026 FSC-klagomål.docx", "A 12188-2026")</f>
        <v/>
      </c>
      <c r="Z92">
        <f>HYPERLINK("https://klasma.github.io/Logging_0581/klagomålsmail/A 12188-2026 FSC-klagomål mail.docx", "A 12188-2026")</f>
        <v/>
      </c>
      <c r="AA92">
        <f>HYPERLINK("https://klasma.github.io/Logging_0581/tillsyn/A 12188-2026 tillsynsbegäran.docx", "A 12188-2026")</f>
        <v/>
      </c>
      <c r="AB92">
        <f>HYPERLINK("https://klasma.github.io/Logging_0581/tillsynsmail/A 12188-2026 tillsynsbegäran mail.docx", "A 12188-2026")</f>
        <v/>
      </c>
    </row>
    <row r="93" ht="15" customHeight="1">
      <c r="A93" t="inlineStr">
        <is>
          <t>A 58380-2025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46221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10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s="2" t="inlineStr">
        <is>
          <t>Knärot
Tallticka</t>
        </is>
      </c>
      <c r="V93">
        <f>HYPERLINK("https://klasma.github.io/Logging_0581/artfynd/A 58380-2025 artfynd.xlsx", "A 58380-2025")</f>
        <v/>
      </c>
      <c r="W93">
        <f>HYPERLINK("https://klasma.github.io/Logging_0581/kartor/A 58380-2025 karta.png", "A 58380-2025")</f>
        <v/>
      </c>
      <c r="X93">
        <f>HYPERLINK("https://klasma.github.io/Logging_0581/knärot/A 58380-2025 karta knärot.png", "A 58380-2025")</f>
        <v/>
      </c>
      <c r="Y93">
        <f>HYPERLINK("https://klasma.github.io/Logging_0581/klagomål/A 58380-2025 FSC-klagomål.docx", "A 58380-2025")</f>
        <v/>
      </c>
      <c r="Z93">
        <f>HYPERLINK("https://klasma.github.io/Logging_0581/klagomålsmail/A 58380-2025 FSC-klagomål mail.docx", "A 58380-2025")</f>
        <v/>
      </c>
      <c r="AA93">
        <f>HYPERLINK("https://klasma.github.io/Logging_0581/tillsyn/A 58380-2025 tillsynsbegäran.docx", "A 58380-2025")</f>
        <v/>
      </c>
      <c r="AB93">
        <f>HYPERLINK("https://klasma.github.io/Logging_0581/tillsynsmail/A 58380-2025 tillsynsbegäran mail.docx", "A 58380-2025")</f>
        <v/>
      </c>
    </row>
    <row r="94" ht="15" customHeight="1">
      <c r="A94" t="inlineStr">
        <is>
          <t>A 46692-2024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46221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1.4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Dvärgbägarlav
Flagellkvastmossa</t>
        </is>
      </c>
      <c r="V94">
        <f>HYPERLINK("https://klasma.github.io/Logging_0581/artfynd/A 46692-2024 artfynd.xlsx", "A 46692-2024")</f>
        <v/>
      </c>
      <c r="W94">
        <f>HYPERLINK("https://klasma.github.io/Logging_0581/kartor/A 46692-2024 karta.png", "A 46692-2024")</f>
        <v/>
      </c>
      <c r="Y94">
        <f>HYPERLINK("https://klasma.github.io/Logging_0581/klagomål/A 46692-2024 FSC-klagomål.docx", "A 46692-2024")</f>
        <v/>
      </c>
      <c r="Z94">
        <f>HYPERLINK("https://klasma.github.io/Logging_0581/klagomålsmail/A 46692-2024 FSC-klagomål mail.docx", "A 46692-2024")</f>
        <v/>
      </c>
      <c r="AA94">
        <f>HYPERLINK("https://klasma.github.io/Logging_0581/tillsyn/A 46692-2024 tillsynsbegäran.docx", "A 46692-2024")</f>
        <v/>
      </c>
      <c r="AB94">
        <f>HYPERLINK("https://klasma.github.io/Logging_0581/tillsynsmail/A 46692-2024 tillsynsbegäran mail.docx", "A 46692-2024")</f>
        <v/>
      </c>
    </row>
    <row r="95" ht="15" customHeight="1">
      <c r="A95" t="inlineStr">
        <is>
          <t>A 9722-2025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46221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s="2" t="inlineStr">
        <is>
          <t>Ask
Blåsippa</t>
        </is>
      </c>
      <c r="V95">
        <f>HYPERLINK("https://klasma.github.io/Logging_0581/artfynd/A 9722-2025 artfynd.xlsx", "A 9722-2025")</f>
        <v/>
      </c>
      <c r="W95">
        <f>HYPERLINK("https://klasma.github.io/Logging_0581/kartor/A 9722-2025 karta.png", "A 9722-2025")</f>
        <v/>
      </c>
      <c r="Y95">
        <f>HYPERLINK("https://klasma.github.io/Logging_0581/klagomål/A 9722-2025 FSC-klagomål.docx", "A 9722-2025")</f>
        <v/>
      </c>
      <c r="Z95">
        <f>HYPERLINK("https://klasma.github.io/Logging_0581/klagomålsmail/A 9722-2025 FSC-klagomål mail.docx", "A 9722-2025")</f>
        <v/>
      </c>
      <c r="AA95">
        <f>HYPERLINK("https://klasma.github.io/Logging_0581/tillsyn/A 9722-2025 tillsynsbegäran.docx", "A 9722-2025")</f>
        <v/>
      </c>
      <c r="AB95">
        <f>HYPERLINK("https://klasma.github.io/Logging_0581/tillsynsmail/A 9722-2025 tillsynsbegäran mail.docx", "A 9722-2025")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46221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Ask
Blåsippa</t>
        </is>
      </c>
      <c r="V96">
        <f>HYPERLINK("https://klasma.github.io/Logging_0581/artfynd/A 9746-2025 artfynd.xlsx", "A 9746-2025")</f>
        <v/>
      </c>
      <c r="W96">
        <f>HYPERLINK("https://klasma.github.io/Logging_0581/kartor/A 9746-2025 karta.png", "A 9746-2025")</f>
        <v/>
      </c>
      <c r="Y96">
        <f>HYPERLINK("https://klasma.github.io/Logging_0581/klagomål/A 9746-2025 FSC-klagomål.docx", "A 9746-2025")</f>
        <v/>
      </c>
      <c r="Z96">
        <f>HYPERLINK("https://klasma.github.io/Logging_0581/klagomålsmail/A 9746-2025 FSC-klagomål mail.docx", "A 9746-2025")</f>
        <v/>
      </c>
      <c r="AA96">
        <f>HYPERLINK("https://klasma.github.io/Logging_0581/tillsyn/A 9746-2025 tillsynsbegäran.docx", "A 9746-2025")</f>
        <v/>
      </c>
      <c r="AB96">
        <f>HYPERLINK("https://klasma.github.io/Logging_0581/tillsynsmail/A 9746-2025 tillsynsbegäran mail.docx", "A 9746-2025")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46221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s="2" t="inlineStr">
        <is>
          <t>Knärot
Ullticka</t>
        </is>
      </c>
      <c r="V97">
        <f>HYPERLINK("https://klasma.github.io/Logging_0581/artfynd/A 19182-2025 artfynd.xlsx", "A 19182-2025")</f>
        <v/>
      </c>
      <c r="W97">
        <f>HYPERLINK("https://klasma.github.io/Logging_0581/kartor/A 19182-2025 karta.png", "A 19182-2025")</f>
        <v/>
      </c>
      <c r="X97">
        <f>HYPERLINK("https://klasma.github.io/Logging_0581/knärot/A 19182-2025 karta knärot.png", "A 19182-2025")</f>
        <v/>
      </c>
      <c r="Y97">
        <f>HYPERLINK("https://klasma.github.io/Logging_0581/klagomål/A 19182-2025 FSC-klagomål.docx", "A 19182-2025")</f>
        <v/>
      </c>
      <c r="Z97">
        <f>HYPERLINK("https://klasma.github.io/Logging_0581/klagomålsmail/A 19182-2025 FSC-klagomål mail.docx", "A 19182-2025")</f>
        <v/>
      </c>
      <c r="AA97">
        <f>HYPERLINK("https://klasma.github.io/Logging_0581/tillsyn/A 19182-2025 tillsynsbegäran.docx", "A 19182-2025")</f>
        <v/>
      </c>
      <c r="AB97">
        <f>HYPERLINK("https://klasma.github.io/Logging_0581/tillsynsmail/A 19182-2025 tillsynsbegäran mail.docx", "A 19182-2025")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46221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s="2" t="inlineStr">
        <is>
          <t>Motaggsvamp
Kungsfågel</t>
        </is>
      </c>
      <c r="V98">
        <f>HYPERLINK("https://klasma.github.io/Logging_0581/artfynd/A 28796-2026 artfynd.xlsx", "A 28796-2026")</f>
        <v/>
      </c>
      <c r="W98">
        <f>HYPERLINK("https://klasma.github.io/Logging_0581/kartor/A 28796-2026 karta.png", "A 28796-2026")</f>
        <v/>
      </c>
      <c r="Y98">
        <f>HYPERLINK("https://klasma.github.io/Logging_0581/klagomål/A 28796-2026 FSC-klagomål.docx", "A 28796-2026")</f>
        <v/>
      </c>
      <c r="Z98">
        <f>HYPERLINK("https://klasma.github.io/Logging_0581/klagomålsmail/A 28796-2026 FSC-klagomål mail.docx", "A 28796-2026")</f>
        <v/>
      </c>
      <c r="AA98">
        <f>HYPERLINK("https://klasma.github.io/Logging_0581/tillsyn/A 28796-2026 tillsynsbegäran.docx", "A 28796-2026")</f>
        <v/>
      </c>
      <c r="AB98">
        <f>HYPERLINK("https://klasma.github.io/Logging_0581/tillsynsmail/A 28796-2026 tillsynsbegäran mail.docx", "A 28796-2026")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46221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s="2" t="inlineStr">
        <is>
          <t>Bårdlav
Havsörn</t>
        </is>
      </c>
      <c r="V99">
        <f>HYPERLINK("https://klasma.github.io/Logging_0581/artfynd/A 4826-2023 artfynd.xlsx", "A 4826-2023")</f>
        <v/>
      </c>
      <c r="W99">
        <f>HYPERLINK("https://klasma.github.io/Logging_0581/kartor/A 4826-2023 karta.png", "A 4826-2023")</f>
        <v/>
      </c>
      <c r="Y99">
        <f>HYPERLINK("https://klasma.github.io/Logging_0581/klagomål/A 4826-2023 FSC-klagomål.docx", "A 4826-2023")</f>
        <v/>
      </c>
      <c r="Z99">
        <f>HYPERLINK("https://klasma.github.io/Logging_0581/klagomålsmail/A 4826-2023 FSC-klagomål mail.docx", "A 4826-2023")</f>
        <v/>
      </c>
      <c r="AA99">
        <f>HYPERLINK("https://klasma.github.io/Logging_0581/tillsyn/A 4826-2023 tillsynsbegäran.docx", "A 4826-2023")</f>
        <v/>
      </c>
      <c r="AB99">
        <f>HYPERLINK("https://klasma.github.io/Logging_0581/tillsynsmail/A 4826-2023 tillsynsbegäran mail.docx", "A 4826-2023")</f>
        <v/>
      </c>
      <c r="AC99">
        <f>HYPERLINK("https://klasma.github.io/Logging_0581/fåglar/A 4826-2023 prioriterade fågelarter.docx", "A 4826-2023")</f>
        <v/>
      </c>
    </row>
    <row r="100" ht="15" customHeight="1">
      <c r="A100" t="inlineStr">
        <is>
          <t>A 28895-2026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46221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s="2" t="inlineStr">
        <is>
          <t>Motaggsvamp
Kungsfågel</t>
        </is>
      </c>
      <c r="V100">
        <f>HYPERLINK("https://klasma.github.io/Logging_0581/artfynd/A 28895-2026 artfynd.xlsx", "A 28895-2026")</f>
        <v/>
      </c>
      <c r="W100">
        <f>HYPERLINK("https://klasma.github.io/Logging_0581/kartor/A 28895-2026 karta.png", "A 28895-2026")</f>
        <v/>
      </c>
      <c r="Y100">
        <f>HYPERLINK("https://klasma.github.io/Logging_0581/klagomål/A 28895-2026 FSC-klagomål.docx", "A 28895-2026")</f>
        <v/>
      </c>
      <c r="Z100">
        <f>HYPERLINK("https://klasma.github.io/Logging_0581/klagomålsmail/A 28895-2026 FSC-klagomål mail.docx", "A 28895-2026")</f>
        <v/>
      </c>
      <c r="AA100">
        <f>HYPERLINK("https://klasma.github.io/Logging_0581/tillsyn/A 28895-2026 tillsynsbegäran.docx", "A 28895-2026")</f>
        <v/>
      </c>
      <c r="AB100">
        <f>HYPERLINK("https://klasma.github.io/Logging_0581/tillsynsmail/A 28895-2026 tillsynsbegäran mail.docx", "A 28895-2026")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46221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s="2" t="inlineStr">
        <is>
          <t>Tallticka
Kungsfågel</t>
        </is>
      </c>
      <c r="V101">
        <f>HYPERLINK("https://klasma.github.io/Logging_0581/artfynd/A 20377-2023 artfynd.xlsx", "A 20377-2023")</f>
        <v/>
      </c>
      <c r="W101">
        <f>HYPERLINK("https://klasma.github.io/Logging_0581/kartor/A 20377-2023 karta.png", "A 20377-2023")</f>
        <v/>
      </c>
      <c r="Y101">
        <f>HYPERLINK("https://klasma.github.io/Logging_0581/klagomål/A 20377-2023 FSC-klagomål.docx", "A 20377-2023")</f>
        <v/>
      </c>
      <c r="Z101">
        <f>HYPERLINK("https://klasma.github.io/Logging_0581/klagomålsmail/A 20377-2023 FSC-klagomål mail.docx", "A 20377-2023")</f>
        <v/>
      </c>
      <c r="AA101">
        <f>HYPERLINK("https://klasma.github.io/Logging_0581/tillsyn/A 20377-2023 tillsynsbegäran.docx", "A 20377-2023")</f>
        <v/>
      </c>
      <c r="AB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28893-2026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46221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s="2" t="inlineStr">
        <is>
          <t>Motaggsvamp
Kungsfågel</t>
        </is>
      </c>
      <c r="V102">
        <f>HYPERLINK("https://klasma.github.io/Logging_0581/artfynd/A 28893-2026 artfynd.xlsx", "A 28893-2026")</f>
        <v/>
      </c>
      <c r="W102">
        <f>HYPERLINK("https://klasma.github.io/Logging_0581/kartor/A 28893-2026 karta.png", "A 28893-2026")</f>
        <v/>
      </c>
      <c r="Y102">
        <f>HYPERLINK("https://klasma.github.io/Logging_0581/klagomål/A 28893-2026 FSC-klagomål.docx", "A 28893-2026")</f>
        <v/>
      </c>
      <c r="Z102">
        <f>HYPERLINK("https://klasma.github.io/Logging_0581/klagomålsmail/A 28893-2026 FSC-klagomål mail.docx", "A 28893-2026")</f>
        <v/>
      </c>
      <c r="AA102">
        <f>HYPERLINK("https://klasma.github.io/Logging_0581/tillsyn/A 28893-2026 tillsynsbegäran.docx", "A 28893-2026")</f>
        <v/>
      </c>
      <c r="AB102">
        <f>HYPERLINK("https://klasma.github.io/Logging_0581/tillsynsmail/A 28893-2026 tillsynsbegäran mail.docx", "A 28893-2026")</f>
        <v/>
      </c>
    </row>
    <row r="103" ht="15" customHeight="1">
      <c r="A103" t="inlineStr">
        <is>
          <t>A 49366-2021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46221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7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s="2" t="inlineStr">
        <is>
          <t>Knärot
Sårläka</t>
        </is>
      </c>
      <c r="V103">
        <f>HYPERLINK("https://klasma.github.io/Logging_0581/artfynd/A 49366-2021 artfynd.xlsx", "A 49366-2021")</f>
        <v/>
      </c>
      <c r="W103">
        <f>HYPERLINK("https://klasma.github.io/Logging_0581/kartor/A 49366-2021 karta.png", "A 49366-2021")</f>
        <v/>
      </c>
      <c r="X103">
        <f>HYPERLINK("https://klasma.github.io/Logging_0581/knärot/A 49366-2021 karta knärot.png", "A 49366-2021")</f>
        <v/>
      </c>
      <c r="Y103">
        <f>HYPERLINK("https://klasma.github.io/Logging_0581/klagomål/A 49366-2021 FSC-klagomål.docx", "A 49366-2021")</f>
        <v/>
      </c>
      <c r="Z103">
        <f>HYPERLINK("https://klasma.github.io/Logging_0581/klagomålsmail/A 49366-2021 FSC-klagomål mail.docx", "A 49366-2021")</f>
        <v/>
      </c>
      <c r="AA103">
        <f>HYPERLINK("https://klasma.github.io/Logging_0581/tillsyn/A 49366-2021 tillsynsbegäran.docx", "A 49366-2021")</f>
        <v/>
      </c>
      <c r="AB103">
        <f>HYPERLINK("https://klasma.github.io/Logging_0581/tillsynsmail/A 49366-2021 tillsynsbegäran mail.docx", "A 49366-2021")</f>
        <v/>
      </c>
    </row>
    <row r="104" ht="15" customHeight="1">
      <c r="A104" t="inlineStr">
        <is>
          <t>A 25291-2023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46221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2.1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Slåtterfibbla
Svartvit flugsnappare</t>
        </is>
      </c>
      <c r="V104">
        <f>HYPERLINK("https://klasma.github.io/Logging_0581/artfynd/A 25291-2023 artfynd.xlsx", "A 25291-2023")</f>
        <v/>
      </c>
      <c r="W104">
        <f>HYPERLINK("https://klasma.github.io/Logging_0581/kartor/A 25291-2023 karta.png", "A 25291-2023")</f>
        <v/>
      </c>
      <c r="Y104">
        <f>HYPERLINK("https://klasma.github.io/Logging_0581/klagomål/A 25291-2023 FSC-klagomål.docx", "A 25291-2023")</f>
        <v/>
      </c>
      <c r="Z104">
        <f>HYPERLINK("https://klasma.github.io/Logging_0581/klagomålsmail/A 25291-2023 FSC-klagomål mail.docx", "A 25291-2023")</f>
        <v/>
      </c>
      <c r="AA104">
        <f>HYPERLINK("https://klasma.github.io/Logging_0581/tillsyn/A 25291-2023 tillsynsbegäran.docx", "A 25291-2023")</f>
        <v/>
      </c>
      <c r="AB104">
        <f>HYPERLINK("https://klasma.github.io/Logging_0581/tillsynsmail/A 25291-2023 tillsynsbegäran mail.docx", "A 25291-2023")</f>
        <v/>
      </c>
    </row>
    <row r="105" ht="15" customHeight="1">
      <c r="A105" t="inlineStr">
        <is>
          <t>A 8987-2023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46221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Allmännings- och besparingsskogar</t>
        </is>
      </c>
      <c r="I105" t="n">
        <v>0.5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Vedskivlav
Grovticka</t>
        </is>
      </c>
      <c r="V105">
        <f>HYPERLINK("https://klasma.github.io/Logging_0581/artfynd/A 8987-2023 artfynd.xlsx", "A 8987-2023")</f>
        <v/>
      </c>
      <c r="W105">
        <f>HYPERLINK("https://klasma.github.io/Logging_0581/kartor/A 8987-2023 karta.png", "A 8987-2023")</f>
        <v/>
      </c>
      <c r="Y105">
        <f>HYPERLINK("https://klasma.github.io/Logging_0581/klagomål/A 8987-2023 FSC-klagomål.docx", "A 8987-2023")</f>
        <v/>
      </c>
      <c r="Z105">
        <f>HYPERLINK("https://klasma.github.io/Logging_0581/klagomålsmail/A 8987-2023 FSC-klagomål mail.docx", "A 8987-2023")</f>
        <v/>
      </c>
      <c r="AA105">
        <f>HYPERLINK("https://klasma.github.io/Logging_0581/tillsyn/A 8987-2023 tillsynsbegäran.docx", "A 8987-2023")</f>
        <v/>
      </c>
      <c r="AB105">
        <f>HYPERLINK("https://klasma.github.io/Logging_0581/tillsynsmail/A 8987-2023 tillsynsbegäran mail.docx", "A 8987-2023")</f>
        <v/>
      </c>
    </row>
    <row r="106" ht="15" customHeight="1">
      <c r="A106" t="inlineStr">
        <is>
          <t>A 10553-2025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46221</v>
      </c>
      <c r="F106" t="inlineStr">
        <is>
          <t>ÖSTERGÖTLANDS LÄN</t>
        </is>
      </c>
      <c r="G106" t="inlineStr">
        <is>
          <t>NORRKÖPING</t>
        </is>
      </c>
      <c r="I106" t="n">
        <v>2.2</v>
      </c>
      <c r="J106" t="n">
        <v>2</v>
      </c>
      <c r="K106" t="n">
        <v>0</v>
      </c>
      <c r="L106" t="n">
        <v>1</v>
      </c>
      <c r="M106" t="n">
        <v>0</v>
      </c>
      <c r="N106" t="n">
        <v>1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s="2" t="inlineStr">
        <is>
          <t>Ejder
Rosenfink</t>
        </is>
      </c>
      <c r="V106">
        <f>HYPERLINK("https://klasma.github.io/Logging_0581/artfynd/A 10553-2025 artfynd.xlsx", "A 10553-2025")</f>
        <v/>
      </c>
      <c r="W106">
        <f>HYPERLINK("https://klasma.github.io/Logging_0581/kartor/A 10553-2025 karta.png", "A 10553-2025")</f>
        <v/>
      </c>
      <c r="Y106">
        <f>HYPERLINK("https://klasma.github.io/Logging_0581/klagomål/A 10553-2025 FSC-klagomål.docx", "A 10553-2025")</f>
        <v/>
      </c>
      <c r="Z106">
        <f>HYPERLINK("https://klasma.github.io/Logging_0581/klagomålsmail/A 10553-2025 FSC-klagomål mail.docx", "A 10553-2025")</f>
        <v/>
      </c>
      <c r="AA106">
        <f>HYPERLINK("https://klasma.github.io/Logging_0581/tillsyn/A 10553-2025 tillsynsbegäran.docx", "A 10553-2025")</f>
        <v/>
      </c>
      <c r="AB106">
        <f>HYPERLINK("https://klasma.github.io/Logging_0581/tillsynsmail/A 10553-2025 tillsynsbegäran mail.docx", "A 10553-2025")</f>
        <v/>
      </c>
      <c r="AC106">
        <f>HYPERLINK("https://klasma.github.io/Logging_0581/fåglar/A 10553-2025 prioriterade fågelarter.docx", "A 10553-2025")</f>
        <v/>
      </c>
    </row>
    <row r="107" ht="15" customHeight="1">
      <c r="A107" t="inlineStr">
        <is>
          <t>A 30829-2026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46212</v>
      </c>
      <c r="E107" s="1" t="n">
        <v>46221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2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s="2" t="inlineStr">
        <is>
          <t>Kornknutmossa
Stor aspticka</t>
        </is>
      </c>
      <c r="V107">
        <f>HYPERLINK("https://klasma.github.io/Logging_0581/artfynd/A 30829-2026 artfynd.xlsx", "A 30829-2026")</f>
        <v/>
      </c>
      <c r="W107">
        <f>HYPERLINK("https://klasma.github.io/Logging_0581/kartor/A 30829-2026 karta.png", "A 30829-2026")</f>
        <v/>
      </c>
      <c r="Y107">
        <f>HYPERLINK("https://klasma.github.io/Logging_0581/klagomål/A 30829-2026 FSC-klagomål.docx", "A 30829-2026")</f>
        <v/>
      </c>
      <c r="Z107">
        <f>HYPERLINK("https://klasma.github.io/Logging_0581/klagomålsmail/A 30829-2026 FSC-klagomål mail.docx", "A 30829-2026")</f>
        <v/>
      </c>
      <c r="AA107">
        <f>HYPERLINK("https://klasma.github.io/Logging_0581/tillsyn/A 30829-2026 tillsynsbegäran.docx", "A 30829-2026")</f>
        <v/>
      </c>
      <c r="AB107">
        <f>HYPERLINK("https://klasma.github.io/Logging_0581/tillsynsmail/A 30829-2026 tillsynsbegäran mail.docx", "A 30829-2026")</f>
        <v/>
      </c>
    </row>
    <row r="108" ht="15" customHeight="1">
      <c r="A108" t="inlineStr">
        <is>
          <t>A 31298-2026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46221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Blåmossa
Orre</t>
        </is>
      </c>
      <c r="V108">
        <f>HYPERLINK("https://klasma.github.io/Logging_0581/artfynd/A 31298-2026 artfynd.xlsx", "A 31298-2026")</f>
        <v/>
      </c>
      <c r="W108">
        <f>HYPERLINK("https://klasma.github.io/Logging_0581/kartor/A 31298-2026 karta.png", "A 31298-2026")</f>
        <v/>
      </c>
      <c r="Y108">
        <f>HYPERLINK("https://klasma.github.io/Logging_0581/klagomål/A 31298-2026 FSC-klagomål.docx", "A 31298-2026")</f>
        <v/>
      </c>
      <c r="Z108">
        <f>HYPERLINK("https://klasma.github.io/Logging_0581/klagomålsmail/A 31298-2026 FSC-klagomål mail.docx", "A 31298-2026")</f>
        <v/>
      </c>
      <c r="AA108">
        <f>HYPERLINK("https://klasma.github.io/Logging_0581/tillsyn/A 31298-2026 tillsynsbegäran.docx", "A 31298-2026")</f>
        <v/>
      </c>
      <c r="AB108">
        <f>HYPERLINK("https://klasma.github.io/Logging_0581/tillsynsmail/A 31298-2026 tillsynsbegäran mail.docx", "A 31298-2026")</f>
        <v/>
      </c>
      <c r="AC108">
        <f>HYPERLINK("https://klasma.github.io/Logging_0581/fåglar/A 31298-2026 prioriterade fågelarter.docx", "A 31298-2026")</f>
        <v/>
      </c>
    </row>
    <row r="109" ht="15" customHeight="1">
      <c r="A109" t="inlineStr">
        <is>
          <t>A 31264-2026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46221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Vedskivlav
Fläcknycklar</t>
        </is>
      </c>
      <c r="V109">
        <f>HYPERLINK("https://klasma.github.io/Logging_0581/artfynd/A 31264-2026 artfynd.xlsx", "A 31264-2026")</f>
        <v/>
      </c>
      <c r="W109">
        <f>HYPERLINK("https://klasma.github.io/Logging_0581/kartor/A 31264-2026 karta.png", "A 31264-2026")</f>
        <v/>
      </c>
      <c r="Y109">
        <f>HYPERLINK("https://klasma.github.io/Logging_0581/klagomål/A 31264-2026 FSC-klagomål.docx", "A 31264-2026")</f>
        <v/>
      </c>
      <c r="Z109">
        <f>HYPERLINK("https://klasma.github.io/Logging_0581/klagomålsmail/A 31264-2026 FSC-klagomål mail.docx", "A 31264-2026")</f>
        <v/>
      </c>
      <c r="AA109">
        <f>HYPERLINK("https://klasma.github.io/Logging_0581/tillsyn/A 31264-2026 tillsynsbegäran.docx", "A 31264-2026")</f>
        <v/>
      </c>
      <c r="AB109">
        <f>HYPERLINK("https://klasma.github.io/Logging_0581/tillsynsmail/A 31264-2026 tillsynsbegäran mail.docx", "A 31264-2026")</f>
        <v/>
      </c>
    </row>
    <row r="110" ht="15" customHeight="1">
      <c r="A110" t="inlineStr">
        <is>
          <t>A 24233-2025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46221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5.4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Tallticka
Granbarkgnagare</t>
        </is>
      </c>
      <c r="V110">
        <f>HYPERLINK("https://klasma.github.io/Logging_0581/artfynd/A 24233-2025 artfynd.xlsx", "A 24233-2025")</f>
        <v/>
      </c>
      <c r="W110">
        <f>HYPERLINK("https://klasma.github.io/Logging_0581/kartor/A 24233-2025 karta.png", "A 24233-2025")</f>
        <v/>
      </c>
      <c r="Y110">
        <f>HYPERLINK("https://klasma.github.io/Logging_0581/klagomål/A 24233-2025 FSC-klagomål.docx", "A 24233-2025")</f>
        <v/>
      </c>
      <c r="Z110">
        <f>HYPERLINK("https://klasma.github.io/Logging_0581/klagomålsmail/A 24233-2025 FSC-klagomål mail.docx", "A 24233-2025")</f>
        <v/>
      </c>
      <c r="AA110">
        <f>HYPERLINK("https://klasma.github.io/Logging_0581/tillsyn/A 24233-2025 tillsynsbegäran.docx", "A 24233-2025")</f>
        <v/>
      </c>
      <c r="AB110">
        <f>HYPERLINK("https://klasma.github.io/Logging_0581/tillsynsmail/A 24233-2025 tillsynsbegäran mail.docx", "A 24233-2025")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46221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s="2" t="inlineStr">
        <is>
          <t>Bredbrämad bastardsvärmare
Älg</t>
        </is>
      </c>
      <c r="V111">
        <f>HYPERLINK("https://klasma.github.io/Logging_0581/artfynd/A 31335-2026 artfynd.xlsx", "A 31335-2026")</f>
        <v/>
      </c>
      <c r="W111">
        <f>HYPERLINK("https://klasma.github.io/Logging_0581/kartor/A 31335-2026 karta.png", "A 31335-2026")</f>
        <v/>
      </c>
      <c r="Y111">
        <f>HYPERLINK("https://klasma.github.io/Logging_0581/klagomål/A 31335-2026 FSC-klagomål.docx", "A 31335-2026")</f>
        <v/>
      </c>
      <c r="Z111">
        <f>HYPERLINK("https://klasma.github.io/Logging_0581/klagomålsmail/A 31335-2026 FSC-klagomål mail.docx", "A 31335-2026")</f>
        <v/>
      </c>
      <c r="AA111">
        <f>HYPERLINK("https://klasma.github.io/Logging_0581/tillsyn/A 31335-2026 tillsynsbegäran.docx", "A 31335-2026")</f>
        <v/>
      </c>
      <c r="AB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46221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Jungfrulin
Blåmossa</t>
        </is>
      </c>
      <c r="V112">
        <f>HYPERLINK("https://klasma.github.io/Logging_0581/artfynd/A 18682-2025 artfynd.xlsx", "A 18682-2025")</f>
        <v/>
      </c>
      <c r="W112">
        <f>HYPERLINK("https://klasma.github.io/Logging_0581/kartor/A 18682-2025 karta.png", "A 18682-2025")</f>
        <v/>
      </c>
      <c r="Y112">
        <f>HYPERLINK("https://klasma.github.io/Logging_0581/klagomål/A 18682-2025 FSC-klagomål.docx", "A 18682-2025")</f>
        <v/>
      </c>
      <c r="Z112">
        <f>HYPERLINK("https://klasma.github.io/Logging_0581/klagomålsmail/A 18682-2025 FSC-klagomål mail.docx", "A 18682-2025")</f>
        <v/>
      </c>
      <c r="AA112">
        <f>HYPERLINK("https://klasma.github.io/Logging_0581/tillsyn/A 18682-2025 tillsynsbegäran.docx", "A 18682-2025")</f>
        <v/>
      </c>
      <c r="AB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46221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s="2" t="inlineStr">
        <is>
          <t>Blåmossa
Revlummer</t>
        </is>
      </c>
      <c r="V113">
        <f>HYPERLINK("https://klasma.github.io/Logging_0581/artfynd/A 21799-2025 artfynd.xlsx", "A 21799-2025")</f>
        <v/>
      </c>
      <c r="W113">
        <f>HYPERLINK("https://klasma.github.io/Logging_0581/kartor/A 21799-2025 karta.png", "A 21799-2025")</f>
        <v/>
      </c>
      <c r="Y113">
        <f>HYPERLINK("https://klasma.github.io/Logging_0581/klagomål/A 21799-2025 FSC-klagomål.docx", "A 21799-2025")</f>
        <v/>
      </c>
      <c r="Z113">
        <f>HYPERLINK("https://klasma.github.io/Logging_0581/klagomålsmail/A 21799-2025 FSC-klagomål mail.docx", "A 21799-2025")</f>
        <v/>
      </c>
      <c r="AA113">
        <f>HYPERLINK("https://klasma.github.io/Logging_0581/tillsyn/A 21799-2025 tillsynsbegäran.docx", "A 21799-2025")</f>
        <v/>
      </c>
      <c r="AB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46221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s="2" t="inlineStr">
        <is>
          <t>Tallticka
Aspvedgnagare</t>
        </is>
      </c>
      <c r="V114">
        <f>HYPERLINK("https://klasma.github.io/Logging_0581/artfynd/S 7166-2022 artfynd.xlsx", "S 7166-2022")</f>
        <v/>
      </c>
      <c r="W114">
        <f>HYPERLINK("https://klasma.github.io/Logging_0581/kartor/S 7166-2022 karta.png", "S 7166-2022")</f>
        <v/>
      </c>
      <c r="Y114">
        <f>HYPERLINK("https://klasma.github.io/Logging_0581/klagomål/S 7166-2022 FSC-klagomål.docx", "S 7166-2022")</f>
        <v/>
      </c>
      <c r="Z114">
        <f>HYPERLINK("https://klasma.github.io/Logging_0581/klagomålsmail/S 7166-2022 FSC-klagomål mail.docx", "S 7166-2022")</f>
        <v/>
      </c>
      <c r="AA114">
        <f>HYPERLINK("https://klasma.github.io/Logging_0581/tillsyn/S 7166-2022 tillsynsbegäran.docx", "S 7166-2022")</f>
        <v/>
      </c>
      <c r="AB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46221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s="2" t="inlineStr">
        <is>
          <t>Blåmossa
Revlummer</t>
        </is>
      </c>
      <c r="V115">
        <f>HYPERLINK("https://klasma.github.io/Logging_0581/artfynd/S 1518-2025 artfynd.xlsx", "S 1518-2025")</f>
        <v/>
      </c>
      <c r="W115">
        <f>HYPERLINK("https://klasma.github.io/Logging_0581/kartor/S 1518-2025 karta.png", "S 1518-2025")</f>
        <v/>
      </c>
      <c r="Y115">
        <f>HYPERLINK("https://klasma.github.io/Logging_0581/klagomål/S 1518-2025 FSC-klagomål.docx", "S 1518-2025")</f>
        <v/>
      </c>
      <c r="Z115">
        <f>HYPERLINK("https://klasma.github.io/Logging_0581/klagomålsmail/S 1518-2025 FSC-klagomål mail.docx", "S 1518-2025")</f>
        <v/>
      </c>
      <c r="AA115">
        <f>HYPERLINK("https://klasma.github.io/Logging_0581/tillsyn/S 1518-2025 tillsynsbegäran.docx", "S 1518-2025")</f>
        <v/>
      </c>
      <c r="AB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46221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s="2" t="inlineStr">
        <is>
          <t>Större vattensalamander
Mindre vattensalamander</t>
        </is>
      </c>
      <c r="V116">
        <f>HYPERLINK("https://klasma.github.io/Logging_0581/artfynd/S 2624-2025 artfynd.xlsx", "S 2624-2025")</f>
        <v/>
      </c>
      <c r="W116">
        <f>HYPERLINK("https://klasma.github.io/Logging_0581/kartor/S 2624-2025 karta.png", "S 2624-2025")</f>
        <v/>
      </c>
      <c r="Y116">
        <f>HYPERLINK("https://klasma.github.io/Logging_0581/klagomål/S 2624-2025 FSC-klagomål.docx", "S 2624-2025")</f>
        <v/>
      </c>
      <c r="Z116">
        <f>HYPERLINK("https://klasma.github.io/Logging_0581/klagomålsmail/S 2624-2025 FSC-klagomål mail.docx", "S 2624-2025")</f>
        <v/>
      </c>
      <c r="AA116">
        <f>HYPERLINK("https://klasma.github.io/Logging_0581/tillsyn/S 2624-2025 tillsynsbegäran.docx", "S 2624-2025")</f>
        <v/>
      </c>
      <c r="AB116">
        <f>HYPERLINK("https://klasma.github.io/Logging_0581/tillsynsmail/S 2624-2025 tillsynsbegäran mail.docx", "S 2624-2025")</f>
        <v/>
      </c>
    </row>
    <row r="117" ht="15" customHeight="1">
      <c r="A117" t="inlineStr">
        <is>
          <t>A 42188-2021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46221</v>
      </c>
      <c r="F117" t="inlineStr">
        <is>
          <t>ÖSTERGÖTLANDS LÄN</t>
        </is>
      </c>
      <c r="G117" t="inlineStr">
        <is>
          <t>NORRKÖPING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Ängsnycklar</t>
        </is>
      </c>
      <c r="V117">
        <f>HYPERLINK("https://klasma.github.io/Logging_0581/artfynd/A 42188-2021 artfynd.xlsx", "A 42188-2021")</f>
        <v/>
      </c>
      <c r="W117">
        <f>HYPERLINK("https://klasma.github.io/Logging_0581/kartor/A 42188-2021 karta.png", "A 42188-2021")</f>
        <v/>
      </c>
      <c r="Y117">
        <f>HYPERLINK("https://klasma.github.io/Logging_0581/klagomål/A 42188-2021 FSC-klagomål.docx", "A 42188-2021")</f>
        <v/>
      </c>
      <c r="Z117">
        <f>HYPERLINK("https://klasma.github.io/Logging_0581/klagomålsmail/A 42188-2021 FSC-klagomål mail.docx", "A 42188-2021")</f>
        <v/>
      </c>
      <c r="AA117">
        <f>HYPERLINK("https://klasma.github.io/Logging_0581/tillsyn/A 42188-2021 tillsynsbegäran.docx", "A 42188-2021")</f>
        <v/>
      </c>
      <c r="AB117">
        <f>HYPERLINK("https://klasma.github.io/Logging_0581/tillsynsmail/A 42188-2021 tillsynsbegäran mail.docx", "A 42188-2021")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46221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Vätteros</t>
        </is>
      </c>
      <c r="V118">
        <f>HYPERLINK("https://klasma.github.io/Logging_0581/artfynd/A 56584-2021 artfynd.xlsx", "A 56584-2021")</f>
        <v/>
      </c>
      <c r="W118">
        <f>HYPERLINK("https://klasma.github.io/Logging_0581/kartor/A 56584-2021 karta.png", "A 56584-2021")</f>
        <v/>
      </c>
      <c r="Y118">
        <f>HYPERLINK("https://klasma.github.io/Logging_0581/klagomål/A 56584-2021 FSC-klagomål.docx", "A 56584-2021")</f>
        <v/>
      </c>
      <c r="Z118">
        <f>HYPERLINK("https://klasma.github.io/Logging_0581/klagomålsmail/A 56584-2021 FSC-klagomål mail.docx", "A 56584-2021")</f>
        <v/>
      </c>
      <c r="AA118">
        <f>HYPERLINK("https://klasma.github.io/Logging_0581/tillsyn/A 56584-2021 tillsynsbegäran.docx", "A 56584-2021")</f>
        <v/>
      </c>
      <c r="AB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46221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Blåsippa</t>
        </is>
      </c>
      <c r="V119">
        <f>HYPERLINK("https://klasma.github.io/Logging_0581/artfynd/A 67652-2021 artfynd.xlsx", "A 67652-2021")</f>
        <v/>
      </c>
      <c r="W119">
        <f>HYPERLINK("https://klasma.github.io/Logging_0581/kartor/A 67652-2021 karta.png", "A 67652-2021")</f>
        <v/>
      </c>
      <c r="Y119">
        <f>HYPERLINK("https://klasma.github.io/Logging_0581/klagomål/A 67652-2021 FSC-klagomål.docx", "A 67652-2021")</f>
        <v/>
      </c>
      <c r="Z119">
        <f>HYPERLINK("https://klasma.github.io/Logging_0581/klagomålsmail/A 67652-2021 FSC-klagomål mail.docx", "A 67652-2021")</f>
        <v/>
      </c>
      <c r="AA119">
        <f>HYPERLINK("https://klasma.github.io/Logging_0581/tillsyn/A 67652-2021 tillsynsbegäran.docx", "A 67652-2021")</f>
        <v/>
      </c>
      <c r="AB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46221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Skogsklocka</t>
        </is>
      </c>
      <c r="V120">
        <f>HYPERLINK("https://klasma.github.io/Logging_0581/artfynd/A 48612-2021 artfynd.xlsx", "A 48612-2021")</f>
        <v/>
      </c>
      <c r="W120">
        <f>HYPERLINK("https://klasma.github.io/Logging_0581/kartor/A 48612-2021 karta.png", "A 48612-2021")</f>
        <v/>
      </c>
      <c r="Y120">
        <f>HYPERLINK("https://klasma.github.io/Logging_0581/klagomål/A 48612-2021 FSC-klagomål.docx", "A 48612-2021")</f>
        <v/>
      </c>
      <c r="Z120">
        <f>HYPERLINK("https://klasma.github.io/Logging_0581/klagomålsmail/A 48612-2021 FSC-klagomål mail.docx", "A 48612-2021")</f>
        <v/>
      </c>
      <c r="AA120">
        <f>HYPERLINK("https://klasma.github.io/Logging_0581/tillsyn/A 48612-2021 tillsynsbegäran.docx", "A 48612-2021")</f>
        <v/>
      </c>
      <c r="AB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46221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Vaddporing</t>
        </is>
      </c>
      <c r="V121">
        <f>HYPERLINK("https://klasma.github.io/Logging_0581/artfynd/A 38626-2022 artfynd.xlsx", "A 38626-2022")</f>
        <v/>
      </c>
      <c r="W121">
        <f>HYPERLINK("https://klasma.github.io/Logging_0581/kartor/A 38626-2022 karta.png", "A 38626-2022")</f>
        <v/>
      </c>
      <c r="Y121">
        <f>HYPERLINK("https://klasma.github.io/Logging_0581/klagomål/A 38626-2022 FSC-klagomål.docx", "A 38626-2022")</f>
        <v/>
      </c>
      <c r="Z121">
        <f>HYPERLINK("https://klasma.github.io/Logging_0581/klagomålsmail/A 38626-2022 FSC-klagomål mail.docx", "A 38626-2022")</f>
        <v/>
      </c>
      <c r="AA121">
        <f>HYPERLINK("https://klasma.github.io/Logging_0581/tillsyn/A 38626-2022 tillsynsbegäran.docx", "A 38626-2022")</f>
        <v/>
      </c>
      <c r="AB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46221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Tallticka</t>
        </is>
      </c>
      <c r="V122">
        <f>HYPERLINK("https://klasma.github.io/Logging_0581/artfynd/A 59092-2021 artfynd.xlsx", "A 59092-2021")</f>
        <v/>
      </c>
      <c r="W122">
        <f>HYPERLINK("https://klasma.github.io/Logging_0581/kartor/A 59092-2021 karta.png", "A 59092-2021")</f>
        <v/>
      </c>
      <c r="Y122">
        <f>HYPERLINK("https://klasma.github.io/Logging_0581/klagomål/A 59092-2021 FSC-klagomål.docx", "A 59092-2021")</f>
        <v/>
      </c>
      <c r="Z122">
        <f>HYPERLINK("https://klasma.github.io/Logging_0581/klagomålsmail/A 59092-2021 FSC-klagomål mail.docx", "A 59092-2021")</f>
        <v/>
      </c>
      <c r="AA122">
        <f>HYPERLINK("https://klasma.github.io/Logging_0581/tillsyn/A 59092-2021 tillsynsbegäran.docx", "A 59092-2021")</f>
        <v/>
      </c>
      <c r="AB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46221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groda</t>
        </is>
      </c>
      <c r="V123">
        <f>HYPERLINK("https://klasma.github.io/Logging_0581/artfynd/A 55412-2021 artfynd.xlsx", "A 55412-2021")</f>
        <v/>
      </c>
      <c r="W123">
        <f>HYPERLINK("https://klasma.github.io/Logging_0581/kartor/A 55412-2021 karta.png", "A 55412-2021")</f>
        <v/>
      </c>
      <c r="Y123">
        <f>HYPERLINK("https://klasma.github.io/Logging_0581/klagomål/A 55412-2021 FSC-klagomål.docx", "A 55412-2021")</f>
        <v/>
      </c>
      <c r="Z123">
        <f>HYPERLINK("https://klasma.github.io/Logging_0581/klagomålsmail/A 55412-2021 FSC-klagomål mail.docx", "A 55412-2021")</f>
        <v/>
      </c>
      <c r="AA123">
        <f>HYPERLINK("https://klasma.github.io/Logging_0581/tillsyn/A 55412-2021 tillsynsbegäran.docx", "A 55412-2021")</f>
        <v/>
      </c>
      <c r="AB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46221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Purpurknipprot</t>
        </is>
      </c>
      <c r="V124">
        <f>HYPERLINK("https://klasma.github.io/Logging_0581/artfynd/A 9941-2024 artfynd.xlsx", "A 9941-2024")</f>
        <v/>
      </c>
      <c r="W124">
        <f>HYPERLINK("https://klasma.github.io/Logging_0581/kartor/A 9941-2024 karta.png", "A 9941-2024")</f>
        <v/>
      </c>
      <c r="Y124">
        <f>HYPERLINK("https://klasma.github.io/Logging_0581/klagomål/A 9941-2024 FSC-klagomål.docx", "A 9941-2024")</f>
        <v/>
      </c>
      <c r="Z124">
        <f>HYPERLINK("https://klasma.github.io/Logging_0581/klagomålsmail/A 9941-2024 FSC-klagomål mail.docx", "A 9941-2024")</f>
        <v/>
      </c>
      <c r="AA124">
        <f>HYPERLINK("https://klasma.github.io/Logging_0581/tillsyn/A 9941-2024 tillsynsbegäran.docx", "A 9941-2024")</f>
        <v/>
      </c>
      <c r="AB124">
        <f>HYPERLINK("https://klasma.github.io/Logging_0581/tillsynsmail/A 9941-2024 tillsynsbegäran mail.docx", "A 9941-2024")</f>
        <v/>
      </c>
    </row>
    <row r="125" ht="15" customHeight="1">
      <c r="A125" t="inlineStr">
        <is>
          <t>A 31582-2023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46221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HYPERLINK("https://klasma.github.io/Logging_0581/artfynd/A 31582-2023 artfynd.xlsx", "A 31582-2023")</f>
        <v/>
      </c>
      <c r="W125">
        <f>HYPERLINK("https://klasma.github.io/Logging_0581/kartor/A 31582-2023 karta.png", "A 31582-2023")</f>
        <v/>
      </c>
      <c r="Y125">
        <f>HYPERLINK("https://klasma.github.io/Logging_0581/klagomål/A 31582-2023 FSC-klagomål.docx", "A 31582-2023")</f>
        <v/>
      </c>
      <c r="Z125">
        <f>HYPERLINK("https://klasma.github.io/Logging_0581/klagomålsmail/A 31582-2023 FSC-klagomål mail.docx", "A 31582-2023")</f>
        <v/>
      </c>
      <c r="AA125">
        <f>HYPERLINK("https://klasma.github.io/Logging_0581/tillsyn/A 31582-2023 tillsynsbegäran.docx", "A 31582-2023")</f>
        <v/>
      </c>
      <c r="AB125">
        <f>HYPERLINK("https://klasma.github.io/Logging_0581/tillsynsmail/A 31582-2023 tillsynsbegäran mail.docx", "A 31582-2023")</f>
        <v/>
      </c>
      <c r="AC125">
        <f>HYPERLINK("https://klasma.github.io/Logging_0581/fåglar/A 31582-2023 prioriterade fågelarter.docx", "A 31582-2023")</f>
        <v/>
      </c>
    </row>
    <row r="126" ht="15" customHeight="1">
      <c r="A126" t="inlineStr">
        <is>
          <t>A 46671-2024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s="2" t="inlineStr">
        <is>
          <t>Kattfotslav</t>
        </is>
      </c>
      <c r="V126">
        <f>HYPERLINK("https://klasma.github.io/Logging_0581/artfynd/A 46671-2024 artfynd.xlsx", "A 46671-2024")</f>
        <v/>
      </c>
      <c r="W126">
        <f>HYPERLINK("https://klasma.github.io/Logging_0581/kartor/A 46671-2024 karta.png", "A 46671-2024")</f>
        <v/>
      </c>
      <c r="Y126">
        <f>HYPERLINK("https://klasma.github.io/Logging_0581/klagomål/A 46671-2024 FSC-klagomål.docx", "A 46671-2024")</f>
        <v/>
      </c>
      <c r="Z126">
        <f>HYPERLINK("https://klasma.github.io/Logging_0581/klagomålsmail/A 46671-2024 FSC-klagomål mail.docx", "A 46671-2024")</f>
        <v/>
      </c>
      <c r="AA126">
        <f>HYPERLINK("https://klasma.github.io/Logging_0581/tillsyn/A 46671-2024 tillsynsbegäran.docx", "A 46671-2024")</f>
        <v/>
      </c>
      <c r="AB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46221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HYPERLINK("https://klasma.github.io/Logging_0581/artfynd/A 40053-2025 artfynd.xlsx", "A 40053-2025")</f>
        <v/>
      </c>
      <c r="W127">
        <f>HYPERLINK("https://klasma.github.io/Logging_0581/kartor/A 40053-2025 karta.png", "A 40053-2025")</f>
        <v/>
      </c>
      <c r="Y127">
        <f>HYPERLINK("https://klasma.github.io/Logging_0581/klagomål/A 40053-2025 FSC-klagomål.docx", "A 40053-2025")</f>
        <v/>
      </c>
      <c r="Z127">
        <f>HYPERLINK("https://klasma.github.io/Logging_0581/klagomålsmail/A 40053-2025 FSC-klagomål mail.docx", "A 40053-2025")</f>
        <v/>
      </c>
      <c r="AA127">
        <f>HYPERLINK("https://klasma.github.io/Logging_0581/tillsyn/A 40053-2025 tillsynsbegäran.docx", "A 40053-2025")</f>
        <v/>
      </c>
      <c r="AB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46221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HYPERLINK("https://klasma.github.io/Logging_0581/artfynd/A 40095-2025 artfynd.xlsx", "A 40095-2025")</f>
        <v/>
      </c>
      <c r="W128">
        <f>HYPERLINK("https://klasma.github.io/Logging_0581/kartor/A 40095-2025 karta.png", "A 40095-2025")</f>
        <v/>
      </c>
      <c r="Y128">
        <f>HYPERLINK("https://klasma.github.io/Logging_0581/klagomål/A 40095-2025 FSC-klagomål.docx", "A 40095-2025")</f>
        <v/>
      </c>
      <c r="Z128">
        <f>HYPERLINK("https://klasma.github.io/Logging_0581/klagomålsmail/A 40095-2025 FSC-klagomål mail.docx", "A 40095-2025")</f>
        <v/>
      </c>
      <c r="AA128">
        <f>HYPERLINK("https://klasma.github.io/Logging_0581/tillsyn/A 40095-2025 tillsynsbegäran.docx", "A 40095-2025")</f>
        <v/>
      </c>
      <c r="AB128">
        <f>HYPERLINK("https://klasma.github.io/Logging_0581/tillsynsmail/A 40095-2025 tillsynsbegäran mail.docx", "A 40095-2025")</f>
        <v/>
      </c>
      <c r="AC128">
        <f>HYPERLINK("https://klasma.github.io/Logging_0581/fåglar/A 40095-2025 prioriterade fågelarter.docx", "A 40095-2025")</f>
        <v/>
      </c>
    </row>
    <row r="129" ht="15" customHeight="1">
      <c r="A129" t="inlineStr">
        <is>
          <t>A 42233-2025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46221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Jungfrulin</t>
        </is>
      </c>
      <c r="V129">
        <f>HYPERLINK("https://klasma.github.io/Logging_0581/artfynd/A 42233-2025 artfynd.xlsx", "A 42233-2025")</f>
        <v/>
      </c>
      <c r="W129">
        <f>HYPERLINK("https://klasma.github.io/Logging_0581/kartor/A 42233-2025 karta.png", "A 42233-2025")</f>
        <v/>
      </c>
      <c r="Y129">
        <f>HYPERLINK("https://klasma.github.io/Logging_0581/klagomål/A 42233-2025 FSC-klagomål.docx", "A 42233-2025")</f>
        <v/>
      </c>
      <c r="Z129">
        <f>HYPERLINK("https://klasma.github.io/Logging_0581/klagomålsmail/A 42233-2025 FSC-klagomål mail.docx", "A 42233-2025")</f>
        <v/>
      </c>
      <c r="AA129">
        <f>HYPERLINK("https://klasma.github.io/Logging_0581/tillsyn/A 42233-2025 tillsynsbegäran.docx", "A 42233-2025")</f>
        <v/>
      </c>
      <c r="AB129">
        <f>HYPERLINK("https://klasma.github.io/Logging_0581/tillsynsmail/A 42233-2025 tillsynsbegäran mail.docx", "A 42233-2025")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46221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Blåmossa</t>
        </is>
      </c>
      <c r="V130">
        <f>HYPERLINK("https://klasma.github.io/Logging_0581/artfynd/A 31320-2025 artfynd.xlsx", "A 31320-2025")</f>
        <v/>
      </c>
      <c r="W130">
        <f>HYPERLINK("https://klasma.github.io/Logging_0581/kartor/A 31320-2025 karta.png", "A 31320-2025")</f>
        <v/>
      </c>
      <c r="Y130">
        <f>HYPERLINK("https://klasma.github.io/Logging_0581/klagomål/A 31320-2025 FSC-klagomål.docx", "A 31320-2025")</f>
        <v/>
      </c>
      <c r="Z130">
        <f>HYPERLINK("https://klasma.github.io/Logging_0581/klagomålsmail/A 31320-2025 FSC-klagomål mail.docx", "A 31320-2025")</f>
        <v/>
      </c>
      <c r="AA130">
        <f>HYPERLINK("https://klasma.github.io/Logging_0581/tillsyn/A 31320-2025 tillsynsbegäran.docx", "A 31320-2025")</f>
        <v/>
      </c>
      <c r="AB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46221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Kattfotslav</t>
        </is>
      </c>
      <c r="V131">
        <f>HYPERLINK("https://klasma.github.io/Logging_0581/artfynd/A 42548-2025 artfynd.xlsx", "A 42548-2025")</f>
        <v/>
      </c>
      <c r="W131">
        <f>HYPERLINK("https://klasma.github.io/Logging_0581/kartor/A 42548-2025 karta.png", "A 42548-2025")</f>
        <v/>
      </c>
      <c r="Y131">
        <f>HYPERLINK("https://klasma.github.io/Logging_0581/klagomål/A 42548-2025 FSC-klagomål.docx", "A 42548-2025")</f>
        <v/>
      </c>
      <c r="Z131">
        <f>HYPERLINK("https://klasma.github.io/Logging_0581/klagomålsmail/A 42548-2025 FSC-klagomål mail.docx", "A 42548-2025")</f>
        <v/>
      </c>
      <c r="AA131">
        <f>HYPERLINK("https://klasma.github.io/Logging_0581/tillsyn/A 42548-2025 tillsynsbegäran.docx", "A 42548-2025")</f>
        <v/>
      </c>
      <c r="AB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62973-2021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46221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Krusfrö</t>
        </is>
      </c>
      <c r="V132">
        <f>HYPERLINK("https://klasma.github.io/Logging_0581/artfynd/A 62973-2021 artfynd.xlsx", "A 62973-2021")</f>
        <v/>
      </c>
      <c r="W132">
        <f>HYPERLINK("https://klasma.github.io/Logging_0581/kartor/A 62973-2021 karta.png", "A 62973-2021")</f>
        <v/>
      </c>
      <c r="Y132">
        <f>HYPERLINK("https://klasma.github.io/Logging_0581/klagomål/A 62973-2021 FSC-klagomål.docx", "A 62973-2021")</f>
        <v/>
      </c>
      <c r="Z132">
        <f>HYPERLINK("https://klasma.github.io/Logging_0581/klagomålsmail/A 62973-2021 FSC-klagomål mail.docx", "A 62973-2021")</f>
        <v/>
      </c>
      <c r="AA132">
        <f>HYPERLINK("https://klasma.github.io/Logging_0581/tillsyn/A 62973-2021 tillsynsbegäran.docx", "A 62973-2021")</f>
        <v/>
      </c>
      <c r="AB132">
        <f>HYPERLINK("https://klasma.github.io/Logging_0581/tillsynsmail/A 62973-2021 tillsynsbegäran mail.docx", "A 62973-2021")</f>
        <v/>
      </c>
    </row>
    <row r="133" ht="15" customHeight="1">
      <c r="A133" t="inlineStr">
        <is>
          <t>A 2545-2023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46221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Hasselticka</t>
        </is>
      </c>
      <c r="V133">
        <f>HYPERLINK("https://klasma.github.io/Logging_0581/artfynd/A 2545-2023 artfynd.xlsx", "A 2545-2023")</f>
        <v/>
      </c>
      <c r="W133">
        <f>HYPERLINK("https://klasma.github.io/Logging_0581/kartor/A 2545-2023 karta.png", "A 2545-2023")</f>
        <v/>
      </c>
      <c r="Y133">
        <f>HYPERLINK("https://klasma.github.io/Logging_0581/klagomål/A 2545-2023 FSC-klagomål.docx", "A 2545-2023")</f>
        <v/>
      </c>
      <c r="Z133">
        <f>HYPERLINK("https://klasma.github.io/Logging_0581/klagomålsmail/A 2545-2023 FSC-klagomål mail.docx", "A 2545-2023")</f>
        <v/>
      </c>
      <c r="AA133">
        <f>HYPERLINK("https://klasma.github.io/Logging_0581/tillsyn/A 2545-2023 tillsynsbegäran.docx", "A 2545-2023")</f>
        <v/>
      </c>
      <c r="AB133">
        <f>HYPERLINK("https://klasma.github.io/Logging_0581/tillsynsmail/A 2545-2023 tillsynsbegäran mail.docx", "A 2545-2023")</f>
        <v/>
      </c>
    </row>
    <row r="134" ht="15" customHeight="1">
      <c r="A134" t="inlineStr">
        <is>
          <t>A 58711-2023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46221</v>
      </c>
      <c r="F134" t="inlineStr">
        <is>
          <t>ÖSTERGÖTLANDS LÄN</t>
        </is>
      </c>
      <c r="G134" t="inlineStr">
        <is>
          <t>NORRKÖPING</t>
        </is>
      </c>
      <c r="I134" t="n">
        <v>4.3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Ängsskära</t>
        </is>
      </c>
      <c r="V134">
        <f>HYPERLINK("https://klasma.github.io/Logging_0581/artfynd/A 58711-2023 artfynd.xlsx", "A 58711-2023")</f>
        <v/>
      </c>
      <c r="W134">
        <f>HYPERLINK("https://klasma.github.io/Logging_0581/kartor/A 58711-2023 karta.png", "A 58711-2023")</f>
        <v/>
      </c>
      <c r="Y134">
        <f>HYPERLINK("https://klasma.github.io/Logging_0581/klagomål/A 58711-2023 FSC-klagomål.docx", "A 58711-2023")</f>
        <v/>
      </c>
      <c r="Z134">
        <f>HYPERLINK("https://klasma.github.io/Logging_0581/klagomålsmail/A 58711-2023 FSC-klagomål mail.docx", "A 58711-2023")</f>
        <v/>
      </c>
      <c r="AA134">
        <f>HYPERLINK("https://klasma.github.io/Logging_0581/tillsyn/A 58711-2023 tillsynsbegäran.docx", "A 58711-2023")</f>
        <v/>
      </c>
      <c r="AB134">
        <f>HYPERLINK("https://klasma.github.io/Logging_0581/tillsynsmail/A 58711-2023 tillsynsbegäran mail.docx", "A 58711-2023")</f>
        <v/>
      </c>
    </row>
    <row r="135" ht="15" customHeight="1">
      <c r="A135" t="inlineStr">
        <is>
          <t>A 19995-2025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46221</v>
      </c>
      <c r="F135" t="inlineStr">
        <is>
          <t>ÖSTERGÖTLANDS LÄN</t>
        </is>
      </c>
      <c r="G135" t="inlineStr">
        <is>
          <t>NORRKÖPING</t>
        </is>
      </c>
      <c r="I135" t="n">
        <v>1.1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Blomkålssvamp</t>
        </is>
      </c>
      <c r="V135">
        <f>HYPERLINK("https://klasma.github.io/Logging_0581/artfynd/A 19995-2025 artfynd.xlsx", "A 19995-2025")</f>
        <v/>
      </c>
      <c r="W135">
        <f>HYPERLINK("https://klasma.github.io/Logging_0581/kartor/A 19995-2025 karta.png", "A 19995-2025")</f>
        <v/>
      </c>
      <c r="Y135">
        <f>HYPERLINK("https://klasma.github.io/Logging_0581/klagomål/A 19995-2025 FSC-klagomål.docx", "A 19995-2025")</f>
        <v/>
      </c>
      <c r="Z135">
        <f>HYPERLINK("https://klasma.github.io/Logging_0581/klagomålsmail/A 19995-2025 FSC-klagomål mail.docx", "A 19995-2025")</f>
        <v/>
      </c>
      <c r="AA135">
        <f>HYPERLINK("https://klasma.github.io/Logging_0581/tillsyn/A 19995-2025 tillsynsbegäran.docx", "A 19995-2025")</f>
        <v/>
      </c>
      <c r="AB135">
        <f>HYPERLINK("https://klasma.github.io/Logging_0581/tillsynsmail/A 19995-2025 tillsynsbegäran mail.docx", "A 19995-2025")</f>
        <v/>
      </c>
    </row>
    <row r="136" ht="15" customHeight="1">
      <c r="A136" t="inlineStr">
        <is>
          <t>A 34078-2025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46221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Järpe</t>
        </is>
      </c>
      <c r="V136">
        <f>HYPERLINK("https://klasma.github.io/Logging_0581/artfynd/A 34078-2025 artfynd.xlsx", "A 34078-2025")</f>
        <v/>
      </c>
      <c r="W136">
        <f>HYPERLINK("https://klasma.github.io/Logging_0581/kartor/A 34078-2025 karta.png", "A 34078-2025")</f>
        <v/>
      </c>
      <c r="Y136">
        <f>HYPERLINK("https://klasma.github.io/Logging_0581/klagomål/A 34078-2025 FSC-klagomål.docx", "A 34078-2025")</f>
        <v/>
      </c>
      <c r="Z136">
        <f>HYPERLINK("https://klasma.github.io/Logging_0581/klagomålsmail/A 34078-2025 FSC-klagomål mail.docx", "A 34078-2025")</f>
        <v/>
      </c>
      <c r="AA136">
        <f>HYPERLINK("https://klasma.github.io/Logging_0581/tillsyn/A 34078-2025 tillsynsbegäran.docx", "A 34078-2025")</f>
        <v/>
      </c>
      <c r="AB136">
        <f>HYPERLINK("https://klasma.github.io/Logging_0581/tillsynsmail/A 34078-2025 tillsynsbegäran mail.docx", "A 34078-2025")</f>
        <v/>
      </c>
      <c r="AC136">
        <f>HYPERLINK("https://klasma.github.io/Logging_0581/fåglar/A 34078-2025 prioriterade fågelarter.docx", "A 34078-2025")</f>
        <v/>
      </c>
    </row>
    <row r="137" ht="15" customHeight="1">
      <c r="A137" t="inlineStr">
        <is>
          <t>A 46201-2025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46221</v>
      </c>
      <c r="F137" t="inlineStr">
        <is>
          <t>ÖSTERGÖTLANDS LÄN</t>
        </is>
      </c>
      <c r="G137" t="inlineStr">
        <is>
          <t>NORRKÖPING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Hasselticka</t>
        </is>
      </c>
      <c r="V137">
        <f>HYPERLINK("https://klasma.github.io/Logging_0581/artfynd/A 46201-2025 artfynd.xlsx", "A 46201-2025")</f>
        <v/>
      </c>
      <c r="W137">
        <f>HYPERLINK("https://klasma.github.io/Logging_0581/kartor/A 46201-2025 karta.png", "A 46201-2025")</f>
        <v/>
      </c>
      <c r="Y137">
        <f>HYPERLINK("https://klasma.github.io/Logging_0581/klagomål/A 46201-2025 FSC-klagomål.docx", "A 46201-2025")</f>
        <v/>
      </c>
      <c r="Z137">
        <f>HYPERLINK("https://klasma.github.io/Logging_0581/klagomålsmail/A 46201-2025 FSC-klagomål mail.docx", "A 46201-2025")</f>
        <v/>
      </c>
      <c r="AA137">
        <f>HYPERLINK("https://klasma.github.io/Logging_0581/tillsyn/A 46201-2025 tillsynsbegäran.docx", "A 46201-2025")</f>
        <v/>
      </c>
      <c r="AB137">
        <f>HYPERLINK("https://klasma.github.io/Logging_0581/tillsynsmail/A 46201-2025 tillsynsbegäran mail.docx", "A 46201-2025")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46221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Sparvuggla</t>
        </is>
      </c>
      <c r="V138">
        <f>HYPERLINK("https://klasma.github.io/Logging_0581/artfynd/A 3247-2024 artfynd.xlsx", "A 3247-2024")</f>
        <v/>
      </c>
      <c r="W138">
        <f>HYPERLINK("https://klasma.github.io/Logging_0581/kartor/A 3247-2024 karta.png", "A 3247-2024")</f>
        <v/>
      </c>
      <c r="Y138">
        <f>HYPERLINK("https://klasma.github.io/Logging_0581/klagomål/A 3247-2024 FSC-klagomål.docx", "A 3247-2024")</f>
        <v/>
      </c>
      <c r="Z138">
        <f>HYPERLINK("https://klasma.github.io/Logging_0581/klagomålsmail/A 3247-2024 FSC-klagomål mail.docx", "A 3247-2024")</f>
        <v/>
      </c>
      <c r="AA138">
        <f>HYPERLINK("https://klasma.github.io/Logging_0581/tillsyn/A 3247-2024 tillsynsbegäran.docx", "A 3247-2024")</f>
        <v/>
      </c>
      <c r="AB138">
        <f>HYPERLINK("https://klasma.github.io/Logging_0581/tillsynsmail/A 3247-2024 tillsynsbegäran mail.docx", "A 3247-2024")</f>
        <v/>
      </c>
      <c r="AC138">
        <f>HYPERLINK("https://klasma.github.io/Logging_0581/fåglar/A 3247-2024 prioriterade fågelarter.docx", "A 3247-2024")</f>
        <v/>
      </c>
    </row>
    <row r="139" ht="15" customHeight="1">
      <c r="A139" t="inlineStr">
        <is>
          <t>A 14044-2023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45008</v>
      </c>
      <c r="E139" s="1" t="n">
        <v>46221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Tjäder</t>
        </is>
      </c>
      <c r="V139">
        <f>HYPERLINK("https://klasma.github.io/Logging_0581/artfynd/A 14044-2023 artfynd.xlsx", "A 14044-2023")</f>
        <v/>
      </c>
      <c r="W139">
        <f>HYPERLINK("https://klasma.github.io/Logging_0581/kartor/A 14044-2023 karta.png", "A 14044-2023")</f>
        <v/>
      </c>
      <c r="Y139">
        <f>HYPERLINK("https://klasma.github.io/Logging_0581/klagomål/A 14044-2023 FSC-klagomål.docx", "A 14044-2023")</f>
        <v/>
      </c>
      <c r="Z139">
        <f>HYPERLINK("https://klasma.github.io/Logging_0581/klagomålsmail/A 14044-2023 FSC-klagomål mail.docx", "A 14044-2023")</f>
        <v/>
      </c>
      <c r="AA139">
        <f>HYPERLINK("https://klasma.github.io/Logging_0581/tillsyn/A 14044-2023 tillsynsbegäran.docx", "A 14044-2023")</f>
        <v/>
      </c>
      <c r="AB139">
        <f>HYPERLINK("https://klasma.github.io/Logging_0581/tillsynsmail/A 14044-2023 tillsynsbegäran mail.docx", "A 14044-2023")</f>
        <v/>
      </c>
      <c r="AC139">
        <f>HYPERLINK("https://klasma.github.io/Logging_0581/fåglar/A 14044-2023 prioriterade fågelarter.docx", "A 14044-2023")</f>
        <v/>
      </c>
    </row>
    <row r="140" ht="15" customHeight="1">
      <c r="A140" t="inlineStr">
        <is>
          <t>A 46806-2024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46221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Vedskivlav</t>
        </is>
      </c>
      <c r="V140">
        <f>HYPERLINK("https://klasma.github.io/Logging_0581/artfynd/A 46806-2024 artfynd.xlsx", "A 46806-2024")</f>
        <v/>
      </c>
      <c r="W140">
        <f>HYPERLINK("https://klasma.github.io/Logging_0581/kartor/A 46806-2024 karta.png", "A 46806-2024")</f>
        <v/>
      </c>
      <c r="Y140">
        <f>HYPERLINK("https://klasma.github.io/Logging_0581/klagomål/A 46806-2024 FSC-klagomål.docx", "A 46806-2024")</f>
        <v/>
      </c>
      <c r="Z140">
        <f>HYPERLINK("https://klasma.github.io/Logging_0581/klagomålsmail/A 46806-2024 FSC-klagomål mail.docx", "A 46806-2024")</f>
        <v/>
      </c>
      <c r="AA140">
        <f>HYPERLINK("https://klasma.github.io/Logging_0581/tillsyn/A 46806-2024 tillsynsbegäran.docx", "A 46806-2024")</f>
        <v/>
      </c>
      <c r="AB140">
        <f>HYPERLINK("https://klasma.github.io/Logging_0581/tillsynsmail/A 46806-2024 tillsynsbegäran mail.docx", "A 46806-2024")</f>
        <v/>
      </c>
    </row>
    <row r="141" ht="15" customHeight="1">
      <c r="A141" t="inlineStr">
        <is>
          <t>A 45953-2024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45580</v>
      </c>
      <c r="E141" s="1" t="n">
        <v>46221</v>
      </c>
      <c r="F141" t="inlineStr">
        <is>
          <t>ÖSTERGÖTLANDS LÄN</t>
        </is>
      </c>
      <c r="G141" t="inlineStr">
        <is>
          <t>NORRKÖPING</t>
        </is>
      </c>
      <c r="I141" t="n">
        <v>1.9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Ekoxe</t>
        </is>
      </c>
      <c r="V141">
        <f>HYPERLINK("https://klasma.github.io/Logging_0581/artfynd/A 45953-2024 artfynd.xlsx", "A 45953-2024")</f>
        <v/>
      </c>
      <c r="W141">
        <f>HYPERLINK("https://klasma.github.io/Logging_0581/kartor/A 45953-2024 karta.png", "A 45953-2024")</f>
        <v/>
      </c>
      <c r="Y141">
        <f>HYPERLINK("https://klasma.github.io/Logging_0581/klagomål/A 45953-2024 FSC-klagomål.docx", "A 45953-2024")</f>
        <v/>
      </c>
      <c r="Z141">
        <f>HYPERLINK("https://klasma.github.io/Logging_0581/klagomålsmail/A 45953-2024 FSC-klagomål mail.docx", "A 45953-2024")</f>
        <v/>
      </c>
      <c r="AA141">
        <f>HYPERLINK("https://klasma.github.io/Logging_0581/tillsyn/A 45953-2024 tillsynsbegäran.docx", "A 45953-2024")</f>
        <v/>
      </c>
      <c r="AB141">
        <f>HYPERLINK("https://klasma.github.io/Logging_0581/tillsynsmail/A 45953-2024 tillsynsbegäran mail.docx", "A 45953-2024")</f>
        <v/>
      </c>
    </row>
    <row r="142" ht="15" customHeight="1">
      <c r="A142" t="inlineStr">
        <is>
          <t>A 24629-2025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46221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Kråka</t>
        </is>
      </c>
      <c r="V142">
        <f>HYPERLINK("https://klasma.github.io/Logging_0581/artfynd/A 24629-2025 artfynd.xlsx", "A 24629-2025")</f>
        <v/>
      </c>
      <c r="W142">
        <f>HYPERLINK("https://klasma.github.io/Logging_0581/kartor/A 24629-2025 karta.png", "A 24629-2025")</f>
        <v/>
      </c>
      <c r="Y142">
        <f>HYPERLINK("https://klasma.github.io/Logging_0581/klagomål/A 24629-2025 FSC-klagomål.docx", "A 24629-2025")</f>
        <v/>
      </c>
      <c r="Z142">
        <f>HYPERLINK("https://klasma.github.io/Logging_0581/klagomålsmail/A 24629-2025 FSC-klagomål mail.docx", "A 24629-2025")</f>
        <v/>
      </c>
      <c r="AA142">
        <f>HYPERLINK("https://klasma.github.io/Logging_0581/tillsyn/A 24629-2025 tillsynsbegäran.docx", "A 24629-2025")</f>
        <v/>
      </c>
      <c r="AB142">
        <f>HYPERLINK("https://klasma.github.io/Logging_0581/tillsynsmail/A 24629-2025 tillsynsbegäran mail.docx", "A 24629-2025")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46221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Grönpyrola</t>
        </is>
      </c>
      <c r="V143">
        <f>HYPERLINK("https://klasma.github.io/Logging_0581/artfynd/A 60899-2024 artfynd.xlsx", "A 60899-2024")</f>
        <v/>
      </c>
      <c r="W143">
        <f>HYPERLINK("https://klasma.github.io/Logging_0581/kartor/A 60899-2024 karta.png", "A 60899-2024")</f>
        <v/>
      </c>
      <c r="Y143">
        <f>HYPERLINK("https://klasma.github.io/Logging_0581/klagomål/A 60899-2024 FSC-klagomål.docx", "A 60899-2024")</f>
        <v/>
      </c>
      <c r="Z143">
        <f>HYPERLINK("https://klasma.github.io/Logging_0581/klagomålsmail/A 60899-2024 FSC-klagomål mail.docx", "A 60899-2024")</f>
        <v/>
      </c>
      <c r="AA143">
        <f>HYPERLINK("https://klasma.github.io/Logging_0581/tillsyn/A 60899-2024 tillsynsbegäran.docx", "A 60899-2024")</f>
        <v/>
      </c>
      <c r="AB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46221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Motaggsvamp</t>
        </is>
      </c>
      <c r="V144">
        <f>HYPERLINK("https://klasma.github.io/Logging_0581/artfynd/A 27236-2023 artfynd.xlsx", "A 27236-2023")</f>
        <v/>
      </c>
      <c r="W144">
        <f>HYPERLINK("https://klasma.github.io/Logging_0581/kartor/A 27236-2023 karta.png", "A 27236-2023")</f>
        <v/>
      </c>
      <c r="Y144">
        <f>HYPERLINK("https://klasma.github.io/Logging_0581/klagomål/A 27236-2023 FSC-klagomål.docx", "A 27236-2023")</f>
        <v/>
      </c>
      <c r="Z144">
        <f>HYPERLINK("https://klasma.github.io/Logging_0581/klagomålsmail/A 27236-2023 FSC-klagomål mail.docx", "A 27236-2023")</f>
        <v/>
      </c>
      <c r="AA144">
        <f>HYPERLINK("https://klasma.github.io/Logging_0581/tillsyn/A 27236-2023 tillsynsbegäran.docx", "A 27236-2023")</f>
        <v/>
      </c>
      <c r="AB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Tjäder</t>
        </is>
      </c>
      <c r="V145">
        <f>HYPERLINK("https://klasma.github.io/Logging_0581/artfynd/A 31659-2023 artfynd.xlsx", "A 31659-2023")</f>
        <v/>
      </c>
      <c r="W145">
        <f>HYPERLINK("https://klasma.github.io/Logging_0581/kartor/A 31659-2023 karta.png", "A 31659-2023")</f>
        <v/>
      </c>
      <c r="Y145">
        <f>HYPERLINK("https://klasma.github.io/Logging_0581/klagomål/A 31659-2023 FSC-klagomål.docx", "A 31659-2023")</f>
        <v/>
      </c>
      <c r="Z145">
        <f>HYPERLINK("https://klasma.github.io/Logging_0581/klagomålsmail/A 31659-2023 FSC-klagomål mail.docx", "A 31659-2023")</f>
        <v/>
      </c>
      <c r="AA145">
        <f>HYPERLINK("https://klasma.github.io/Logging_0581/tillsyn/A 31659-2023 tillsynsbegäran.docx", "A 31659-2023")</f>
        <v/>
      </c>
      <c r="AB145">
        <f>HYPERLINK("https://klasma.github.io/Logging_0581/tillsynsmail/A 31659-2023 tillsynsbegäran mail.docx", "A 31659-2023")</f>
        <v/>
      </c>
      <c r="AC145">
        <f>HYPERLINK("https://klasma.github.io/Logging_0581/fåglar/A 31659-2023 prioriterade fågelarter.docx", "A 31659-2023")</f>
        <v/>
      </c>
    </row>
    <row r="146" ht="15" customHeight="1">
      <c r="A146" t="inlineStr">
        <is>
          <t>A 7317-2025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45702</v>
      </c>
      <c r="E146" s="1" t="n">
        <v>46221</v>
      </c>
      <c r="F146" t="inlineStr">
        <is>
          <t>ÖSTERGÖTLANDS LÄN</t>
        </is>
      </c>
      <c r="G146" t="inlineStr">
        <is>
          <t>NORRKÖPING</t>
        </is>
      </c>
      <c r="I146" t="n">
        <v>1.4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Backklöver</t>
        </is>
      </c>
      <c r="V146">
        <f>HYPERLINK("https://klasma.github.io/Logging_0581/artfynd/A 7317-2025 artfynd.xlsx", "A 7317-2025")</f>
        <v/>
      </c>
      <c r="W146">
        <f>HYPERLINK("https://klasma.github.io/Logging_0581/kartor/A 7317-2025 karta.png", "A 7317-2025")</f>
        <v/>
      </c>
      <c r="Y146">
        <f>HYPERLINK("https://klasma.github.io/Logging_0581/klagomål/A 7317-2025 FSC-klagomål.docx", "A 7317-2025")</f>
        <v/>
      </c>
      <c r="Z146">
        <f>HYPERLINK("https://klasma.github.io/Logging_0581/klagomålsmail/A 7317-2025 FSC-klagomål mail.docx", "A 7317-2025")</f>
        <v/>
      </c>
      <c r="AA146">
        <f>HYPERLINK("https://klasma.github.io/Logging_0581/tillsyn/A 7317-2025 tillsynsbegäran.docx", "A 7317-2025")</f>
        <v/>
      </c>
      <c r="AB146">
        <f>HYPERLINK("https://klasma.github.io/Logging_0581/tillsynsmail/A 7317-2025 tillsynsbegäran mail.docx", "A 7317-2025")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46221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Talltita</t>
        </is>
      </c>
      <c r="V147">
        <f>HYPERLINK("https://klasma.github.io/Logging_0581/artfynd/A 12682-2025 artfynd.xlsx", "A 12682-2025")</f>
        <v/>
      </c>
      <c r="W147">
        <f>HYPERLINK("https://klasma.github.io/Logging_0581/kartor/A 12682-2025 karta.png", "A 12682-2025")</f>
        <v/>
      </c>
      <c r="X147">
        <f>HYPERLINK("https://klasma.github.io/Logging_0581/knärot/A 12682-2025 karta knärot.png", "A 12682-2025")</f>
        <v/>
      </c>
      <c r="Y147">
        <f>HYPERLINK("https://klasma.github.io/Logging_0581/klagomål/A 12682-2025 FSC-klagomål.docx", "A 12682-2025")</f>
        <v/>
      </c>
      <c r="Z147">
        <f>HYPERLINK("https://klasma.github.io/Logging_0581/klagomålsmail/A 12682-2025 FSC-klagomål mail.docx", "A 12682-2025")</f>
        <v/>
      </c>
      <c r="AA147">
        <f>HYPERLINK("https://klasma.github.io/Logging_0581/tillsyn/A 12682-2025 tillsynsbegäran.docx", "A 12682-2025")</f>
        <v/>
      </c>
      <c r="AB147">
        <f>HYPERLINK("https://klasma.github.io/Logging_0581/tillsynsmail/A 12682-2025 tillsynsbegäran mail.docx", "A 12682-2025")</f>
        <v/>
      </c>
      <c r="AC147">
        <f>HYPERLINK("https://klasma.github.io/Logging_0581/fåglar/A 12682-2025 prioriterade fågelarter.docx", "A 12682-2025")</f>
        <v/>
      </c>
    </row>
    <row r="148" ht="15" customHeight="1">
      <c r="A148" t="inlineStr">
        <is>
          <t>A 11714-2026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46221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2.9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Gulsparv</t>
        </is>
      </c>
      <c r="V148">
        <f>HYPERLINK("https://klasma.github.io/Logging_0581/artfynd/A 11714-2026 artfynd.xlsx", "A 11714-2026")</f>
        <v/>
      </c>
      <c r="W148">
        <f>HYPERLINK("https://klasma.github.io/Logging_0581/kartor/A 11714-2026 karta.png", "A 11714-2026")</f>
        <v/>
      </c>
      <c r="Y148">
        <f>HYPERLINK("https://klasma.github.io/Logging_0581/klagomål/A 11714-2026 FSC-klagomål.docx", "A 11714-2026")</f>
        <v/>
      </c>
      <c r="Z148">
        <f>HYPERLINK("https://klasma.github.io/Logging_0581/klagomålsmail/A 11714-2026 FSC-klagomål mail.docx", "A 11714-2026")</f>
        <v/>
      </c>
      <c r="AA148">
        <f>HYPERLINK("https://klasma.github.io/Logging_0581/tillsyn/A 11714-2026 tillsynsbegäran.docx", "A 11714-2026")</f>
        <v/>
      </c>
      <c r="AB148">
        <f>HYPERLINK("https://klasma.github.io/Logging_0581/tillsynsmail/A 11714-2026 tillsynsbegäran mail.docx", "A 11714-2026")</f>
        <v/>
      </c>
      <c r="AC148">
        <f>HYPERLINK("https://klasma.github.io/Logging_0581/fåglar/A 11714-2026 prioriterade fågelarter.docx", "A 11714-2026")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46221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Linmåra/småsnärjmåra</t>
        </is>
      </c>
      <c r="V149">
        <f>HYPERLINK("https://klasma.github.io/Logging_0581/artfynd/A 25982-2023 artfynd.xlsx", "A 25982-2023")</f>
        <v/>
      </c>
      <c r="W149">
        <f>HYPERLINK("https://klasma.github.io/Logging_0581/kartor/A 25982-2023 karta.png", "A 25982-2023")</f>
        <v/>
      </c>
      <c r="Y149">
        <f>HYPERLINK("https://klasma.github.io/Logging_0581/klagomål/A 25982-2023 FSC-klagomål.docx", "A 25982-2023")</f>
        <v/>
      </c>
      <c r="Z149">
        <f>HYPERLINK("https://klasma.github.io/Logging_0581/klagomålsmail/A 25982-2023 FSC-klagomål mail.docx", "A 25982-2023")</f>
        <v/>
      </c>
      <c r="AA149">
        <f>HYPERLINK("https://klasma.github.io/Logging_0581/tillsyn/A 25982-2023 tillsynsbegäran.docx", "A 25982-2023")</f>
        <v/>
      </c>
      <c r="AB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16610-2024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46221</v>
      </c>
      <c r="F150" t="inlineStr">
        <is>
          <t>ÖSTERGÖTLANDS LÄN</t>
        </is>
      </c>
      <c r="G150" t="inlineStr">
        <is>
          <t>NORRKÖPING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3</v>
      </c>
      <c r="U150" s="2" t="inlineStr">
        <is>
          <t>Knärot</t>
        </is>
      </c>
      <c r="V150">
        <f>HYPERLINK("https://klasma.github.io/Logging_0581/artfynd/A 16610-2024 artfynd.xlsx", "A 16610-2024")</f>
        <v/>
      </c>
      <c r="W150">
        <f>HYPERLINK("https://klasma.github.io/Logging_0581/kartor/A 16610-2024 karta.png", "A 16610-2024")</f>
        <v/>
      </c>
      <c r="X150">
        <f>HYPERLINK("https://klasma.github.io/Logging_0581/knärot/A 16610-2024 karta knärot.png", "A 16610-2024")</f>
        <v/>
      </c>
      <c r="Y150">
        <f>HYPERLINK("https://klasma.github.io/Logging_0581/klagomål/A 16610-2024 FSC-klagomål.docx", "A 16610-2024")</f>
        <v/>
      </c>
      <c r="Z150">
        <f>HYPERLINK("https://klasma.github.io/Logging_0581/klagomålsmail/A 16610-2024 FSC-klagomål mail.docx", "A 16610-2024")</f>
        <v/>
      </c>
      <c r="AA150">
        <f>HYPERLINK("https://klasma.github.io/Logging_0581/tillsyn/A 16610-2024 tillsynsbegäran.docx", "A 16610-2024")</f>
        <v/>
      </c>
      <c r="AB150">
        <f>HYPERLINK("https://klasma.github.io/Logging_0581/tillsynsmail/A 16610-2024 tillsynsbegäran mail.docx", "A 16610-2024")</f>
        <v/>
      </c>
    </row>
    <row r="151" ht="15" customHeight="1">
      <c r="A151" t="inlineStr">
        <is>
          <t>A 2832-2026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46221</v>
      </c>
      <c r="F151" t="inlineStr">
        <is>
          <t>ÖSTERGÖTLANDS LÄN</t>
        </is>
      </c>
      <c r="G151" t="inlineStr">
        <is>
          <t>NORRKÖPING</t>
        </is>
      </c>
      <c r="I151" t="n">
        <v>5.5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Grönpyrola</t>
        </is>
      </c>
      <c r="V151">
        <f>HYPERLINK("https://klasma.github.io/Logging_0581/artfynd/A 2832-2026 artfynd.xlsx", "A 2832-2026")</f>
        <v/>
      </c>
      <c r="W151">
        <f>HYPERLINK("https://klasma.github.io/Logging_0581/kartor/A 2832-2026 karta.png", "A 2832-2026")</f>
        <v/>
      </c>
      <c r="Y151">
        <f>HYPERLINK("https://klasma.github.io/Logging_0581/klagomål/A 2832-2026 FSC-klagomål.docx", "A 2832-2026")</f>
        <v/>
      </c>
      <c r="Z151">
        <f>HYPERLINK("https://klasma.github.io/Logging_0581/klagomålsmail/A 2832-2026 FSC-klagomål mail.docx", "A 2832-2026")</f>
        <v/>
      </c>
      <c r="AA151">
        <f>HYPERLINK("https://klasma.github.io/Logging_0581/tillsyn/A 2832-2026 tillsynsbegäran.docx", "A 2832-2026")</f>
        <v/>
      </c>
      <c r="AB151">
        <f>HYPERLINK("https://klasma.github.io/Logging_0581/tillsynsmail/A 2832-2026 tillsynsbegäran mail.docx", "A 2832-2026")</f>
        <v/>
      </c>
    </row>
    <row r="152" ht="15" customHeight="1">
      <c r="A152" t="inlineStr">
        <is>
          <t>A 12145-2024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46221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Gullgröppa</t>
        </is>
      </c>
      <c r="V152">
        <f>HYPERLINK("https://klasma.github.io/Logging_0581/artfynd/A 12145-2024 artfynd.xlsx", "A 12145-2024")</f>
        <v/>
      </c>
      <c r="W152">
        <f>HYPERLINK("https://klasma.github.io/Logging_0581/kartor/A 12145-2024 karta.png", "A 12145-2024")</f>
        <v/>
      </c>
      <c r="Y152">
        <f>HYPERLINK("https://klasma.github.io/Logging_0581/klagomål/A 12145-2024 FSC-klagomål.docx", "A 12145-2024")</f>
        <v/>
      </c>
      <c r="Z152">
        <f>HYPERLINK("https://klasma.github.io/Logging_0581/klagomålsmail/A 12145-2024 FSC-klagomål mail.docx", "A 12145-2024")</f>
        <v/>
      </c>
      <c r="AA152">
        <f>HYPERLINK("https://klasma.github.io/Logging_0581/tillsyn/A 12145-2024 tillsynsbegäran.docx", "A 12145-2024")</f>
        <v/>
      </c>
      <c r="AB152">
        <f>HYPERLINK("https://klasma.github.io/Logging_0581/tillsynsmail/A 12145-2024 tillsynsbegäran mail.docx", "A 12145-2024")</f>
        <v/>
      </c>
    </row>
    <row r="153" ht="15" customHeight="1">
      <c r="A153" t="inlineStr">
        <is>
          <t>A 9790-2024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46221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Mattlummer</t>
        </is>
      </c>
      <c r="V153">
        <f>HYPERLINK("https://klasma.github.io/Logging_0581/artfynd/A 9790-2024 artfynd.xlsx", "A 9790-2024")</f>
        <v/>
      </c>
      <c r="W153">
        <f>HYPERLINK("https://klasma.github.io/Logging_0581/kartor/A 9790-2024 karta.png", "A 9790-2024")</f>
        <v/>
      </c>
      <c r="Y153">
        <f>HYPERLINK("https://klasma.github.io/Logging_0581/klagomål/A 9790-2024 FSC-klagomål.docx", "A 9790-2024")</f>
        <v/>
      </c>
      <c r="Z153">
        <f>HYPERLINK("https://klasma.github.io/Logging_0581/klagomålsmail/A 9790-2024 FSC-klagomål mail.docx", "A 9790-2024")</f>
        <v/>
      </c>
      <c r="AA153">
        <f>HYPERLINK("https://klasma.github.io/Logging_0581/tillsyn/A 9790-2024 tillsynsbegäran.docx", "A 9790-2024")</f>
        <v/>
      </c>
      <c r="AB153">
        <f>HYPERLINK("https://klasma.github.io/Logging_0581/tillsynsmail/A 9790-2024 tillsynsbegäran mail.docx", "A 9790-2024")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46221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Vedskivlav</t>
        </is>
      </c>
      <c r="V154">
        <f>HYPERLINK("https://klasma.github.io/Logging_0581/artfynd/A 46957-2023 artfynd.xlsx", "A 46957-2023")</f>
        <v/>
      </c>
      <c r="W154">
        <f>HYPERLINK("https://klasma.github.io/Logging_0581/kartor/A 46957-2023 karta.png", "A 46957-2023")</f>
        <v/>
      </c>
      <c r="Y154">
        <f>HYPERLINK("https://klasma.github.io/Logging_0581/klagomål/A 46957-2023 FSC-klagomål.docx", "A 46957-2023")</f>
        <v/>
      </c>
      <c r="Z154">
        <f>HYPERLINK("https://klasma.github.io/Logging_0581/klagomålsmail/A 46957-2023 FSC-klagomål mail.docx", "A 46957-2023")</f>
        <v/>
      </c>
      <c r="AA154">
        <f>HYPERLINK("https://klasma.github.io/Logging_0581/tillsyn/A 46957-2023 tillsynsbegäran.docx", "A 46957-2023")</f>
        <v/>
      </c>
      <c r="AB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27107-2023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46221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Svartvit flugsnappare</t>
        </is>
      </c>
      <c r="V155">
        <f>HYPERLINK("https://klasma.github.io/Logging_0581/artfynd/A 27107-2023 artfynd.xlsx", "A 27107-2023")</f>
        <v/>
      </c>
      <c r="W155">
        <f>HYPERLINK("https://klasma.github.io/Logging_0581/kartor/A 27107-2023 karta.png", "A 27107-2023")</f>
        <v/>
      </c>
      <c r="Y155">
        <f>HYPERLINK("https://klasma.github.io/Logging_0581/klagomål/A 27107-2023 FSC-klagomål.docx", "A 27107-2023")</f>
        <v/>
      </c>
      <c r="Z155">
        <f>HYPERLINK("https://klasma.github.io/Logging_0581/klagomålsmail/A 27107-2023 FSC-klagomål mail.docx", "A 27107-2023")</f>
        <v/>
      </c>
      <c r="AA155">
        <f>HYPERLINK("https://klasma.github.io/Logging_0581/tillsyn/A 27107-2023 tillsynsbegäran.docx", "A 27107-2023")</f>
        <v/>
      </c>
      <c r="AB155">
        <f>HYPERLINK("https://klasma.github.io/Logging_0581/tillsynsmail/A 27107-2023 tillsynsbegäran mail.docx", "A 27107-2023")</f>
        <v/>
      </c>
    </row>
    <row r="156" ht="15" customHeight="1">
      <c r="A156" t="inlineStr">
        <is>
          <t>A 20170-2026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46221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Igelkott</t>
        </is>
      </c>
      <c r="V156">
        <f>HYPERLINK("https://klasma.github.io/Logging_0581/artfynd/A 20170-2026 artfynd.xlsx", "A 20170-2026")</f>
        <v/>
      </c>
      <c r="W156">
        <f>HYPERLINK("https://klasma.github.io/Logging_0581/kartor/A 20170-2026 karta.png", "A 20170-2026")</f>
        <v/>
      </c>
      <c r="Y156">
        <f>HYPERLINK("https://klasma.github.io/Logging_0581/klagomål/A 20170-2026 FSC-klagomål.docx", "A 20170-2026")</f>
        <v/>
      </c>
      <c r="Z156">
        <f>HYPERLINK("https://klasma.github.io/Logging_0581/klagomålsmail/A 20170-2026 FSC-klagomål mail.docx", "A 20170-2026")</f>
        <v/>
      </c>
      <c r="AA156">
        <f>HYPERLINK("https://klasma.github.io/Logging_0581/tillsyn/A 20170-2026 tillsynsbegäran.docx", "A 20170-2026")</f>
        <v/>
      </c>
      <c r="AB156">
        <f>HYPERLINK("https://klasma.github.io/Logging_0581/tillsynsmail/A 20170-2026 tillsynsbegäran mail.docx", "A 20170-2026")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46221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Svedjenäva</t>
        </is>
      </c>
      <c r="V157">
        <f>HYPERLINK("https://klasma.github.io/Logging_0581/artfynd/A 8245-2023 artfynd.xlsx", "A 8245-2023")</f>
        <v/>
      </c>
      <c r="W157">
        <f>HYPERLINK("https://klasma.github.io/Logging_0581/kartor/A 8245-2023 karta.png", "A 8245-2023")</f>
        <v/>
      </c>
      <c r="Y157">
        <f>HYPERLINK("https://klasma.github.io/Logging_0581/klagomål/A 8245-2023 FSC-klagomål.docx", "A 8245-2023")</f>
        <v/>
      </c>
      <c r="Z157">
        <f>HYPERLINK("https://klasma.github.io/Logging_0581/klagomålsmail/A 8245-2023 FSC-klagomål mail.docx", "A 8245-2023")</f>
        <v/>
      </c>
      <c r="AA157">
        <f>HYPERLINK("https://klasma.github.io/Logging_0581/tillsyn/A 8245-2023 tillsynsbegäran.docx", "A 8245-2023")</f>
        <v/>
      </c>
      <c r="AB157">
        <f>HYPERLINK("https://klasma.github.io/Logging_0581/tillsynsmail/A 8245-2023 tillsynsbegäran mail.docx", "A 8245-2023")</f>
        <v/>
      </c>
    </row>
    <row r="158" ht="15" customHeight="1">
      <c r="A158" t="inlineStr">
        <is>
          <t>A 31897-2022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44777</v>
      </c>
      <c r="E158" s="1" t="n">
        <v>46221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Kommuner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Grönpyrola</t>
        </is>
      </c>
      <c r="V158">
        <f>HYPERLINK("https://klasma.github.io/Logging_0581/artfynd/A 31897-2022 artfynd.xlsx", "A 31897-2022")</f>
        <v/>
      </c>
      <c r="W158">
        <f>HYPERLINK("https://klasma.github.io/Logging_0581/kartor/A 31897-2022 karta.png", "A 31897-2022")</f>
        <v/>
      </c>
      <c r="Y158">
        <f>HYPERLINK("https://klasma.github.io/Logging_0581/klagomål/A 31897-2022 FSC-klagomål.docx", "A 31897-2022")</f>
        <v/>
      </c>
      <c r="Z158">
        <f>HYPERLINK("https://klasma.github.io/Logging_0581/klagomålsmail/A 31897-2022 FSC-klagomål mail.docx", "A 31897-2022")</f>
        <v/>
      </c>
      <c r="AA158">
        <f>HYPERLINK("https://klasma.github.io/Logging_0581/tillsyn/A 31897-2022 tillsynsbegäran.docx", "A 31897-2022")</f>
        <v/>
      </c>
      <c r="AB158">
        <f>HYPERLINK("https://klasma.github.io/Logging_0581/tillsynsmail/A 31897-2022 tillsynsbegäran mail.docx", "A 31897-2022")</f>
        <v/>
      </c>
    </row>
    <row r="159" ht="15" customHeight="1">
      <c r="A159" t="inlineStr">
        <is>
          <t>A 57772-2022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46221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Fällmossa</t>
        </is>
      </c>
      <c r="V159">
        <f>HYPERLINK("https://klasma.github.io/Logging_0581/artfynd/A 57772-2022 artfynd.xlsx", "A 57772-2022")</f>
        <v/>
      </c>
      <c r="W159">
        <f>HYPERLINK("https://klasma.github.io/Logging_0581/kartor/A 57772-2022 karta.png", "A 57772-2022")</f>
        <v/>
      </c>
      <c r="Y159">
        <f>HYPERLINK("https://klasma.github.io/Logging_0581/klagomål/A 57772-2022 FSC-klagomål.docx", "A 57772-2022")</f>
        <v/>
      </c>
      <c r="Z159">
        <f>HYPERLINK("https://klasma.github.io/Logging_0581/klagomålsmail/A 57772-2022 FSC-klagomål mail.docx", "A 57772-2022")</f>
        <v/>
      </c>
      <c r="AA159">
        <f>HYPERLINK("https://klasma.github.io/Logging_0581/tillsyn/A 57772-2022 tillsynsbegäran.docx", "A 57772-2022")</f>
        <v/>
      </c>
      <c r="AB159">
        <f>HYPERLINK("https://klasma.github.io/Logging_0581/tillsynsmail/A 57772-2022 tillsynsbegäran mail.docx", "A 57772-2022")</f>
        <v/>
      </c>
    </row>
    <row r="160" ht="15" customHeight="1">
      <c r="A160" t="inlineStr">
        <is>
          <t>A 41369-2023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46221</v>
      </c>
      <c r="F160" t="inlineStr">
        <is>
          <t>ÖSTERGÖTLANDS LÄN</t>
        </is>
      </c>
      <c r="G160" t="inlineStr">
        <is>
          <t>NORRKÖPING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Tallticka</t>
        </is>
      </c>
      <c r="V160">
        <f>HYPERLINK("https://klasma.github.io/Logging_0581/artfynd/A 41369-2023 artfynd.xlsx", "A 41369-2023")</f>
        <v/>
      </c>
      <c r="W160">
        <f>HYPERLINK("https://klasma.github.io/Logging_0581/kartor/A 41369-2023 karta.png", "A 41369-2023")</f>
        <v/>
      </c>
      <c r="Y160">
        <f>HYPERLINK("https://klasma.github.io/Logging_0581/klagomål/A 41369-2023 FSC-klagomål.docx", "A 41369-2023")</f>
        <v/>
      </c>
      <c r="Z160">
        <f>HYPERLINK("https://klasma.github.io/Logging_0581/klagomålsmail/A 41369-2023 FSC-klagomål mail.docx", "A 41369-2023")</f>
        <v/>
      </c>
      <c r="AA160">
        <f>HYPERLINK("https://klasma.github.io/Logging_0581/tillsyn/A 41369-2023 tillsynsbegäran.docx", "A 41369-2023")</f>
        <v/>
      </c>
      <c r="AB160">
        <f>HYPERLINK("https://klasma.github.io/Logging_0581/tillsynsmail/A 41369-2023 tillsynsbegäran mail.docx", "A 41369-2023")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46221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Tibast</t>
        </is>
      </c>
      <c r="V161">
        <f>HYPERLINK("https://klasma.github.io/Logging_0581/artfynd/A 29202-2026 artfynd.xlsx", "A 29202-2026")</f>
        <v/>
      </c>
      <c r="W161">
        <f>HYPERLINK("https://klasma.github.io/Logging_0581/kartor/A 29202-2026 karta.png", "A 29202-2026")</f>
        <v/>
      </c>
      <c r="Y161">
        <f>HYPERLINK("https://klasma.github.io/Logging_0581/klagomål/A 29202-2026 FSC-klagomål.docx", "A 29202-2026")</f>
        <v/>
      </c>
      <c r="Z161">
        <f>HYPERLINK("https://klasma.github.io/Logging_0581/klagomålsmail/A 29202-2026 FSC-klagomål mail.docx", "A 29202-2026")</f>
        <v/>
      </c>
      <c r="AA161">
        <f>HYPERLINK("https://klasma.github.io/Logging_0581/tillsyn/A 29202-2026 tillsynsbegäran.docx", "A 29202-2026")</f>
        <v/>
      </c>
      <c r="AB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14329-2022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44652</v>
      </c>
      <c r="E162" s="1" t="n">
        <v>46221</v>
      </c>
      <c r="F162" t="inlineStr">
        <is>
          <t>ÖSTERGÖTLANDS LÄN</t>
        </is>
      </c>
      <c r="G162" t="inlineStr">
        <is>
          <t>NORRKÖPING</t>
        </is>
      </c>
      <c r="I162" t="n">
        <v>2.7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Röd skogslilja</t>
        </is>
      </c>
      <c r="V162">
        <f>HYPERLINK("https://klasma.github.io/Logging_0581/artfynd/A 14329-2022 artfynd.xlsx", "A 14329-2022")</f>
        <v/>
      </c>
      <c r="W162">
        <f>HYPERLINK("https://klasma.github.io/Logging_0581/kartor/A 14329-2022 karta.png", "A 14329-2022")</f>
        <v/>
      </c>
      <c r="Y162">
        <f>HYPERLINK("https://klasma.github.io/Logging_0581/klagomål/A 14329-2022 FSC-klagomål.docx", "A 14329-2022")</f>
        <v/>
      </c>
      <c r="Z162">
        <f>HYPERLINK("https://klasma.github.io/Logging_0581/klagomålsmail/A 14329-2022 FSC-klagomål mail.docx", "A 14329-2022")</f>
        <v/>
      </c>
      <c r="AA162">
        <f>HYPERLINK("https://klasma.github.io/Logging_0581/tillsyn/A 14329-2022 tillsynsbegäran.docx", "A 14329-2022")</f>
        <v/>
      </c>
      <c r="AB162">
        <f>HYPERLINK("https://klasma.github.io/Logging_0581/tillsynsmail/A 14329-2022 tillsynsbegäran mail.docx", "A 14329-2022")</f>
        <v/>
      </c>
    </row>
    <row r="163" ht="15" customHeight="1">
      <c r="A163" t="inlineStr">
        <is>
          <t>A 15124-2025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45744</v>
      </c>
      <c r="E163" s="1" t="n">
        <v>46221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3.8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s="2" t="inlineStr">
        <is>
          <t>Vedskivlav</t>
        </is>
      </c>
      <c r="V163">
        <f>HYPERLINK("https://klasma.github.io/Logging_0581/artfynd/A 15124-2025 artfynd.xlsx", "A 15124-2025")</f>
        <v/>
      </c>
      <c r="W163">
        <f>HYPERLINK("https://klasma.github.io/Logging_0581/kartor/A 15124-2025 karta.png", "A 15124-2025")</f>
        <v/>
      </c>
      <c r="Y163">
        <f>HYPERLINK("https://klasma.github.io/Logging_0581/klagomål/A 15124-2025 FSC-klagomål.docx", "A 15124-2025")</f>
        <v/>
      </c>
      <c r="Z163">
        <f>HYPERLINK("https://klasma.github.io/Logging_0581/klagomålsmail/A 15124-2025 FSC-klagomål mail.docx", "A 15124-2025")</f>
        <v/>
      </c>
      <c r="AA163">
        <f>HYPERLINK("https://klasma.github.io/Logging_0581/tillsyn/A 15124-2025 tillsynsbegäran.docx", "A 15124-2025")</f>
        <v/>
      </c>
      <c r="AB163">
        <f>HYPERLINK("https://klasma.github.io/Logging_0581/tillsynsmail/A 15124-2025 tillsynsbegäran mail.docx", "A 15124-2025")</f>
        <v/>
      </c>
    </row>
    <row r="164" ht="15" customHeight="1">
      <c r="A164" t="inlineStr">
        <is>
          <t>A 15143-2025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46221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Vedskivlav</t>
        </is>
      </c>
      <c r="V164">
        <f>HYPERLINK("https://klasma.github.io/Logging_0581/artfynd/A 15143-2025 artfynd.xlsx", "A 15143-2025")</f>
        <v/>
      </c>
      <c r="W164">
        <f>HYPERLINK("https://klasma.github.io/Logging_0581/kartor/A 15143-2025 karta.png", "A 15143-2025")</f>
        <v/>
      </c>
      <c r="Y164">
        <f>HYPERLINK("https://klasma.github.io/Logging_0581/klagomål/A 15143-2025 FSC-klagomål.docx", "A 15143-2025")</f>
        <v/>
      </c>
      <c r="Z164">
        <f>HYPERLINK("https://klasma.github.io/Logging_0581/klagomålsmail/A 15143-2025 FSC-klagomål mail.docx", "A 15143-2025")</f>
        <v/>
      </c>
      <c r="AA164">
        <f>HYPERLINK("https://klasma.github.io/Logging_0581/tillsyn/A 15143-2025 tillsynsbegäran.docx", "A 15143-2025")</f>
        <v/>
      </c>
      <c r="AB164">
        <f>HYPERLINK("https://klasma.github.io/Logging_0581/tillsynsmail/A 15143-2025 tillsynsbegäran mail.docx", "A 15143-2025")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46221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s="2" t="inlineStr">
        <is>
          <t>Raggbock</t>
        </is>
      </c>
      <c r="V165">
        <f>HYPERLINK("https://klasma.github.io/Logging_0581/artfynd/A 31254-2026 artfynd.xlsx", "A 31254-2026")</f>
        <v/>
      </c>
      <c r="W165">
        <f>HYPERLINK("https://klasma.github.io/Logging_0581/kartor/A 31254-2026 karta.png", "A 31254-2026")</f>
        <v/>
      </c>
      <c r="Y165">
        <f>HYPERLINK("https://klasma.github.io/Logging_0581/klagomål/A 31254-2026 FSC-klagomål.docx", "A 31254-2026")</f>
        <v/>
      </c>
      <c r="Z165">
        <f>HYPERLINK("https://klasma.github.io/Logging_0581/klagomålsmail/A 31254-2026 FSC-klagomål mail.docx", "A 31254-2026")</f>
        <v/>
      </c>
      <c r="AA165">
        <f>HYPERLINK("https://klasma.github.io/Logging_0581/tillsyn/A 31254-2026 tillsynsbegäran.docx", "A 31254-2026")</f>
        <v/>
      </c>
      <c r="AB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31231-2026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46221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4.2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Blåmossa</t>
        </is>
      </c>
      <c r="V166">
        <f>HYPERLINK("https://klasma.github.io/Logging_0581/artfynd/A 31231-2026 artfynd.xlsx", "A 31231-2026")</f>
        <v/>
      </c>
      <c r="W166">
        <f>HYPERLINK("https://klasma.github.io/Logging_0581/kartor/A 31231-2026 karta.png", "A 31231-2026")</f>
        <v/>
      </c>
      <c r="Y166">
        <f>HYPERLINK("https://klasma.github.io/Logging_0581/klagomål/A 31231-2026 FSC-klagomål.docx", "A 31231-2026")</f>
        <v/>
      </c>
      <c r="Z166">
        <f>HYPERLINK("https://klasma.github.io/Logging_0581/klagomålsmail/A 31231-2026 FSC-klagomål mail.docx", "A 31231-2026")</f>
        <v/>
      </c>
      <c r="AA166">
        <f>HYPERLINK("https://klasma.github.io/Logging_0581/tillsyn/A 31231-2026 tillsynsbegäran.docx", "A 31231-2026")</f>
        <v/>
      </c>
      <c r="AB166">
        <f>HYPERLINK("https://klasma.github.io/Logging_0581/tillsynsmail/A 31231-2026 tillsynsbegäran mail.docx", "A 31231-2026")</f>
        <v/>
      </c>
    </row>
    <row r="167" ht="15" customHeight="1">
      <c r="A167" t="inlineStr">
        <is>
          <t>A 31325-2026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46221</v>
      </c>
      <c r="F167" t="inlineStr">
        <is>
          <t>ÖSTERGÖTLANDS LÄN</t>
        </is>
      </c>
      <c r="G167" t="inlineStr">
        <is>
          <t>NORRKÖPING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Bergsslok</t>
        </is>
      </c>
      <c r="V167">
        <f>HYPERLINK("https://klasma.github.io/Logging_0581/artfynd/A 31325-2026 artfynd.xlsx", "A 31325-2026")</f>
        <v/>
      </c>
      <c r="W167">
        <f>HYPERLINK("https://klasma.github.io/Logging_0581/kartor/A 31325-2026 karta.png", "A 31325-2026")</f>
        <v/>
      </c>
      <c r="Y167">
        <f>HYPERLINK("https://klasma.github.io/Logging_0581/klagomål/A 31325-2026 FSC-klagomål.docx", "A 31325-2026")</f>
        <v/>
      </c>
      <c r="Z167">
        <f>HYPERLINK("https://klasma.github.io/Logging_0581/klagomålsmail/A 31325-2026 FSC-klagomål mail.docx", "A 31325-2026")</f>
        <v/>
      </c>
      <c r="AA167">
        <f>HYPERLINK("https://klasma.github.io/Logging_0581/tillsyn/A 31325-2026 tillsynsbegäran.docx", "A 31325-2026")</f>
        <v/>
      </c>
      <c r="AB167">
        <f>HYPERLINK("https://klasma.github.io/Logging_0581/tillsynsmail/A 31325-2026 tillsynsbegäran mail.docx", "A 31325-2026")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46221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Tallticka</t>
        </is>
      </c>
      <c r="V168">
        <f>HYPERLINK("https://klasma.github.io/Logging_0581/artfynd/A 25707-2026 artfynd.xlsx", "A 25707-2026")</f>
        <v/>
      </c>
      <c r="W168">
        <f>HYPERLINK("https://klasma.github.io/Logging_0581/kartor/A 25707-2026 karta.png", "A 25707-2026")</f>
        <v/>
      </c>
      <c r="Y168">
        <f>HYPERLINK("https://klasma.github.io/Logging_0581/klagomål/A 25707-2026 FSC-klagomål.docx", "A 25707-2026")</f>
        <v/>
      </c>
      <c r="Z168">
        <f>HYPERLINK("https://klasma.github.io/Logging_0581/klagomålsmail/A 25707-2026 FSC-klagomål mail.docx", "A 25707-2026")</f>
        <v/>
      </c>
      <c r="AA168">
        <f>HYPERLINK("https://klasma.github.io/Logging_0581/tillsyn/A 25707-2026 tillsynsbegäran.docx", "A 25707-2026")</f>
        <v/>
      </c>
      <c r="AB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1077-2023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46221</v>
      </c>
      <c r="F169" t="inlineStr">
        <is>
          <t>ÖSTERGÖTLANDS LÄN</t>
        </is>
      </c>
      <c r="G169" t="inlineStr">
        <is>
          <t>NORRKÖPING</t>
        </is>
      </c>
      <c r="I169" t="n">
        <v>3.4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Äkta lopplummer</t>
        </is>
      </c>
      <c r="V169">
        <f>HYPERLINK("https://klasma.github.io/Logging_0581/artfynd/A 1077-2023 artfynd.xlsx", "A 1077-2023")</f>
        <v/>
      </c>
      <c r="W169">
        <f>HYPERLINK("https://klasma.github.io/Logging_0581/kartor/A 1077-2023 karta.png", "A 1077-2023")</f>
        <v/>
      </c>
      <c r="Y169">
        <f>HYPERLINK("https://klasma.github.io/Logging_0581/klagomål/A 1077-2023 FSC-klagomål.docx", "A 1077-2023")</f>
        <v/>
      </c>
      <c r="Z169">
        <f>HYPERLINK("https://klasma.github.io/Logging_0581/klagomålsmail/A 1077-2023 FSC-klagomål mail.docx", "A 1077-2023")</f>
        <v/>
      </c>
      <c r="AA169">
        <f>HYPERLINK("https://klasma.github.io/Logging_0581/tillsyn/A 1077-2023 tillsynsbegäran.docx", "A 1077-2023")</f>
        <v/>
      </c>
      <c r="AB169">
        <f>HYPERLINK("https://klasma.github.io/Logging_0581/tillsynsmail/A 1077-2023 tillsynsbegäran mail.docx", "A 1077-2023")</f>
        <v/>
      </c>
    </row>
    <row r="170" ht="15" customHeight="1">
      <c r="A170" t="inlineStr">
        <is>
          <t>A 58318-2023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46221</v>
      </c>
      <c r="F170" t="inlineStr">
        <is>
          <t>ÖSTERGÖTLANDS LÄN</t>
        </is>
      </c>
      <c r="G170" t="inlineStr">
        <is>
          <t>NORRKÖPING</t>
        </is>
      </c>
      <c r="I170" t="n">
        <v>4.2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Havsörn</t>
        </is>
      </c>
      <c r="V170">
        <f>HYPERLINK("https://klasma.github.io/Logging_0581/artfynd/A 58318-2023 artfynd.xlsx", "A 58318-2023")</f>
        <v/>
      </c>
      <c r="W170">
        <f>HYPERLINK("https://klasma.github.io/Logging_0581/kartor/A 58318-2023 karta.png", "A 58318-2023")</f>
        <v/>
      </c>
      <c r="Y170">
        <f>HYPERLINK("https://klasma.github.io/Logging_0581/klagomål/A 58318-2023 FSC-klagomål.docx", "A 58318-2023")</f>
        <v/>
      </c>
      <c r="Z170">
        <f>HYPERLINK("https://klasma.github.io/Logging_0581/klagomålsmail/A 58318-2023 FSC-klagomål mail.docx", "A 58318-2023")</f>
        <v/>
      </c>
      <c r="AA170">
        <f>HYPERLINK("https://klasma.github.io/Logging_0581/tillsyn/A 58318-2023 tillsynsbegäran.docx", "A 58318-2023")</f>
        <v/>
      </c>
      <c r="AB170">
        <f>HYPERLINK("https://klasma.github.io/Logging_0581/tillsynsmail/A 58318-2023 tillsynsbegäran mail.docx", "A 58318-2023")</f>
        <v/>
      </c>
      <c r="AC170">
        <f>HYPERLINK("https://klasma.github.io/Logging_0581/fåglar/A 58318-2023 prioriterade fågelarter.docx", "A 58318-2023")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46221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Mörk dunört</t>
        </is>
      </c>
      <c r="V171">
        <f>HYPERLINK("https://klasma.github.io/Logging_0581/artfynd/A 15870-2024 artfynd.xlsx", "A 15870-2024")</f>
        <v/>
      </c>
      <c r="W171">
        <f>HYPERLINK("https://klasma.github.io/Logging_0581/kartor/A 15870-2024 karta.png", "A 15870-2024")</f>
        <v/>
      </c>
      <c r="Y171">
        <f>HYPERLINK("https://klasma.github.io/Logging_0581/klagomål/A 15870-2024 FSC-klagomål.docx", "A 15870-2024")</f>
        <v/>
      </c>
      <c r="Z171">
        <f>HYPERLINK("https://klasma.github.io/Logging_0581/klagomålsmail/A 15870-2024 FSC-klagomål mail.docx", "A 15870-2024")</f>
        <v/>
      </c>
      <c r="AA171">
        <f>HYPERLINK("https://klasma.github.io/Logging_0581/tillsyn/A 15870-2024 tillsynsbegäran.docx", "A 15870-2024")</f>
        <v/>
      </c>
      <c r="AB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46221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Myskbock</t>
        </is>
      </c>
      <c r="V172">
        <f>HYPERLINK("https://klasma.github.io/Logging_0581/artfynd/A 11520-2025 artfynd.xlsx", "A 11520-2025")</f>
        <v/>
      </c>
      <c r="W172">
        <f>HYPERLINK("https://klasma.github.io/Logging_0581/kartor/A 11520-2025 karta.png", "A 11520-2025")</f>
        <v/>
      </c>
      <c r="Y172">
        <f>HYPERLINK("https://klasma.github.io/Logging_0581/klagomål/A 11520-2025 FSC-klagomål.docx", "A 11520-2025")</f>
        <v/>
      </c>
      <c r="Z172">
        <f>HYPERLINK("https://klasma.github.io/Logging_0581/klagomålsmail/A 11520-2025 FSC-klagomål mail.docx", "A 11520-2025")</f>
        <v/>
      </c>
      <c r="AA172">
        <f>HYPERLINK("https://klasma.github.io/Logging_0581/tillsyn/A 11520-2025 tillsynsbegäran.docx", "A 11520-2025")</f>
        <v/>
      </c>
      <c r="AB172">
        <f>HYPERLINK("https://klasma.github.io/Logging_0581/tillsynsmail/A 11520-2025 tillsynsbegäran mail.docx", "A 11520-2025")</f>
        <v/>
      </c>
    </row>
    <row r="173" ht="15" customHeight="1">
      <c r="A173" t="inlineStr">
        <is>
          <t>S 703-2022</t>
        </is>
      </c>
      <c r="B173" t="inlineStr">
        <is>
          <t>samrådsanmälan</t>
        </is>
      </c>
      <c r="C173" t="inlineStr">
        <is>
          <t>Skogsbilväg</t>
        </is>
      </c>
      <c r="D173" s="1" t="n">
        <v>44596</v>
      </c>
      <c r="E173" s="1" t="n">
        <v>46221</v>
      </c>
      <c r="F173" t="inlineStr">
        <is>
          <t>ÖSTERGÖTLANDS LÄN</t>
        </is>
      </c>
      <c r="G173" t="inlineStr">
        <is>
          <t>NORRKÖPING</t>
        </is>
      </c>
      <c r="I173" t="n">
        <v>2.3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Talltita</t>
        </is>
      </c>
      <c r="V173">
        <f>HYPERLINK("https://klasma.github.io/Logging_0581/artfynd/S 703-2022 artfynd.xlsx", "S 703-2022")</f>
        <v/>
      </c>
      <c r="W173">
        <f>HYPERLINK("https://klasma.github.io/Logging_0581/kartor/S 703-2022 karta.png", "S 703-2022")</f>
        <v/>
      </c>
      <c r="Y173">
        <f>HYPERLINK("https://klasma.github.io/Logging_0581/klagomål/S 703-2022 FSC-klagomål.docx", "S 703-2022")</f>
        <v/>
      </c>
      <c r="Z173">
        <f>HYPERLINK("https://klasma.github.io/Logging_0581/klagomålsmail/S 703-2022 FSC-klagomål mail.docx", "S 703-2022")</f>
        <v/>
      </c>
      <c r="AA173">
        <f>HYPERLINK("https://klasma.github.io/Logging_0581/tillsyn/S 703-2022 tillsynsbegäran.docx", "S 703-2022")</f>
        <v/>
      </c>
      <c r="AB173">
        <f>HYPERLINK("https://klasma.github.io/Logging_0581/tillsynsmail/S 703-2022 tillsynsbegäran mail.docx", "S 703-2022")</f>
        <v/>
      </c>
      <c r="AC173">
        <f>HYPERLINK("https://klasma.github.io/Logging_0581/fåglar/S 703-2022 prioriterade fågelarter.docx", "S 703-2022")</f>
        <v/>
      </c>
    </row>
    <row r="174" ht="15" customHeight="1">
      <c r="A174" t="inlineStr">
        <is>
          <t>S 9752-2021</t>
        </is>
      </c>
      <c r="B174" t="inlineStr">
        <is>
          <t>samrådsanmälan</t>
        </is>
      </c>
      <c r="C174" t="inlineStr">
        <is>
          <t>Åtgärd i nyckelbiotop</t>
        </is>
      </c>
      <c r="D174" s="1" t="n">
        <v>44529</v>
      </c>
      <c r="E174" s="1" t="n">
        <v>46221</v>
      </c>
      <c r="F174" t="inlineStr">
        <is>
          <t>ÖSTERGÖTLANDS LÄN</t>
        </is>
      </c>
      <c r="G174" t="inlineStr">
        <is>
          <t>NORRKÖPING</t>
        </is>
      </c>
      <c r="I174" t="n">
        <v>1.6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Fällmossa</t>
        </is>
      </c>
      <c r="V174">
        <f>HYPERLINK("https://klasma.github.io/Logging_0581/artfynd/S 9752-2021 artfynd.xlsx", "S 9752-2021")</f>
        <v/>
      </c>
      <c r="W174">
        <f>HYPERLINK("https://klasma.github.io/Logging_0581/kartor/S 9752-2021 karta.png", "S 9752-2021")</f>
        <v/>
      </c>
      <c r="Y174">
        <f>HYPERLINK("https://klasma.github.io/Logging_0581/klagomål/S 9752-2021 FSC-klagomål.docx", "S 9752-2021")</f>
        <v/>
      </c>
      <c r="Z174">
        <f>HYPERLINK("https://klasma.github.io/Logging_0581/klagomålsmail/S 9752-2021 FSC-klagomål mail.docx", "S 9752-2021")</f>
        <v/>
      </c>
      <c r="AA174">
        <f>HYPERLINK("https://klasma.github.io/Logging_0581/tillsyn/S 9752-2021 tillsynsbegäran.docx", "S 9752-2021")</f>
        <v/>
      </c>
      <c r="AB174">
        <f>HYPERLINK("https://klasma.github.io/Logging_0581/tillsynsmail/S 9752-2021 tillsynsbegäran mail.docx", "S 9752-2021")</f>
        <v/>
      </c>
    </row>
    <row r="175" ht="15" customHeight="1">
      <c r="A175" t="inlineStr">
        <is>
          <t>A 50133-2021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44456</v>
      </c>
      <c r="E175" s="1" t="n">
        <v>46221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50136-2021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46221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68936-2021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46221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46221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46221</v>
      </c>
      <c r="F179" t="inlineStr">
        <is>
          <t>ÖSTERGÖTLANDS LÄN</t>
        </is>
      </c>
      <c r="G179" t="inlineStr">
        <is>
          <t>NORRKÖPING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71093-2021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46221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40980-2022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46221</v>
      </c>
      <c r="F181" t="inlineStr">
        <is>
          <t>ÖSTERGÖTLANDS LÄN</t>
        </is>
      </c>
      <c r="G181" t="inlineStr">
        <is>
          <t>NORRKÖPING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26580-2022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44739</v>
      </c>
      <c r="E182" s="1" t="n">
        <v>46221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23048-2022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46221</v>
      </c>
      <c r="F183" t="inlineStr">
        <is>
          <t>ÖSTERGÖTLANDS LÄN</t>
        </is>
      </c>
      <c r="G183" t="inlineStr">
        <is>
          <t>NORRKÖPING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45381-2021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44440</v>
      </c>
      <c r="E184" s="1" t="n">
        <v>46221</v>
      </c>
      <c r="F184" t="inlineStr">
        <is>
          <t>ÖSTERGÖTLANDS LÄN</t>
        </is>
      </c>
      <c r="G184" t="inlineStr">
        <is>
          <t>NORRKÖPING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46221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Holmen skog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46221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46221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46221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46221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46221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43459-2021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46221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43502-2021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44433</v>
      </c>
      <c r="E192" s="1" t="n">
        <v>46221</v>
      </c>
      <c r="F192" t="inlineStr">
        <is>
          <t>ÖSTERGÖTLANDS LÄN</t>
        </is>
      </c>
      <c r="G192" t="inlineStr">
        <is>
          <t>NORRKÖPING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46221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46221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46221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46221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46221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46221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46221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46332-2021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46221</v>
      </c>
      <c r="F200" t="inlineStr">
        <is>
          <t>ÖSTERGÖTLANDS LÄN</t>
        </is>
      </c>
      <c r="G200" t="inlineStr">
        <is>
          <t>NORRKÖPING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46221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46221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46221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46221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46221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46221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46221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46221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46221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46221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46221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46221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46221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46221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46221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46221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46221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46221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46221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46221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46221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46221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46221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46221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43270-2021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44432</v>
      </c>
      <c r="E225" s="1" t="n">
        <v>46221</v>
      </c>
      <c r="F225" t="inlineStr">
        <is>
          <t>ÖSTERGÖTLANDS LÄN</t>
        </is>
      </c>
      <c r="G225" t="inlineStr">
        <is>
          <t>NORRKÖPING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46221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46221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46221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46221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46221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46221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46221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46221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46221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46221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46221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8426-2025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46221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46221</v>
      </c>
      <c r="F238" t="inlineStr">
        <is>
          <t>ÖSTERGÖTLANDS LÄN</t>
        </is>
      </c>
      <c r="G238" t="inlineStr">
        <is>
          <t>NORRKÖPING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46221</v>
      </c>
      <c r="F239" t="inlineStr">
        <is>
          <t>ÖSTERGÖTLANDS LÄN</t>
        </is>
      </c>
      <c r="G239" t="inlineStr">
        <is>
          <t>NORRKÖPING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50117-2023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46221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41083-2022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46221</v>
      </c>
      <c r="F241" t="inlineStr">
        <is>
          <t>ÖSTERGÖTLANDS LÄN</t>
        </is>
      </c>
      <c r="G241" t="inlineStr">
        <is>
          <t>NORRKÖPING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45268</v>
      </c>
      <c r="E242" s="1" t="n">
        <v>46221</v>
      </c>
      <c r="F242" t="inlineStr">
        <is>
          <t>ÖSTERGÖTLANDS LÄN</t>
        </is>
      </c>
      <c r="G242" t="inlineStr">
        <is>
          <t>NORRKÖPING</t>
        </is>
      </c>
      <c r="I242" t="n">
        <v>12.5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46221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50157-2022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44865</v>
      </c>
      <c r="E244" s="1" t="n">
        <v>46221</v>
      </c>
      <c r="F244" t="inlineStr">
        <is>
          <t>ÖSTERGÖTLANDS LÄN</t>
        </is>
      </c>
      <c r="G244" t="inlineStr">
        <is>
          <t>NORRKÖPING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35701-2024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45532</v>
      </c>
      <c r="E245" s="1" t="n">
        <v>46221</v>
      </c>
      <c r="F245" t="inlineStr">
        <is>
          <t>ÖSTERGÖTLANDS LÄN</t>
        </is>
      </c>
      <c r="G245" t="inlineStr">
        <is>
          <t>NORRKÖPING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45072</v>
      </c>
      <c r="E246" s="1" t="n">
        <v>46221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49799-2022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46221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36954-2022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44805</v>
      </c>
      <c r="E248" s="1" t="n">
        <v>46221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31882-2023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46221</v>
      </c>
      <c r="F249" t="inlineStr">
        <is>
          <t>ÖSTERGÖTLANDS LÄN</t>
        </is>
      </c>
      <c r="G249" t="inlineStr">
        <is>
          <t>NORRKÖPING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10798-2024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45369</v>
      </c>
      <c r="E250" s="1" t="n">
        <v>46221</v>
      </c>
      <c r="F250" t="inlineStr">
        <is>
          <t>ÖSTERGÖTLANDS LÄN</t>
        </is>
      </c>
      <c r="G250" t="inlineStr">
        <is>
          <t>NORRKÖPING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5938-2024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45336</v>
      </c>
      <c r="E251" s="1" t="n">
        <v>46221</v>
      </c>
      <c r="F251" t="inlineStr">
        <is>
          <t>ÖSTERGÖTLANDS LÄN</t>
        </is>
      </c>
      <c r="G251" t="inlineStr">
        <is>
          <t>NORRKÖPING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26388-2023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46221</v>
      </c>
      <c r="F252" t="inlineStr">
        <is>
          <t>ÖSTERGÖTLANDS LÄN</t>
        </is>
      </c>
      <c r="G252" t="inlineStr">
        <is>
          <t>NORRKÖPING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17714-2023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45037</v>
      </c>
      <c r="E253" s="1" t="n">
        <v>46221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18667-2023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46221</v>
      </c>
      <c r="F254" t="inlineStr">
        <is>
          <t>ÖSTERGÖTLANDS LÄN</t>
        </is>
      </c>
      <c r="G254" t="inlineStr">
        <is>
          <t>NORRKÖPING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49062-2022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44860</v>
      </c>
      <c r="E255" s="1" t="n">
        <v>46221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39401-2021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44414</v>
      </c>
      <c r="E256" s="1" t="n">
        <v>46221</v>
      </c>
      <c r="F256" t="inlineStr">
        <is>
          <t>ÖSTERGÖTLANDS LÄN</t>
        </is>
      </c>
      <c r="G256" t="inlineStr">
        <is>
          <t>NORRKÖPING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44862</v>
      </c>
      <c r="E257" s="1" t="n">
        <v>46221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46221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51877-2021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44462</v>
      </c>
      <c r="E259" s="1" t="n">
        <v>46221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46221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18592-2024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46221</v>
      </c>
      <c r="F261" t="inlineStr">
        <is>
          <t>ÖSTERGÖTLANDS LÄN</t>
        </is>
      </c>
      <c r="G261" t="inlineStr">
        <is>
          <t>NORRKÖPING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9528-2024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46221</v>
      </c>
      <c r="F262" t="inlineStr">
        <is>
          <t>ÖSTERGÖTLANDS LÄN</t>
        </is>
      </c>
      <c r="G262" t="inlineStr">
        <is>
          <t>NORRKÖPING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43773-2021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44433</v>
      </c>
      <c r="E263" s="1" t="n">
        <v>46221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53747-2022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46221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46221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46221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49456-2022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46221</v>
      </c>
      <c r="F267" t="inlineStr">
        <is>
          <t>ÖSTERGÖTLANDS LÄN</t>
        </is>
      </c>
      <c r="G267" t="inlineStr">
        <is>
          <t>NORRKÖPING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1914-2023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44939</v>
      </c>
      <c r="E268" s="1" t="n">
        <v>46221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Naturvårdsverket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63961-2023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46221</v>
      </c>
      <c r="F269" t="inlineStr">
        <is>
          <t>ÖSTERGÖTLANDS LÄN</t>
        </is>
      </c>
      <c r="G269" t="inlineStr">
        <is>
          <t>NORRKÖPING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48462-2022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44858</v>
      </c>
      <c r="E270" s="1" t="n">
        <v>46221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27579-2023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46221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Allmännings- och besparingsskogar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58525-2021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44488</v>
      </c>
      <c r="E272" s="1" t="n">
        <v>46221</v>
      </c>
      <c r="F272" t="inlineStr">
        <is>
          <t>ÖSTERGÖTLANDS LÄN</t>
        </is>
      </c>
      <c r="G272" t="inlineStr">
        <is>
          <t>NORRKÖPING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27288-2023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46221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46221</v>
      </c>
      <c r="F274" t="inlineStr">
        <is>
          <t>ÖSTERGÖTLANDS LÄN</t>
        </is>
      </c>
      <c r="G274" t="inlineStr">
        <is>
          <t>NORRKÖPING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45490</v>
      </c>
      <c r="E275" s="1" t="n">
        <v>46221</v>
      </c>
      <c r="F275" t="inlineStr">
        <is>
          <t>ÖSTERGÖTLANDS LÄN</t>
        </is>
      </c>
      <c r="G275" t="inlineStr">
        <is>
          <t>NORRKÖPING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44936</v>
      </c>
      <c r="E276" s="1" t="n">
        <v>46221</v>
      </c>
      <c r="F276" t="inlineStr">
        <is>
          <t>ÖSTERGÖTLANDS LÄN</t>
        </is>
      </c>
      <c r="G276" t="inlineStr">
        <is>
          <t>NORRKÖPING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46221</v>
      </c>
      <c r="F277" t="inlineStr">
        <is>
          <t>ÖSTERGÖTLANDS LÄN</t>
        </is>
      </c>
      <c r="G277" t="inlineStr">
        <is>
          <t>NORRKÖPING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56331-2022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46221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17327-2024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46221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18474-2025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46221</v>
      </c>
      <c r="F280" t="inlineStr">
        <is>
          <t>ÖSTERGÖTLANDS LÄN</t>
        </is>
      </c>
      <c r="G280" t="inlineStr">
        <is>
          <t>NORRKÖPING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46221</v>
      </c>
      <c r="F281" t="inlineStr">
        <is>
          <t>ÖSTERGÖTLANDS LÄN</t>
        </is>
      </c>
      <c r="G281" t="inlineStr">
        <is>
          <t>NORRKÖPING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46221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46221</v>
      </c>
      <c r="F283" t="inlineStr">
        <is>
          <t>ÖSTERGÖTLANDS LÄN</t>
        </is>
      </c>
      <c r="G283" t="inlineStr">
        <is>
          <t>NORRKÖPING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46221</v>
      </c>
      <c r="F284" t="inlineStr">
        <is>
          <t>ÖSTERGÖTLANDS LÄN</t>
        </is>
      </c>
      <c r="G284" t="inlineStr">
        <is>
          <t>NORRKÖPING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46221</v>
      </c>
      <c r="F285" t="inlineStr">
        <is>
          <t>ÖSTERGÖTLANDS LÄN</t>
        </is>
      </c>
      <c r="G285" t="inlineStr">
        <is>
          <t>NORRKÖPING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38431-2025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46221</v>
      </c>
      <c r="F286" t="inlineStr">
        <is>
          <t>ÖSTERGÖTLANDS LÄN</t>
        </is>
      </c>
      <c r="G286" t="inlineStr">
        <is>
          <t>NORRKÖPING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47345-2023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46221</v>
      </c>
      <c r="F287" t="inlineStr">
        <is>
          <t>ÖSTERGÖTLANDS LÄN</t>
        </is>
      </c>
      <c r="G287" t="inlineStr">
        <is>
          <t>NORRKÖPING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10393-2024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45365</v>
      </c>
      <c r="E288" s="1" t="n">
        <v>46221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10834-2024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46221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46221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21767-2024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45442</v>
      </c>
      <c r="E291" s="1" t="n">
        <v>46221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46221</v>
      </c>
      <c r="F292" t="inlineStr">
        <is>
          <t>ÖSTERGÖTLANDS LÄN</t>
        </is>
      </c>
      <c r="G292" t="inlineStr">
        <is>
          <t>NORRKÖPING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46221</v>
      </c>
      <c r="F293" t="inlineStr">
        <is>
          <t>ÖSTERGÖTLANDS LÄN</t>
        </is>
      </c>
      <c r="G293" t="inlineStr">
        <is>
          <t>NORRKÖPING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16689-2023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45030</v>
      </c>
      <c r="E294" s="1" t="n">
        <v>46221</v>
      </c>
      <c r="F294" t="inlineStr">
        <is>
          <t>ÖSTERGÖTLANDS LÄN</t>
        </is>
      </c>
      <c r="G294" t="inlineStr">
        <is>
          <t>NORRKÖPING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46221</v>
      </c>
      <c r="F295" t="inlineStr">
        <is>
          <t>ÖSTERGÖTLANDS LÄN</t>
        </is>
      </c>
      <c r="G295" t="inlineStr">
        <is>
          <t>NORRKÖPING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46221</v>
      </c>
      <c r="F296" t="inlineStr">
        <is>
          <t>ÖSTERGÖTLANDS LÄN</t>
        </is>
      </c>
      <c r="G296" t="inlineStr">
        <is>
          <t>NORRKÖPING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16253-2023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45028</v>
      </c>
      <c r="E297" s="1" t="n">
        <v>46221</v>
      </c>
      <c r="F297" t="inlineStr">
        <is>
          <t>ÖSTERGÖTLANDS LÄN</t>
        </is>
      </c>
      <c r="G297" t="inlineStr">
        <is>
          <t>NORRKÖPING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60233-2022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46221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46221</v>
      </c>
      <c r="F299" t="inlineStr">
        <is>
          <t>ÖSTERGÖTLANDS LÄN</t>
        </is>
      </c>
      <c r="G299" t="inlineStr">
        <is>
          <t>NORRKÖPING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28039-2025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46221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31850-2023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46221</v>
      </c>
      <c r="F301" t="inlineStr">
        <is>
          <t>ÖSTERGÖTLANDS LÄN</t>
        </is>
      </c>
      <c r="G301" t="inlineStr">
        <is>
          <t>NORRKÖPING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46221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28734-2025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46221</v>
      </c>
      <c r="F303" t="inlineStr">
        <is>
          <t>ÖSTERGÖTLANDS LÄN</t>
        </is>
      </c>
      <c r="G303" t="inlineStr">
        <is>
          <t>NORRKÖPING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46221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46221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28750-2025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46221</v>
      </c>
      <c r="F306" t="inlineStr">
        <is>
          <t>ÖSTERGÖTLANDS LÄN</t>
        </is>
      </c>
      <c r="G306" t="inlineStr">
        <is>
          <t>NORRKÖPING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46221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47090-2023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45201</v>
      </c>
      <c r="E308" s="1" t="n">
        <v>46221</v>
      </c>
      <c r="F308" t="inlineStr">
        <is>
          <t>ÖSTERGÖTLANDS LÄN</t>
        </is>
      </c>
      <c r="G308" t="inlineStr">
        <is>
          <t>NORRKÖPING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42390-2021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44427</v>
      </c>
      <c r="E309" s="1" t="n">
        <v>46221</v>
      </c>
      <c r="F309" t="inlineStr">
        <is>
          <t>ÖSTERGÖTLANDS LÄN</t>
        </is>
      </c>
      <c r="G309" t="inlineStr">
        <is>
          <t>NORRKÖPING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46221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10796-2024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46221</v>
      </c>
      <c r="F311" t="inlineStr">
        <is>
          <t>ÖSTERGÖTLANDS LÄN</t>
        </is>
      </c>
      <c r="G311" t="inlineStr">
        <is>
          <t>NORRKÖPING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46221</v>
      </c>
      <c r="F312" t="inlineStr">
        <is>
          <t>ÖSTERGÖTLANDS LÄN</t>
        </is>
      </c>
      <c r="G312" t="inlineStr">
        <is>
          <t>NORRKÖPING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46221</v>
      </c>
      <c r="F313" t="inlineStr">
        <is>
          <t>ÖSTERGÖTLANDS LÄN</t>
        </is>
      </c>
      <c r="G313" t="inlineStr">
        <is>
          <t>NORRKÖPING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46221</v>
      </c>
      <c r="F314" t="inlineStr">
        <is>
          <t>ÖSTERGÖTLANDS LÄN</t>
        </is>
      </c>
      <c r="G314" t="inlineStr">
        <is>
          <t>NORRKÖPING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46221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40134-2025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46221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8292-2023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46221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40669-2025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46221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40670-2025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46221</v>
      </c>
      <c r="F319" t="inlineStr">
        <is>
          <t>ÖSTERGÖTLANDS LÄN</t>
        </is>
      </c>
      <c r="G319" t="inlineStr">
        <is>
          <t>NORRKÖPING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40284-2025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46221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40278-2025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46221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46046</v>
      </c>
      <c r="E322" s="1" t="n">
        <v>46221</v>
      </c>
      <c r="F322" t="inlineStr">
        <is>
          <t>ÖSTERGÖTLANDS LÄN</t>
        </is>
      </c>
      <c r="G322" t="inlineStr">
        <is>
          <t>NORRKÖPING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46221</v>
      </c>
      <c r="F323" t="inlineStr">
        <is>
          <t>ÖSTERGÖTLANDS LÄN</t>
        </is>
      </c>
      <c r="G323" t="inlineStr">
        <is>
          <t>NORRKÖPING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46221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Allmännings- och besparingsskogar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46046</v>
      </c>
      <c r="E325" s="1" t="n">
        <v>46221</v>
      </c>
      <c r="F325" t="inlineStr">
        <is>
          <t>ÖSTERGÖTLANDS LÄN</t>
        </is>
      </c>
      <c r="G325" t="inlineStr">
        <is>
          <t>NORRKÖPING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46221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46221</v>
      </c>
      <c r="F327" t="inlineStr">
        <is>
          <t>ÖSTERGÖTLANDS LÄN</t>
        </is>
      </c>
      <c r="G327" t="inlineStr">
        <is>
          <t>NORRKÖPING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41321-2025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46221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41381-2023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46221</v>
      </c>
      <c r="F329" t="inlineStr">
        <is>
          <t>ÖSTERGÖTLANDS LÄN</t>
        </is>
      </c>
      <c r="G329" t="inlineStr">
        <is>
          <t>NORRKÖPING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46221</v>
      </c>
      <c r="F330" t="inlineStr">
        <is>
          <t>ÖSTERGÖTLANDS LÄN</t>
        </is>
      </c>
      <c r="G330" t="inlineStr">
        <is>
          <t>NORRKÖPING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47895-2021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44448</v>
      </c>
      <c r="E331" s="1" t="n">
        <v>46221</v>
      </c>
      <c r="F331" t="inlineStr">
        <is>
          <t>ÖSTERGÖTLANDS LÄN</t>
        </is>
      </c>
      <c r="G331" t="inlineStr">
        <is>
          <t>NORRKÖPING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27857-2025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46221</v>
      </c>
      <c r="F332" t="inlineStr">
        <is>
          <t>ÖSTERGÖTLANDS LÄN</t>
        </is>
      </c>
      <c r="G332" t="inlineStr">
        <is>
          <t>NORRKÖPING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33138-2025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46221</v>
      </c>
      <c r="F333" t="inlineStr">
        <is>
          <t>ÖSTERGÖTLANDS LÄN</t>
        </is>
      </c>
      <c r="G333" t="inlineStr">
        <is>
          <t>NORRKÖPING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41952-2025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46221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41933-2025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46221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31564-2025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45833</v>
      </c>
      <c r="E336" s="1" t="n">
        <v>46221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23349-2024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46221</v>
      </c>
      <c r="F337" t="inlineStr">
        <is>
          <t>ÖSTERGÖTLANDS LÄN</t>
        </is>
      </c>
      <c r="G337" t="inlineStr">
        <is>
          <t>NORRKÖPING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42758-2025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46221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42766-2025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46221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55359-2023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46221</v>
      </c>
      <c r="F340" t="inlineStr">
        <is>
          <t>ÖSTERGÖTLANDS LÄN</t>
        </is>
      </c>
      <c r="G340" t="inlineStr">
        <is>
          <t>NORRKÖPING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46221</v>
      </c>
      <c r="F341" t="inlineStr">
        <is>
          <t>ÖSTERGÖTLANDS LÄN</t>
        </is>
      </c>
      <c r="G341" t="inlineStr">
        <is>
          <t>NORRKÖPING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46221</v>
      </c>
      <c r="F342" t="inlineStr">
        <is>
          <t>ÖSTERGÖTLANDS LÄN</t>
        </is>
      </c>
      <c r="G342" t="inlineStr">
        <is>
          <t>NORRKÖPING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19334-2023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45049</v>
      </c>
      <c r="E343" s="1" t="n">
        <v>46221</v>
      </c>
      <c r="F343" t="inlineStr">
        <is>
          <t>ÖSTERGÖTLANDS LÄN</t>
        </is>
      </c>
      <c r="G343" t="inlineStr">
        <is>
          <t>NORRKÖPING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33246-2025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46221</v>
      </c>
      <c r="F344" t="inlineStr">
        <is>
          <t>ÖSTERGÖTLANDS LÄN</t>
        </is>
      </c>
      <c r="G344" t="inlineStr">
        <is>
          <t>NORRKÖPING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26977-2023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46221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Allmännings- och besparingsskogar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46221</v>
      </c>
      <c r="F346" t="inlineStr">
        <is>
          <t>ÖSTERGÖTLANDS LÄN</t>
        </is>
      </c>
      <c r="G346" t="inlineStr">
        <is>
          <t>NORRKÖPING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30784-2023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46221</v>
      </c>
      <c r="F347" t="inlineStr">
        <is>
          <t>ÖSTERGÖTLANDS LÄN</t>
        </is>
      </c>
      <c r="G347" t="inlineStr">
        <is>
          <t>NORRKÖPING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44560-2025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46221</v>
      </c>
      <c r="F348" t="inlineStr">
        <is>
          <t>ÖSTERGÖTLANDS LÄN</t>
        </is>
      </c>
      <c r="G348" t="inlineStr">
        <is>
          <t>NORRKÖPING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46221</v>
      </c>
      <c r="F349" t="inlineStr">
        <is>
          <t>ÖSTERGÖTLANDS LÄN</t>
        </is>
      </c>
      <c r="G349" t="inlineStr">
        <is>
          <t>NORRKÖPING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46221</v>
      </c>
      <c r="F350" t="inlineStr">
        <is>
          <t>ÖSTERGÖTLANDS LÄN</t>
        </is>
      </c>
      <c r="G350" t="inlineStr">
        <is>
          <t>NORRKÖPING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45538-2025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46221</v>
      </c>
      <c r="F351" t="inlineStr">
        <is>
          <t>ÖSTERGÖTLANDS LÄN</t>
        </is>
      </c>
      <c r="G351" t="inlineStr">
        <is>
          <t>NORRKÖPING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46221</v>
      </c>
      <c r="F352" t="inlineStr">
        <is>
          <t>ÖSTERGÖTLANDS LÄN</t>
        </is>
      </c>
      <c r="G352" t="inlineStr">
        <is>
          <t>NORRKÖPING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45534-2025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46221</v>
      </c>
      <c r="F353" t="inlineStr">
        <is>
          <t>ÖSTERGÖTLANDS LÄN</t>
        </is>
      </c>
      <c r="G353" t="inlineStr">
        <is>
          <t>NORRKÖPING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17138-2022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44677</v>
      </c>
      <c r="E354" s="1" t="n">
        <v>46221</v>
      </c>
      <c r="F354" t="inlineStr">
        <is>
          <t>ÖSTERGÖTLANDS LÄN</t>
        </is>
      </c>
      <c r="G354" t="inlineStr">
        <is>
          <t>NORRKÖPING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46221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Kommuner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46148-2025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46221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34231-2025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46221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46221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43322-2022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44834</v>
      </c>
      <c r="E359" s="1" t="n">
        <v>46221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46221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13419-2025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46221</v>
      </c>
      <c r="F361" t="inlineStr">
        <is>
          <t>ÖSTERGÖTLANDS LÄN</t>
        </is>
      </c>
      <c r="G361" t="inlineStr">
        <is>
          <t>NORRKÖPING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27040-2022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44741</v>
      </c>
      <c r="E362" s="1" t="n">
        <v>46221</v>
      </c>
      <c r="F362" t="inlineStr">
        <is>
          <t>ÖSTERGÖTLANDS LÄN</t>
        </is>
      </c>
      <c r="G362" t="inlineStr">
        <is>
          <t>NORRKÖPING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46221</v>
      </c>
      <c r="F363" t="inlineStr">
        <is>
          <t>ÖSTERGÖTLANDS LÄN</t>
        </is>
      </c>
      <c r="G363" t="inlineStr">
        <is>
          <t>NORRKÖPING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46221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44965</v>
      </c>
      <c r="E365" s="1" t="n">
        <v>46221</v>
      </c>
      <c r="F365" t="inlineStr">
        <is>
          <t>ÖSTERGÖTLANDS LÄN</t>
        </is>
      </c>
      <c r="G365" t="inlineStr">
        <is>
          <t>NORRKÖPING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14899-2023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45014</v>
      </c>
      <c r="E366" s="1" t="n">
        <v>46221</v>
      </c>
      <c r="F366" t="inlineStr">
        <is>
          <t>ÖSTERGÖTLANDS LÄN</t>
        </is>
      </c>
      <c r="G366" t="inlineStr">
        <is>
          <t>NORRKÖPING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44956</v>
      </c>
      <c r="E367" s="1" t="n">
        <v>46221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8805-2024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45356</v>
      </c>
      <c r="E368" s="1" t="n">
        <v>46221</v>
      </c>
      <c r="F368" t="inlineStr">
        <is>
          <t>ÖSTERGÖTLANDS LÄN</t>
        </is>
      </c>
      <c r="G368" t="inlineStr">
        <is>
          <t>NORRKÖPING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46221</v>
      </c>
      <c r="F369" t="inlineStr">
        <is>
          <t>ÖSTERGÖTLANDS LÄN</t>
        </is>
      </c>
      <c r="G369" t="inlineStr">
        <is>
          <t>NORRKÖPING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23051-2022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44719</v>
      </c>
      <c r="E370" s="1" t="n">
        <v>46221</v>
      </c>
      <c r="F370" t="inlineStr">
        <is>
          <t>ÖSTERGÖTLANDS LÄN</t>
        </is>
      </c>
      <c r="G370" t="inlineStr">
        <is>
          <t>NORRKÖPING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46270-2024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46221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44573</v>
      </c>
      <c r="E372" s="1" t="n">
        <v>46221</v>
      </c>
      <c r="F372" t="inlineStr">
        <is>
          <t>ÖSTERGÖTLANDS LÄN</t>
        </is>
      </c>
      <c r="G372" t="inlineStr">
        <is>
          <t>NORRKÖPING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48500-2025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45936</v>
      </c>
      <c r="E373" s="1" t="n">
        <v>46221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7762-2025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46221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17249-2024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46221</v>
      </c>
      <c r="F375" t="inlineStr">
        <is>
          <t>ÖSTERGÖTLANDS LÄN</t>
        </is>
      </c>
      <c r="G375" t="inlineStr">
        <is>
          <t>NORRKÖPING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36750-2025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45873</v>
      </c>
      <c r="E376" s="1" t="n">
        <v>46221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12191-2023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44998</v>
      </c>
      <c r="E377" s="1" t="n">
        <v>46221</v>
      </c>
      <c r="F377" t="inlineStr">
        <is>
          <t>ÖSTERGÖTLANDS LÄN</t>
        </is>
      </c>
      <c r="G377" t="inlineStr">
        <is>
          <t>NORRKÖPING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64898-2021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44512</v>
      </c>
      <c r="E378" s="1" t="n">
        <v>46221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46221</v>
      </c>
      <c r="F379" t="inlineStr">
        <is>
          <t>ÖSTERGÖTLANDS LÄN</t>
        </is>
      </c>
      <c r="G379" t="inlineStr">
        <is>
          <t>NORRKÖPING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9174-2023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44980</v>
      </c>
      <c r="E380" s="1" t="n">
        <v>46221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13152-2024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45386</v>
      </c>
      <c r="E381" s="1" t="n">
        <v>46221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50146-2025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45943</v>
      </c>
      <c r="E382" s="1" t="n">
        <v>46221</v>
      </c>
      <c r="F382" t="inlineStr">
        <is>
          <t>ÖSTERGÖTLANDS LÄN</t>
        </is>
      </c>
      <c r="G382" t="inlineStr">
        <is>
          <t>NORRKÖPING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45796</v>
      </c>
      <c r="E383" s="1" t="n">
        <v>46221</v>
      </c>
      <c r="F383" t="inlineStr">
        <is>
          <t>ÖSTERGÖTLANDS LÄN</t>
        </is>
      </c>
      <c r="G383" t="inlineStr">
        <is>
          <t>NORRKÖPING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23783-2022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44721</v>
      </c>
      <c r="E384" s="1" t="n">
        <v>46221</v>
      </c>
      <c r="F384" t="inlineStr">
        <is>
          <t>ÖSTERGÖTLANDS LÄN</t>
        </is>
      </c>
      <c r="G384" t="inlineStr">
        <is>
          <t>NORRKÖPING</t>
        </is>
      </c>
      <c r="I384" t="n">
        <v>11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31362-2023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46221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37876-2025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45881</v>
      </c>
      <c r="E386" s="1" t="n">
        <v>46221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57376-2024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45629</v>
      </c>
      <c r="E387" s="1" t="n">
        <v>46221</v>
      </c>
      <c r="F387" t="inlineStr">
        <is>
          <t>ÖSTERGÖTLANDS LÄN</t>
        </is>
      </c>
      <c r="G387" t="inlineStr">
        <is>
          <t>NORRKÖPING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38404-2025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46221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Allmännings- och besparingsskogar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27735-2023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46221</v>
      </c>
      <c r="F389" t="inlineStr">
        <is>
          <t>ÖSTERGÖTLANDS LÄN</t>
        </is>
      </c>
      <c r="G389" t="inlineStr">
        <is>
          <t>NORRKÖPING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36887-2022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44805</v>
      </c>
      <c r="E390" s="1" t="n">
        <v>46221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Allmännings- och besparingsskogar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31653-2023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46221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38463-2025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46221</v>
      </c>
      <c r="F392" t="inlineStr">
        <is>
          <t>ÖSTERGÖTLANDS LÄN</t>
        </is>
      </c>
      <c r="G392" t="inlineStr">
        <is>
          <t>NORRKÖPING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46610-2024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45582</v>
      </c>
      <c r="E393" s="1" t="n">
        <v>46221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Allmännings- och besparingsskogar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45362-2021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44439</v>
      </c>
      <c r="E394" s="1" t="n">
        <v>46221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49818-2024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45597</v>
      </c>
      <c r="E395" s="1" t="n">
        <v>46221</v>
      </c>
      <c r="F395" t="inlineStr">
        <is>
          <t>ÖSTERGÖTLANDS LÄN</t>
        </is>
      </c>
      <c r="G395" t="inlineStr">
        <is>
          <t>NORRKÖPING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26390-2024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45469</v>
      </c>
      <c r="E396" s="1" t="n">
        <v>46221</v>
      </c>
      <c r="F396" t="inlineStr">
        <is>
          <t>ÖSTERGÖTLANDS LÄN</t>
        </is>
      </c>
      <c r="G396" t="inlineStr">
        <is>
          <t>NORRKÖPING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11519-2025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46221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22470-2022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44713</v>
      </c>
      <c r="E398" s="1" t="n">
        <v>46221</v>
      </c>
      <c r="F398" t="inlineStr">
        <is>
          <t>ÖSTERGÖTLANDS LÄN</t>
        </is>
      </c>
      <c r="G398" t="inlineStr">
        <is>
          <t>NORRKÖPING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32511-2023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45121</v>
      </c>
      <c r="E399" s="1" t="n">
        <v>46221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15402-2025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46221</v>
      </c>
      <c r="F400" t="inlineStr">
        <is>
          <t>ÖSTERGÖTLANDS LÄN</t>
        </is>
      </c>
      <c r="G400" t="inlineStr">
        <is>
          <t>NORRKÖPING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47051-2023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46221</v>
      </c>
      <c r="F401" t="inlineStr">
        <is>
          <t>ÖSTERGÖTLANDS LÄN</t>
        </is>
      </c>
      <c r="G401" t="inlineStr">
        <is>
          <t>NORRKÖPING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16696-2023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45030</v>
      </c>
      <c r="E402" s="1" t="n">
        <v>46221</v>
      </c>
      <c r="F402" t="inlineStr">
        <is>
          <t>ÖSTERGÖTLANDS LÄN</t>
        </is>
      </c>
      <c r="G402" t="inlineStr">
        <is>
          <t>NORRKÖPING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16698-2023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45030</v>
      </c>
      <c r="E403" s="1" t="n">
        <v>46221</v>
      </c>
      <c r="F403" t="inlineStr">
        <is>
          <t>ÖSTERGÖTLANDS LÄN</t>
        </is>
      </c>
      <c r="G403" t="inlineStr">
        <is>
          <t>NORRKÖPING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46221</v>
      </c>
      <c r="F404" t="inlineStr">
        <is>
          <t>ÖSTERGÖTLANDS LÄN</t>
        </is>
      </c>
      <c r="G404" t="inlineStr">
        <is>
          <t>NORRKÖPING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47477-2022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44853</v>
      </c>
      <c r="E405" s="1" t="n">
        <v>46221</v>
      </c>
      <c r="F405" t="inlineStr">
        <is>
          <t>ÖSTERGÖTLANDS LÄN</t>
        </is>
      </c>
      <c r="G405" t="inlineStr">
        <is>
          <t>NORRKÖPING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12511-2023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44999</v>
      </c>
      <c r="E406" s="1" t="n">
        <v>46221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30095-2023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45110</v>
      </c>
      <c r="E407" s="1" t="n">
        <v>46221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53694-2025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45960</v>
      </c>
      <c r="E408" s="1" t="n">
        <v>46221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41223-2022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44826</v>
      </c>
      <c r="E409" s="1" t="n">
        <v>46221</v>
      </c>
      <c r="F409" t="inlineStr">
        <is>
          <t>ÖSTERGÖTLANDS LÄN</t>
        </is>
      </c>
      <c r="G409" t="inlineStr">
        <is>
          <t>NORRKÖPING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53702-2025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46221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21664-2024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45442</v>
      </c>
      <c r="E411" s="1" t="n">
        <v>46221</v>
      </c>
      <c r="F411" t="inlineStr">
        <is>
          <t>ÖSTERGÖTLANDS LÄN</t>
        </is>
      </c>
      <c r="G411" t="inlineStr">
        <is>
          <t>NORRKÖPING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21772-2024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45442</v>
      </c>
      <c r="E412" s="1" t="n">
        <v>46221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53881-2025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46221</v>
      </c>
      <c r="F413" t="inlineStr">
        <is>
          <t>ÖSTERGÖTLANDS LÄN</t>
        </is>
      </c>
      <c r="G413" t="inlineStr">
        <is>
          <t>NORRKÖPING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9781-2026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46221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Kyrkan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9787-2026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46221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Kyrkan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14031-2023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45008</v>
      </c>
      <c r="E416" s="1" t="n">
        <v>46221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9233-2023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46221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14611-2023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45013</v>
      </c>
      <c r="E418" s="1" t="n">
        <v>46221</v>
      </c>
      <c r="F418" t="inlineStr">
        <is>
          <t>ÖSTERGÖTLANDS LÄN</t>
        </is>
      </c>
      <c r="G418" t="inlineStr">
        <is>
          <t>NORRKÖPING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10261-2026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46221</v>
      </c>
      <c r="F419" t="inlineStr">
        <is>
          <t>ÖSTERGÖTLANDS LÄN</t>
        </is>
      </c>
      <c r="G419" t="inlineStr">
        <is>
          <t>NORRKÖPING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46221</v>
      </c>
      <c r="F420" t="inlineStr">
        <is>
          <t>ÖSTERGÖTLANDS LÄN</t>
        </is>
      </c>
      <c r="G420" t="inlineStr">
        <is>
          <t>NORRKÖPING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53278-2023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46221</v>
      </c>
      <c r="F421" t="inlineStr">
        <is>
          <t>ÖSTERGÖTLANDS LÄN</t>
        </is>
      </c>
      <c r="G421" t="inlineStr">
        <is>
          <t>NORRKÖPING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10266-2026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46221</v>
      </c>
      <c r="F422" t="inlineStr">
        <is>
          <t>ÖSTERGÖTLANDS LÄN</t>
        </is>
      </c>
      <c r="G422" t="inlineStr">
        <is>
          <t>NORRKÖPING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10377-2026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46221</v>
      </c>
      <c r="F423" t="inlineStr">
        <is>
          <t>ÖSTERGÖTLANDS LÄN</t>
        </is>
      </c>
      <c r="G423" t="inlineStr">
        <is>
          <t>NORRKÖPING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18886-2025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45764</v>
      </c>
      <c r="E424" s="1" t="n">
        <v>46221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9532-2025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46221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11587-2023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44992</v>
      </c>
      <c r="E426" s="1" t="n">
        <v>46221</v>
      </c>
      <c r="F426" t="inlineStr">
        <is>
          <t>ÖSTERGÖTLANDS LÄN</t>
        </is>
      </c>
      <c r="G426" t="inlineStr">
        <is>
          <t>NORRKÖPING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1935-2022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44575</v>
      </c>
      <c r="E427" s="1" t="n">
        <v>46221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4770-2023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46221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44945</v>
      </c>
      <c r="E429" s="1" t="n">
        <v>46221</v>
      </c>
      <c r="F429" t="inlineStr">
        <is>
          <t>ÖSTERGÖTLANDS LÄN</t>
        </is>
      </c>
      <c r="G429" t="inlineStr">
        <is>
          <t>NORRKÖPING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26834-2023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46221</v>
      </c>
      <c r="F430" t="inlineStr">
        <is>
          <t>ÖSTERGÖTLANDS LÄN</t>
        </is>
      </c>
      <c r="G430" t="inlineStr">
        <is>
          <t>NORRKÖPING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30062-2023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46221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11126-2026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46221</v>
      </c>
      <c r="F432" t="inlineStr">
        <is>
          <t>ÖSTERGÖTLANDS LÄN</t>
        </is>
      </c>
      <c r="G432" t="inlineStr">
        <is>
          <t>NORRKÖPING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63349-2023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45274</v>
      </c>
      <c r="E433" s="1" t="n">
        <v>46221</v>
      </c>
      <c r="F433" t="inlineStr">
        <is>
          <t>ÖSTERGÖTLANDS LÄN</t>
        </is>
      </c>
      <c r="G433" t="inlineStr">
        <is>
          <t>NORRKÖPING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11041-2026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46079</v>
      </c>
      <c r="E434" s="1" t="n">
        <v>46221</v>
      </c>
      <c r="F434" t="inlineStr">
        <is>
          <t>ÖSTERGÖTLANDS LÄN</t>
        </is>
      </c>
      <c r="G434" t="inlineStr">
        <is>
          <t>NORRKÖPING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11031-2026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46221</v>
      </c>
      <c r="F435" t="inlineStr">
        <is>
          <t>ÖSTERGÖTLANDS LÄN</t>
        </is>
      </c>
      <c r="G435" t="inlineStr">
        <is>
          <t>NORRKÖPING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59460-2023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45254</v>
      </c>
      <c r="E436" s="1" t="n">
        <v>46221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56589-2025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46221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56689-2025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45976</v>
      </c>
      <c r="E438" s="1" t="n">
        <v>46221</v>
      </c>
      <c r="F438" t="inlineStr">
        <is>
          <t>ÖSTERGÖTLANDS LÄN</t>
        </is>
      </c>
      <c r="G438" t="inlineStr">
        <is>
          <t>NORRKÖPING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23630-2023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45077</v>
      </c>
      <c r="E439" s="1" t="n">
        <v>46221</v>
      </c>
      <c r="F439" t="inlineStr">
        <is>
          <t>ÖSTERGÖTLANDS LÄN</t>
        </is>
      </c>
      <c r="G439" t="inlineStr">
        <is>
          <t>NORRKÖPING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31801-2024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45509</v>
      </c>
      <c r="E440" s="1" t="n">
        <v>46221</v>
      </c>
      <c r="F440" t="inlineStr">
        <is>
          <t>ÖSTERGÖTLANDS LÄN</t>
        </is>
      </c>
      <c r="G440" t="inlineStr">
        <is>
          <t>NORRKÖPING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18658-2023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46221</v>
      </c>
      <c r="F441" t="inlineStr">
        <is>
          <t>ÖSTERGÖTLANDS LÄN</t>
        </is>
      </c>
      <c r="G441" t="inlineStr">
        <is>
          <t>NORRKÖPING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43277-2023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46221</v>
      </c>
      <c r="F442" t="inlineStr">
        <is>
          <t>ÖSTERGÖTLANDS LÄN</t>
        </is>
      </c>
      <c r="G442" t="inlineStr">
        <is>
          <t>NORRKÖPING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11693-2026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46221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Allmännings- och besparingsskogar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19259-2023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45049</v>
      </c>
      <c r="E444" s="1" t="n">
        <v>46221</v>
      </c>
      <c r="F444" t="inlineStr">
        <is>
          <t>ÖSTERGÖTLANDS LÄN</t>
        </is>
      </c>
      <c r="G444" t="inlineStr">
        <is>
          <t>NORRKÖPING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45049</v>
      </c>
      <c r="E445" s="1" t="n">
        <v>46221</v>
      </c>
      <c r="F445" t="inlineStr">
        <is>
          <t>ÖSTERGÖTLANDS LÄN</t>
        </is>
      </c>
      <c r="G445" t="inlineStr">
        <is>
          <t>NORRKÖPING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2021-2023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44939</v>
      </c>
      <c r="E446" s="1" t="n">
        <v>46221</v>
      </c>
      <c r="F446" t="inlineStr">
        <is>
          <t>ÖSTERGÖTLANDS LÄN</t>
        </is>
      </c>
      <c r="G446" t="inlineStr">
        <is>
          <t>NORRKÖPING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14503-2023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45012</v>
      </c>
      <c r="E447" s="1" t="n">
        <v>46221</v>
      </c>
      <c r="F447" t="inlineStr">
        <is>
          <t>ÖSTERGÖTLANDS LÄN</t>
        </is>
      </c>
      <c r="G447" t="inlineStr">
        <is>
          <t>NORRKÖPING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58814-2025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46221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Allmännings- och besparingsskogar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55063-2023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45237</v>
      </c>
      <c r="E449" s="1" t="n">
        <v>46221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Kyrkan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19230-2025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46221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19287-2025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45769</v>
      </c>
      <c r="E451" s="1" t="n">
        <v>46221</v>
      </c>
      <c r="F451" t="inlineStr">
        <is>
          <t>ÖSTERGÖTLANDS LÄN</t>
        </is>
      </c>
      <c r="G451" t="inlineStr">
        <is>
          <t>NORRKÖPING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19298-2025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46221</v>
      </c>
      <c r="F452" t="inlineStr">
        <is>
          <t>ÖSTERGÖTLANDS LÄN</t>
        </is>
      </c>
      <c r="G452" t="inlineStr">
        <is>
          <t>NORRKÖPING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58379-2025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46221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58575-2025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46221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58330-2025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46221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49452-2021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44454</v>
      </c>
      <c r="E456" s="1" t="n">
        <v>46221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12674-2025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46221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12279-2026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46221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46221</v>
      </c>
      <c r="F459" t="inlineStr">
        <is>
          <t>ÖSTERGÖTLANDS LÄN</t>
        </is>
      </c>
      <c r="G459" t="inlineStr">
        <is>
          <t>NORRKÖPING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9806-2026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46221</v>
      </c>
      <c r="F460" t="inlineStr">
        <is>
          <t>ÖSTERGÖTLANDS LÄN</t>
        </is>
      </c>
      <c r="G460" t="inlineStr">
        <is>
          <t>NORRKÖPING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12584-2026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46221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49060-2022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46221</v>
      </c>
      <c r="F462" t="inlineStr">
        <is>
          <t>ÖSTERGÖTLANDS LÄN</t>
        </is>
      </c>
      <c r="G462" t="inlineStr">
        <is>
          <t>NORRKÖPING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14441-2025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46221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13012-2026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46221</v>
      </c>
      <c r="F464" t="inlineStr">
        <is>
          <t>ÖSTERGÖTLANDS LÄN</t>
        </is>
      </c>
      <c r="G464" t="inlineStr">
        <is>
          <t>NORRKÖPING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45362-2021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44439</v>
      </c>
      <c r="E465" s="1" t="n">
        <v>46221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13009-2026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46221</v>
      </c>
      <c r="F466" t="inlineStr">
        <is>
          <t>ÖSTERGÖTLANDS LÄN</t>
        </is>
      </c>
      <c r="G466" t="inlineStr">
        <is>
          <t>NORRKÖPING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13091-2026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46221</v>
      </c>
      <c r="F467" t="inlineStr">
        <is>
          <t>ÖSTERGÖTLANDS LÄN</t>
        </is>
      </c>
      <c r="G467" t="inlineStr">
        <is>
          <t>NORRKÖPING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57413-2022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46221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13239-2026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46221</v>
      </c>
      <c r="F469" t="inlineStr">
        <is>
          <t>ÖSTERGÖTLANDS LÄN</t>
        </is>
      </c>
      <c r="G469" t="inlineStr">
        <is>
          <t>NORRKÖPING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13228-2026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46221</v>
      </c>
      <c r="F470" t="inlineStr">
        <is>
          <t>ÖSTERGÖTLANDS LÄN</t>
        </is>
      </c>
      <c r="G470" t="inlineStr">
        <is>
          <t>NORRKÖPING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13253-2026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46221</v>
      </c>
      <c r="F471" t="inlineStr">
        <is>
          <t>ÖSTERGÖTLANDS LÄN</t>
        </is>
      </c>
      <c r="G471" t="inlineStr">
        <is>
          <t>NORRKÖPING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13342-2026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46221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13330-2026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46221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13388-2026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46221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57979-2022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44900</v>
      </c>
      <c r="E475" s="1" t="n">
        <v>46221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19324-2025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46221</v>
      </c>
      <c r="F476" t="inlineStr">
        <is>
          <t>ÖSTERGÖTLANDS LÄN</t>
        </is>
      </c>
      <c r="G476" t="inlineStr">
        <is>
          <t>NORRKÖPING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57733-2022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44897</v>
      </c>
      <c r="E477" s="1" t="n">
        <v>46221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44928</v>
      </c>
      <c r="E478" s="1" t="n">
        <v>46221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62376-2022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44923</v>
      </c>
      <c r="E479" s="1" t="n">
        <v>46221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62118-2025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46221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14674-2026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46221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62107-2025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46221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62112-2025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46221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59586-2022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44907</v>
      </c>
      <c r="E484" s="1" t="n">
        <v>46221</v>
      </c>
      <c r="F484" t="inlineStr">
        <is>
          <t>ÖSTERGÖTLANDS LÄN</t>
        </is>
      </c>
      <c r="G484" t="inlineStr">
        <is>
          <t>NORRKÖPING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14645-2026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46101</v>
      </c>
      <c r="E485" s="1" t="n">
        <v>46221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4127-2022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46221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62108-2025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46221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62370-2025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46221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20587-2024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45436</v>
      </c>
      <c r="E489" s="1" t="n">
        <v>46221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62473-2025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46221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32630-2022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44783</v>
      </c>
      <c r="E491" s="1" t="n">
        <v>46221</v>
      </c>
      <c r="F491" t="inlineStr">
        <is>
          <t>ÖSTERGÖTLANDS LÄN</t>
        </is>
      </c>
      <c r="G491" t="inlineStr">
        <is>
          <t>NORRKÖPING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63229-2025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46221</v>
      </c>
      <c r="F492" t="inlineStr">
        <is>
          <t>ÖSTERGÖTLANDS LÄN</t>
        </is>
      </c>
      <c r="G492" t="inlineStr">
        <is>
          <t>NORRKÖPING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9714-2025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45716</v>
      </c>
      <c r="E493" s="1" t="n">
        <v>46221</v>
      </c>
      <c r="F493" t="inlineStr">
        <is>
          <t>ÖSTERGÖTLANDS LÄN</t>
        </is>
      </c>
      <c r="G493" t="inlineStr">
        <is>
          <t>NORRKÖPING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63165-2025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46221</v>
      </c>
      <c r="F494" t="inlineStr">
        <is>
          <t>ÖSTERGÖTLANDS LÄN</t>
        </is>
      </c>
      <c r="G494" t="inlineStr">
        <is>
          <t>NORRKÖPING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63168-2025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46221</v>
      </c>
      <c r="F495" t="inlineStr">
        <is>
          <t>ÖSTERGÖTLANDS LÄN</t>
        </is>
      </c>
      <c r="G495" t="inlineStr">
        <is>
          <t>NORRKÖPING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63241-2025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46221</v>
      </c>
      <c r="F496" t="inlineStr">
        <is>
          <t>ÖSTERGÖTLANDS LÄN</t>
        </is>
      </c>
      <c r="G496" t="inlineStr">
        <is>
          <t>NORRKÖPING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46014</v>
      </c>
      <c r="E497" s="1" t="n">
        <v>46221</v>
      </c>
      <c r="F497" t="inlineStr">
        <is>
          <t>ÖSTERGÖTLANDS LÄN</t>
        </is>
      </c>
      <c r="G497" t="inlineStr">
        <is>
          <t>NORRKÖPING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31838-2023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46221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12538-2024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45379</v>
      </c>
      <c r="E499" s="1" t="n">
        <v>46221</v>
      </c>
      <c r="F499" t="inlineStr">
        <is>
          <t>ÖSTERGÖTLANDS LÄN</t>
        </is>
      </c>
      <c r="G499" t="inlineStr">
        <is>
          <t>NORRKÖPING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56210-2023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45240</v>
      </c>
      <c r="E500" s="1" t="n">
        <v>46221</v>
      </c>
      <c r="F500" t="inlineStr">
        <is>
          <t>ÖSTERGÖTLANDS LÄN</t>
        </is>
      </c>
      <c r="G500" t="inlineStr">
        <is>
          <t>NORRKÖPING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63944-2025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46221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46221</v>
      </c>
      <c r="F502" t="inlineStr">
        <is>
          <t>ÖSTERGÖTLANDS LÄN</t>
        </is>
      </c>
      <c r="G502" t="inlineStr">
        <is>
          <t>NORRKÖPING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46221</v>
      </c>
      <c r="F503" t="inlineStr">
        <is>
          <t>ÖSTERGÖTLANDS LÄN</t>
        </is>
      </c>
      <c r="G503" t="inlineStr">
        <is>
          <t>NORRKÖPING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15722-2026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46221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6490-2024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45339</v>
      </c>
      <c r="E505" s="1" t="n">
        <v>46221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16590-2024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45408</v>
      </c>
      <c r="E506" s="1" t="n">
        <v>46221</v>
      </c>
      <c r="F506" t="inlineStr">
        <is>
          <t>ÖSTERGÖTLANDS LÄN</t>
        </is>
      </c>
      <c r="G506" t="inlineStr">
        <is>
          <t>NORRKÖPING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59520-2023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46221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BillerudKorsnäs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46221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Allmännings- och besparingsskogar</t>
        </is>
      </c>
      <c r="I508" t="n">
        <v>12.4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15531-2026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46221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7709-2022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44607</v>
      </c>
      <c r="E510" s="1" t="n">
        <v>46221</v>
      </c>
      <c r="F510" t="inlineStr">
        <is>
          <t>ÖSTERGÖTLANDS LÄN</t>
        </is>
      </c>
      <c r="G510" t="inlineStr">
        <is>
          <t>NORRKÖPING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46038</v>
      </c>
      <c r="E511" s="1" t="n">
        <v>46221</v>
      </c>
      <c r="F511" t="inlineStr">
        <is>
          <t>ÖSTERGÖTLANDS LÄN</t>
        </is>
      </c>
      <c r="G511" t="inlineStr">
        <is>
          <t>NORRKÖPING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16083-2026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46108</v>
      </c>
      <c r="E512" s="1" t="n">
        <v>46221</v>
      </c>
      <c r="F512" t="inlineStr">
        <is>
          <t>ÖSTERGÖTLANDS LÄN</t>
        </is>
      </c>
      <c r="G512" t="inlineStr">
        <is>
          <t>NORRKÖPING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44950</v>
      </c>
      <c r="E513" s="1" t="n">
        <v>46221</v>
      </c>
      <c r="F513" t="inlineStr">
        <is>
          <t>ÖSTERGÖTLANDS LÄN</t>
        </is>
      </c>
      <c r="G513" t="inlineStr">
        <is>
          <t>NORRKÖPING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26391-2023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45092</v>
      </c>
      <c r="E514" s="1" t="n">
        <v>46221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13579-2023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45006</v>
      </c>
      <c r="E515" s="1" t="n">
        <v>46221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46221</v>
      </c>
      <c r="F516" t="inlineStr">
        <is>
          <t>ÖSTERGÖTLANDS LÄN</t>
        </is>
      </c>
      <c r="G516" t="inlineStr">
        <is>
          <t>NORRKÖPING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16708-2023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46221</v>
      </c>
      <c r="F517" t="inlineStr">
        <is>
          <t>ÖSTERGÖTLANDS LÄN</t>
        </is>
      </c>
      <c r="G517" t="inlineStr">
        <is>
          <t>NORRKÖPING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11612-2023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46221</v>
      </c>
      <c r="F518" t="inlineStr">
        <is>
          <t>ÖSTERGÖTLANDS LÄN</t>
        </is>
      </c>
      <c r="G518" t="inlineStr">
        <is>
          <t>NORRKÖPING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16682-2026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46221</v>
      </c>
      <c r="F519" t="inlineStr">
        <is>
          <t>ÖSTERGÖTLANDS LÄN</t>
        </is>
      </c>
      <c r="G519" t="inlineStr">
        <is>
          <t>NORRKÖPING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30156-2023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45110</v>
      </c>
      <c r="E520" s="1" t="n">
        <v>46221</v>
      </c>
      <c r="F520" t="inlineStr">
        <is>
          <t>ÖSTERGÖTLANDS LÄN</t>
        </is>
      </c>
      <c r="G520" t="inlineStr">
        <is>
          <t>NORRKÖPING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30159-2023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46221</v>
      </c>
      <c r="F521" t="inlineStr">
        <is>
          <t>ÖSTERGÖTLANDS LÄN</t>
        </is>
      </c>
      <c r="G521" t="inlineStr">
        <is>
          <t>NORRKÖPING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34393-2023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45132</v>
      </c>
      <c r="E522" s="1" t="n">
        <v>46221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28600-2024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45478</v>
      </c>
      <c r="E523" s="1" t="n">
        <v>46221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10989-2024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46221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17452-2026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46221</v>
      </c>
      <c r="F525" t="inlineStr">
        <is>
          <t>ÖSTERGÖTLANDS LÄN</t>
        </is>
      </c>
      <c r="G525" t="inlineStr">
        <is>
          <t>NORRKÖPING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4743-2023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44957</v>
      </c>
      <c r="E526" s="1" t="n">
        <v>46221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59768-2021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44494</v>
      </c>
      <c r="E527" s="1" t="n">
        <v>46221</v>
      </c>
      <c r="F527" t="inlineStr">
        <is>
          <t>ÖSTERGÖTLANDS LÄN</t>
        </is>
      </c>
      <c r="G527" t="inlineStr">
        <is>
          <t>NORRKÖPING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8220-2023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46221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17506-2026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46120</v>
      </c>
      <c r="E529" s="1" t="n">
        <v>46221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17453-2026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46221</v>
      </c>
      <c r="F530" t="inlineStr">
        <is>
          <t>ÖSTERGÖTLANDS LÄN</t>
        </is>
      </c>
      <c r="G530" t="inlineStr">
        <is>
          <t>NORRKÖPING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19785-2025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46221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59221-2024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45637</v>
      </c>
      <c r="E532" s="1" t="n">
        <v>46221</v>
      </c>
      <c r="F532" t="inlineStr">
        <is>
          <t>ÖSTERGÖTLANDS LÄN</t>
        </is>
      </c>
      <c r="G532" t="inlineStr">
        <is>
          <t>NORRKÖPING</t>
        </is>
      </c>
      <c r="I532" t="n">
        <v>24.7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48758-2024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45593</v>
      </c>
      <c r="E533" s="1" t="n">
        <v>46221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33170-2023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45126</v>
      </c>
      <c r="E534" s="1" t="n">
        <v>46221</v>
      </c>
      <c r="F534" t="inlineStr">
        <is>
          <t>ÖSTERGÖTLANDS LÄN</t>
        </is>
      </c>
      <c r="G534" t="inlineStr">
        <is>
          <t>NORRKÖPING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46221</v>
      </c>
      <c r="F535" t="inlineStr">
        <is>
          <t>ÖSTERGÖTLANDS LÄN</t>
        </is>
      </c>
      <c r="G535" t="inlineStr">
        <is>
          <t>NORRKÖPING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34977-2023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45141</v>
      </c>
      <c r="E536" s="1" t="n">
        <v>46221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35148-2023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45145</v>
      </c>
      <c r="E537" s="1" t="n">
        <v>46221</v>
      </c>
      <c r="F537" t="inlineStr">
        <is>
          <t>ÖSTERGÖTLANDS LÄN</t>
        </is>
      </c>
      <c r="G537" t="inlineStr">
        <is>
          <t>NORRKÖPING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15190-2024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45400</v>
      </c>
      <c r="E538" s="1" t="n">
        <v>46221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18819-2026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46221</v>
      </c>
      <c r="F539" t="inlineStr">
        <is>
          <t>ÖSTERGÖTLANDS LÄN</t>
        </is>
      </c>
      <c r="G539" t="inlineStr">
        <is>
          <t>NORRKÖPING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15640-2024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45403</v>
      </c>
      <c r="E540" s="1" t="n">
        <v>46221</v>
      </c>
      <c r="F540" t="inlineStr">
        <is>
          <t>ÖSTERGÖTLANDS LÄN</t>
        </is>
      </c>
      <c r="G540" t="inlineStr">
        <is>
          <t>NORRKÖPING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44935</v>
      </c>
      <c r="E541" s="1" t="n">
        <v>46221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18812-2026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46221</v>
      </c>
      <c r="F542" t="inlineStr">
        <is>
          <t>ÖSTERGÖTLANDS LÄN</t>
        </is>
      </c>
      <c r="G542" t="inlineStr">
        <is>
          <t>NORRKÖPING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45114</v>
      </c>
      <c r="E543" s="1" t="n">
        <v>46221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31361-2023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46221</v>
      </c>
      <c r="F544" t="inlineStr">
        <is>
          <t>ÖSTERGÖTLANDS LÄN</t>
        </is>
      </c>
      <c r="G544" t="inlineStr">
        <is>
          <t>NORRKÖPING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7742-2025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45706</v>
      </c>
      <c r="E545" s="1" t="n">
        <v>46221</v>
      </c>
      <c r="F545" t="inlineStr">
        <is>
          <t>ÖSTERGÖTLANDS LÄN</t>
        </is>
      </c>
      <c r="G545" t="inlineStr">
        <is>
          <t>NORRKÖPING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38441-2024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46221</v>
      </c>
      <c r="F546" t="inlineStr">
        <is>
          <t>ÖSTERGÖTLANDS LÄN</t>
        </is>
      </c>
      <c r="G546" t="inlineStr">
        <is>
          <t>NORRKÖPING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8806-2024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45356</v>
      </c>
      <c r="E547" s="1" t="n">
        <v>46221</v>
      </c>
      <c r="F547" t="inlineStr">
        <is>
          <t>ÖSTERGÖTLANDS LÄN</t>
        </is>
      </c>
      <c r="G547" t="inlineStr">
        <is>
          <t>NORRKÖPING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26392-2023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45092</v>
      </c>
      <c r="E548" s="1" t="n">
        <v>46221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62049-2023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45266</v>
      </c>
      <c r="E549" s="1" t="n">
        <v>46221</v>
      </c>
      <c r="F549" t="inlineStr">
        <is>
          <t>ÖSTERGÖTLANDS LÄN</t>
        </is>
      </c>
      <c r="G549" t="inlineStr">
        <is>
          <t>NORRKÖPING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32681-2025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45836</v>
      </c>
      <c r="E550" s="1" t="n">
        <v>46221</v>
      </c>
      <c r="F550" t="inlineStr">
        <is>
          <t>ÖSTERGÖTLANDS LÄN</t>
        </is>
      </c>
      <c r="G550" t="inlineStr">
        <is>
          <t>NORRKÖPING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38571-2025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46221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39224-2025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45889</v>
      </c>
      <c r="E552" s="1" t="n">
        <v>46221</v>
      </c>
      <c r="F552" t="inlineStr">
        <is>
          <t>ÖSTERGÖTLANDS LÄN</t>
        </is>
      </c>
      <c r="G552" t="inlineStr">
        <is>
          <t>NORRKÖPING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46205-2025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45924</v>
      </c>
      <c r="E553" s="1" t="n">
        <v>46221</v>
      </c>
      <c r="F553" t="inlineStr">
        <is>
          <t>ÖSTERGÖTLANDS LÄN</t>
        </is>
      </c>
      <c r="G553" t="inlineStr">
        <is>
          <t>NORRKÖPING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45309-2023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45191</v>
      </c>
      <c r="E554" s="1" t="n">
        <v>46221</v>
      </c>
      <c r="F554" t="inlineStr">
        <is>
          <t>ÖSTERGÖTLANDS LÄN</t>
        </is>
      </c>
      <c r="G554" t="inlineStr">
        <is>
          <t>NORRKÖPING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20001-2026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46135</v>
      </c>
      <c r="E555" s="1" t="n">
        <v>46221</v>
      </c>
      <c r="F555" t="inlineStr">
        <is>
          <t>ÖSTERGÖTLANDS LÄN</t>
        </is>
      </c>
      <c r="G555" t="inlineStr">
        <is>
          <t>NORRKÖPING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46221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62176-2024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45657</v>
      </c>
      <c r="E557" s="1" t="n">
        <v>46221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31364-2025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45833</v>
      </c>
      <c r="E558" s="1" t="n">
        <v>46221</v>
      </c>
      <c r="F558" t="inlineStr">
        <is>
          <t>ÖSTERGÖTLANDS LÄN</t>
        </is>
      </c>
      <c r="G558" t="inlineStr">
        <is>
          <t>NORRKÖPING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16949-2023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45033</v>
      </c>
      <c r="E559" s="1" t="n">
        <v>46221</v>
      </c>
      <c r="F559" t="inlineStr">
        <is>
          <t>ÖSTERGÖTLANDS LÄN</t>
        </is>
      </c>
      <c r="G559" t="inlineStr">
        <is>
          <t>NORRKÖPING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70378-2021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44536</v>
      </c>
      <c r="E560" s="1" t="n">
        <v>46221</v>
      </c>
      <c r="F560" t="inlineStr">
        <is>
          <t>ÖSTERGÖTLANDS LÄN</t>
        </is>
      </c>
      <c r="G560" t="inlineStr">
        <is>
          <t>NORRKÖPING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5868-2022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44596</v>
      </c>
      <c r="E561" s="1" t="n">
        <v>46221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44573</v>
      </c>
      <c r="E562" s="1" t="n">
        <v>46221</v>
      </c>
      <c r="F562" t="inlineStr">
        <is>
          <t>ÖSTERGÖTLANDS LÄN</t>
        </is>
      </c>
      <c r="G562" t="inlineStr">
        <is>
          <t>NORRKÖPING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54851-2025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46221</v>
      </c>
      <c r="F563" t="inlineStr">
        <is>
          <t>ÖSTERGÖTLANDS LÄN</t>
        </is>
      </c>
      <c r="G563" t="inlineStr">
        <is>
          <t>NORRKÖPING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19931-2026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46136</v>
      </c>
      <c r="E564" s="1" t="n">
        <v>46221</v>
      </c>
      <c r="F564" t="inlineStr">
        <is>
          <t>ÖSTERGÖTLANDS LÄN</t>
        </is>
      </c>
      <c r="G564" t="inlineStr">
        <is>
          <t>NORRKÖPING</t>
        </is>
      </c>
      <c r="I564" t="n">
        <v>8.800000000000001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11136-2025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45723</v>
      </c>
      <c r="E565" s="1" t="n">
        <v>46221</v>
      </c>
      <c r="F565" t="inlineStr">
        <is>
          <t>ÖSTERGÖTLANDS LÄN</t>
        </is>
      </c>
      <c r="G565" t="inlineStr">
        <is>
          <t>NORRKÖPING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39861-2025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45891</v>
      </c>
      <c r="E566" s="1" t="n">
        <v>46221</v>
      </c>
      <c r="F566" t="inlineStr">
        <is>
          <t>ÖSTERGÖTLANDS LÄN</t>
        </is>
      </c>
      <c r="G566" t="inlineStr">
        <is>
          <t>NORRKÖPING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39863-2025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45891</v>
      </c>
      <c r="E567" s="1" t="n">
        <v>46221</v>
      </c>
      <c r="F567" t="inlineStr">
        <is>
          <t>ÖSTERGÖTLANDS LÄN</t>
        </is>
      </c>
      <c r="G567" t="inlineStr">
        <is>
          <t>NORRKÖPING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33703-2024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45520</v>
      </c>
      <c r="E568" s="1" t="n">
        <v>46221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39232-2024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45550</v>
      </c>
      <c r="E569" s="1" t="n">
        <v>46221</v>
      </c>
      <c r="F569" t="inlineStr">
        <is>
          <t>ÖSTERGÖTLANDS LÄN</t>
        </is>
      </c>
      <c r="G569" t="inlineStr">
        <is>
          <t>NORRKÖPING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11767-2025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46221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37700-2023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45159</v>
      </c>
      <c r="E571" s="1" t="n">
        <v>46221</v>
      </c>
      <c r="F571" t="inlineStr">
        <is>
          <t>ÖSTERGÖTLANDS LÄN</t>
        </is>
      </c>
      <c r="G571" t="inlineStr">
        <is>
          <t>NORRKÖPING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19702-2024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46221</v>
      </c>
      <c r="F572" t="inlineStr">
        <is>
          <t>ÖSTERGÖTLANDS LÄN</t>
        </is>
      </c>
      <c r="G572" t="inlineStr">
        <is>
          <t>NORRKÖPING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20340-2026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46139</v>
      </c>
      <c r="E573" s="1" t="n">
        <v>46221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38719-2025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45886</v>
      </c>
      <c r="E574" s="1" t="n">
        <v>46221</v>
      </c>
      <c r="F574" t="inlineStr">
        <is>
          <t>ÖSTERGÖTLANDS LÄN</t>
        </is>
      </c>
      <c r="G574" t="inlineStr">
        <is>
          <t>NORRKÖPING</t>
        </is>
      </c>
      <c r="I574" t="n">
        <v>14.3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18705-2023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46221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42173-2023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45178</v>
      </c>
      <c r="E576" s="1" t="n">
        <v>46221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26106-2026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46221</v>
      </c>
      <c r="F577" t="inlineStr">
        <is>
          <t>ÖSTERGÖTLANDS LÄN</t>
        </is>
      </c>
      <c r="G577" t="inlineStr">
        <is>
          <t>NORRKÖPING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12727-2022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44641</v>
      </c>
      <c r="E578" s="1" t="n">
        <v>46221</v>
      </c>
      <c r="F578" t="inlineStr">
        <is>
          <t>ÖSTERGÖTLANDS LÄN</t>
        </is>
      </c>
      <c r="G578" t="inlineStr">
        <is>
          <t>NORRKÖPING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43344-2023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46221</v>
      </c>
      <c r="F579" t="inlineStr">
        <is>
          <t>ÖSTERGÖTLANDS LÄN</t>
        </is>
      </c>
      <c r="G579" t="inlineStr">
        <is>
          <t>NORRKÖPING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43346-2023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45183</v>
      </c>
      <c r="E580" s="1" t="n">
        <v>46221</v>
      </c>
      <c r="F580" t="inlineStr">
        <is>
          <t>ÖSTERGÖTLANDS LÄN</t>
        </is>
      </c>
      <c r="G580" t="inlineStr">
        <is>
          <t>NORRKÖPING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2287-2025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45673</v>
      </c>
      <c r="E581" s="1" t="n">
        <v>46221</v>
      </c>
      <c r="F581" t="inlineStr">
        <is>
          <t>ÖSTERGÖTLANDS LÄN</t>
        </is>
      </c>
      <c r="G581" t="inlineStr">
        <is>
          <t>NORRKÖPING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19844-2023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45053</v>
      </c>
      <c r="E582" s="1" t="n">
        <v>46221</v>
      </c>
      <c r="F582" t="inlineStr">
        <is>
          <t>ÖSTERGÖTLANDS LÄN</t>
        </is>
      </c>
      <c r="G582" t="inlineStr">
        <is>
          <t>NORRKÖPING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50678-2023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45217</v>
      </c>
      <c r="E583" s="1" t="n">
        <v>46221</v>
      </c>
      <c r="F583" t="inlineStr">
        <is>
          <t>ÖSTERGÖTLANDS LÄN</t>
        </is>
      </c>
      <c r="G583" t="inlineStr">
        <is>
          <t>NORRKÖPING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58901-2024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46221</v>
      </c>
      <c r="F584" t="inlineStr">
        <is>
          <t>ÖSTERGÖTLANDS LÄN</t>
        </is>
      </c>
      <c r="G584" t="inlineStr">
        <is>
          <t>NORRKÖPING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2540-2024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45313</v>
      </c>
      <c r="E585" s="1" t="n">
        <v>46221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32648-2023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46221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26349-2026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46221</v>
      </c>
      <c r="F587" t="inlineStr">
        <is>
          <t>ÖSTERGÖTLANDS LÄN</t>
        </is>
      </c>
      <c r="G587" t="inlineStr">
        <is>
          <t>NORRKÖPING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26360-2026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46221</v>
      </c>
      <c r="F588" t="inlineStr">
        <is>
          <t>ÖSTERGÖTLANDS LÄN</t>
        </is>
      </c>
      <c r="G588" t="inlineStr">
        <is>
          <t>NORRKÖPING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23941-2025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46221</v>
      </c>
      <c r="F589" t="inlineStr">
        <is>
          <t>ÖSTERGÖTLANDS LÄN</t>
        </is>
      </c>
      <c r="G589" t="inlineStr">
        <is>
          <t>NORRKÖPING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48091-2023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45205</v>
      </c>
      <c r="E590" s="1" t="n">
        <v>46221</v>
      </c>
      <c r="F590" t="inlineStr">
        <is>
          <t>ÖSTERGÖTLANDS LÄN</t>
        </is>
      </c>
      <c r="G590" t="inlineStr">
        <is>
          <t>NORRKÖPING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48122-2023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45205</v>
      </c>
      <c r="E591" s="1" t="n">
        <v>46221</v>
      </c>
      <c r="F591" t="inlineStr">
        <is>
          <t>ÖSTERGÖTLANDS LÄN</t>
        </is>
      </c>
      <c r="G591" t="inlineStr">
        <is>
          <t>NORRKÖPING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17503-2022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44679</v>
      </c>
      <c r="E592" s="1" t="n">
        <v>46221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Allmännings- och besparingsskogar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18128-2025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45761</v>
      </c>
      <c r="E593" s="1" t="n">
        <v>46221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11344-2022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44630</v>
      </c>
      <c r="E594" s="1" t="n">
        <v>46221</v>
      </c>
      <c r="F594" t="inlineStr">
        <is>
          <t>ÖSTERGÖTLANDS LÄN</t>
        </is>
      </c>
      <c r="G594" t="inlineStr">
        <is>
          <t>NORRKÖPING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49462-2023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46221</v>
      </c>
      <c r="F595" t="inlineStr">
        <is>
          <t>ÖSTERGÖTLANDS LÄN</t>
        </is>
      </c>
      <c r="G595" t="inlineStr">
        <is>
          <t>NORRKÖPING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20194-2026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46139</v>
      </c>
      <c r="E596" s="1" t="n">
        <v>46221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20352-2026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46139</v>
      </c>
      <c r="E597" s="1" t="n">
        <v>46221</v>
      </c>
      <c r="F597" t="inlineStr">
        <is>
          <t>ÖSTERGÖTLANDS LÄN</t>
        </is>
      </c>
      <c r="G597" t="inlineStr">
        <is>
          <t>NORRKÖPING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26355-2026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46221</v>
      </c>
      <c r="F598" t="inlineStr">
        <is>
          <t>ÖSTERGÖTLANDS LÄN</t>
        </is>
      </c>
      <c r="G598" t="inlineStr">
        <is>
          <t>NORRKÖPING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36302-2025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45867</v>
      </c>
      <c r="E599" s="1" t="n">
        <v>46221</v>
      </c>
      <c r="F599" t="inlineStr">
        <is>
          <t>ÖSTERGÖTLANDS LÄN</t>
        </is>
      </c>
      <c r="G599" t="inlineStr">
        <is>
          <t>NORRKÖPING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14138-2022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44651</v>
      </c>
      <c r="E600" s="1" t="n">
        <v>46221</v>
      </c>
      <c r="F600" t="inlineStr">
        <is>
          <t>ÖSTERGÖTLANDS LÄN</t>
        </is>
      </c>
      <c r="G600" t="inlineStr">
        <is>
          <t>NORRKÖPING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22319-2024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45446</v>
      </c>
      <c r="E601" s="1" t="n">
        <v>46221</v>
      </c>
      <c r="F601" t="inlineStr">
        <is>
          <t>ÖSTERGÖTLANDS LÄN</t>
        </is>
      </c>
      <c r="G601" t="inlineStr">
        <is>
          <t>NORRKÖPING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22322-2024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45446</v>
      </c>
      <c r="E602" s="1" t="n">
        <v>46221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26085-2026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46221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59544-2023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46221</v>
      </c>
      <c r="F604" t="inlineStr">
        <is>
          <t>ÖSTERGÖTLANDS LÄN</t>
        </is>
      </c>
      <c r="G604" t="inlineStr">
        <is>
          <t>NORRKÖPING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50092-2023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45215</v>
      </c>
      <c r="E605" s="1" t="n">
        <v>46221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44197-2023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45188</v>
      </c>
      <c r="E606" s="1" t="n">
        <v>46221</v>
      </c>
      <c r="F606" t="inlineStr">
        <is>
          <t>ÖSTERGÖTLANDS LÄN</t>
        </is>
      </c>
      <c r="G606" t="inlineStr">
        <is>
          <t>NORRKÖPING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9542-2025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45715</v>
      </c>
      <c r="E607" s="1" t="n">
        <v>46221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11140-2025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45723</v>
      </c>
      <c r="E608" s="1" t="n">
        <v>46221</v>
      </c>
      <c r="F608" t="inlineStr">
        <is>
          <t>ÖSTERGÖTLANDS LÄN</t>
        </is>
      </c>
      <c r="G608" t="inlineStr">
        <is>
          <t>NORRKÖPING</t>
        </is>
      </c>
      <c r="I608" t="n">
        <v>13.9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6568-2025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45699</v>
      </c>
      <c r="E609" s="1" t="n">
        <v>46221</v>
      </c>
      <c r="F609" t="inlineStr">
        <is>
          <t>ÖSTERGÖTLANDS LÄN</t>
        </is>
      </c>
      <c r="G609" t="inlineStr">
        <is>
          <t>NORRKÖPING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47846-2023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45204</v>
      </c>
      <c r="E610" s="1" t="n">
        <v>46221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Naturvårdsverket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26294-2024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45468</v>
      </c>
      <c r="E611" s="1" t="n">
        <v>46221</v>
      </c>
      <c r="F611" t="inlineStr">
        <is>
          <t>ÖSTERGÖTLANDS LÄN</t>
        </is>
      </c>
      <c r="G611" t="inlineStr">
        <is>
          <t>NORRKÖPING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15459-2024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45401</v>
      </c>
      <c r="E612" s="1" t="n">
        <v>46221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63417-2023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45274</v>
      </c>
      <c r="E613" s="1" t="n">
        <v>46221</v>
      </c>
      <c r="F613" t="inlineStr">
        <is>
          <t>ÖSTERGÖTLANDS LÄN</t>
        </is>
      </c>
      <c r="G613" t="inlineStr">
        <is>
          <t>NORRKÖPING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58936-2023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45252</v>
      </c>
      <c r="E614" s="1" t="n">
        <v>46221</v>
      </c>
      <c r="F614" t="inlineStr">
        <is>
          <t>ÖSTERGÖTLANDS LÄN</t>
        </is>
      </c>
      <c r="G614" t="inlineStr">
        <is>
          <t>NORRKÖPING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45075-2023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45191</v>
      </c>
      <c r="E615" s="1" t="n">
        <v>46221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17821-2025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45758</v>
      </c>
      <c r="E616" s="1" t="n">
        <v>46221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59964-2023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46221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Allmännings- och besparingsskogar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27177-2026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46221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26999-2026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46221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57492-2023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45246</v>
      </c>
      <c r="E620" s="1" t="n">
        <v>46221</v>
      </c>
      <c r="F620" t="inlineStr">
        <is>
          <t>ÖSTERGÖTLANDS LÄN</t>
        </is>
      </c>
      <c r="G620" t="inlineStr">
        <is>
          <t>NORRKÖPING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57496-2023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45246</v>
      </c>
      <c r="E621" s="1" t="n">
        <v>46221</v>
      </c>
      <c r="F621" t="inlineStr">
        <is>
          <t>ÖSTERGÖTLANDS LÄN</t>
        </is>
      </c>
      <c r="G621" t="inlineStr">
        <is>
          <t>NORRKÖPING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49882-2021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44455</v>
      </c>
      <c r="E622" s="1" t="n">
        <v>46221</v>
      </c>
      <c r="F622" t="inlineStr">
        <is>
          <t>ÖSTERGÖTLANDS LÄN</t>
        </is>
      </c>
      <c r="G622" t="inlineStr">
        <is>
          <t>NORRKÖPING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21123-2026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46221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4460-2023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44956</v>
      </c>
      <c r="E624" s="1" t="n">
        <v>46221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10003-2025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45719</v>
      </c>
      <c r="E625" s="1" t="n">
        <v>46221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44956</v>
      </c>
      <c r="E626" s="1" t="n">
        <v>46221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59077-2023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45252</v>
      </c>
      <c r="E627" s="1" t="n">
        <v>46221</v>
      </c>
      <c r="F627" t="inlineStr">
        <is>
          <t>ÖSTERGÖTLANDS LÄN</t>
        </is>
      </c>
      <c r="G627" t="inlineStr">
        <is>
          <t>NORRKÖPING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62875-2023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45272</v>
      </c>
      <c r="E628" s="1" t="n">
        <v>46221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27119-2026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46221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26953-2026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46221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15082-2024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45399</v>
      </c>
      <c r="E631" s="1" t="n">
        <v>46221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3263-2024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45317</v>
      </c>
      <c r="E632" s="1" t="n">
        <v>46221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49778-2022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44862</v>
      </c>
      <c r="E633" s="1" t="n">
        <v>46221</v>
      </c>
      <c r="F633" t="inlineStr">
        <is>
          <t>ÖSTERGÖTLANDS LÄN</t>
        </is>
      </c>
      <c r="G633" t="inlineStr">
        <is>
          <t>NORRKÖPING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9696-2025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45716</v>
      </c>
      <c r="E634" s="1" t="n">
        <v>46221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62033-2023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45266</v>
      </c>
      <c r="E635" s="1" t="n">
        <v>46221</v>
      </c>
      <c r="F635" t="inlineStr">
        <is>
          <t>ÖSTERGÖTLANDS LÄN</t>
        </is>
      </c>
      <c r="G635" t="inlineStr">
        <is>
          <t>NORRKÖPING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48786-2022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44859</v>
      </c>
      <c r="E636" s="1" t="n">
        <v>46221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53899-2021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44469</v>
      </c>
      <c r="E637" s="1" t="n">
        <v>46221</v>
      </c>
      <c r="F637" t="inlineStr">
        <is>
          <t>ÖSTERGÖTLANDS LÄN</t>
        </is>
      </c>
      <c r="G637" t="inlineStr">
        <is>
          <t>NORRKÖPING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5118-2024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45330</v>
      </c>
      <c r="E638" s="1" t="n">
        <v>46221</v>
      </c>
      <c r="F638" t="inlineStr">
        <is>
          <t>ÖSTERGÖTLANDS LÄN</t>
        </is>
      </c>
      <c r="G638" t="inlineStr">
        <is>
          <t>NORRKÖPING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62061-2023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45266</v>
      </c>
      <c r="E639" s="1" t="n">
        <v>46221</v>
      </c>
      <c r="F639" t="inlineStr">
        <is>
          <t>ÖSTERGÖTLANDS LÄN</t>
        </is>
      </c>
      <c r="G639" t="inlineStr">
        <is>
          <t>NORRKÖPING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46738-2022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44851</v>
      </c>
      <c r="E640" s="1" t="n">
        <v>46221</v>
      </c>
      <c r="F640" t="inlineStr">
        <is>
          <t>ÖSTERGÖTLANDS LÄN</t>
        </is>
      </c>
      <c r="G640" t="inlineStr">
        <is>
          <t>NORRKÖPING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31844-2023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46221</v>
      </c>
      <c r="F641" t="inlineStr">
        <is>
          <t>ÖSTERGÖTLANDS LÄN</t>
        </is>
      </c>
      <c r="G641" t="inlineStr">
        <is>
          <t>NORRKÖPING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18537-2025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46221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9.300000000000001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18686-2023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46221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30834-2022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44767</v>
      </c>
      <c r="E644" s="1" t="n">
        <v>46221</v>
      </c>
      <c r="F644" t="inlineStr">
        <is>
          <t>ÖSTERGÖTLANDS LÄN</t>
        </is>
      </c>
      <c r="G644" t="inlineStr">
        <is>
          <t>NORRKÖPING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45268</v>
      </c>
      <c r="E645" s="1" t="n">
        <v>46221</v>
      </c>
      <c r="F645" t="inlineStr">
        <is>
          <t>ÖSTERGÖTLANDS LÄN</t>
        </is>
      </c>
      <c r="G645" t="inlineStr">
        <is>
          <t>NORRKÖPING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6067-2022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44599</v>
      </c>
      <c r="E646" s="1" t="n">
        <v>46221</v>
      </c>
      <c r="F646" t="inlineStr">
        <is>
          <t>ÖSTERGÖTLANDS LÄN</t>
        </is>
      </c>
      <c r="G646" t="inlineStr">
        <is>
          <t>NORRKÖPING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28255-2026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46196</v>
      </c>
      <c r="E647" s="1" t="n">
        <v>46221</v>
      </c>
      <c r="F647" t="inlineStr">
        <is>
          <t>ÖSTERGÖTLANDS LÄN</t>
        </is>
      </c>
      <c r="G647" t="inlineStr">
        <is>
          <t>NORRKÖPING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28258-2026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46221</v>
      </c>
      <c r="F648" t="inlineStr">
        <is>
          <t>ÖSTERGÖTLANDS LÄN</t>
        </is>
      </c>
      <c r="G648" t="inlineStr">
        <is>
          <t>NORRKÖPING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28259-2026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46221</v>
      </c>
      <c r="F649" t="inlineStr">
        <is>
          <t>ÖSTERGÖTLANDS LÄN</t>
        </is>
      </c>
      <c r="G649" t="inlineStr">
        <is>
          <t>NORRKÖPING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5976-2022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44597</v>
      </c>
      <c r="E650" s="1" t="n">
        <v>46221</v>
      </c>
      <c r="F650" t="inlineStr">
        <is>
          <t>ÖSTERGÖTLANDS LÄN</t>
        </is>
      </c>
      <c r="G650" t="inlineStr">
        <is>
          <t>NORRKÖPING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28256-2026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46196</v>
      </c>
      <c r="E651" s="1" t="n">
        <v>46221</v>
      </c>
      <c r="F651" t="inlineStr">
        <is>
          <t>ÖSTERGÖTLANDS LÄN</t>
        </is>
      </c>
      <c r="G651" t="inlineStr">
        <is>
          <t>NORRKÖPING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28271-2026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46221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3035-2025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45678</v>
      </c>
      <c r="E653" s="1" t="n">
        <v>46221</v>
      </c>
      <c r="F653" t="inlineStr">
        <is>
          <t>ÖSTERGÖTLANDS LÄN</t>
        </is>
      </c>
      <c r="G653" t="inlineStr">
        <is>
          <t>NORRKÖPING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29622-2022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44754</v>
      </c>
      <c r="E654" s="1" t="n">
        <v>46221</v>
      </c>
      <c r="F654" t="inlineStr">
        <is>
          <t>ÖSTERGÖTLANDS LÄN</t>
        </is>
      </c>
      <c r="G654" t="inlineStr">
        <is>
          <t>NORRKÖPING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26583-2022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44739</v>
      </c>
      <c r="E655" s="1" t="n">
        <v>46221</v>
      </c>
      <c r="F655" t="inlineStr">
        <is>
          <t>ÖSTERGÖTLANDS LÄN</t>
        </is>
      </c>
      <c r="G655" t="inlineStr">
        <is>
          <t>NORRKÖPING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7141-2023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44970</v>
      </c>
      <c r="E656" s="1" t="n">
        <v>46221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50119-2023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45215</v>
      </c>
      <c r="E657" s="1" t="n">
        <v>46221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31834-2023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45106</v>
      </c>
      <c r="E658" s="1" t="n">
        <v>46221</v>
      </c>
      <c r="F658" t="inlineStr">
        <is>
          <t>ÖSTERGÖTLANDS LÄN</t>
        </is>
      </c>
      <c r="G658" t="inlineStr">
        <is>
          <t>NORRKÖPING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19853-2023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45053</v>
      </c>
      <c r="E659" s="1" t="n">
        <v>46221</v>
      </c>
      <c r="F659" t="inlineStr">
        <is>
          <t>ÖSTERGÖTLANDS LÄN</t>
        </is>
      </c>
      <c r="G659" t="inlineStr">
        <is>
          <t>NORRKÖPING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18636-2023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45043</v>
      </c>
      <c r="E660" s="1" t="n">
        <v>46221</v>
      </c>
      <c r="F660" t="inlineStr">
        <is>
          <t>ÖSTERGÖTLANDS LÄN</t>
        </is>
      </c>
      <c r="G660" t="inlineStr">
        <is>
          <t>NORRKÖPING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28781-2026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46221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12814-2025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46221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28766-2026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46198</v>
      </c>
      <c r="E663" s="1" t="n">
        <v>46221</v>
      </c>
      <c r="F663" t="inlineStr">
        <is>
          <t>ÖSTERGÖTLANDS LÄN</t>
        </is>
      </c>
      <c r="G663" t="inlineStr">
        <is>
          <t>NORRKÖPING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50960-2022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44867</v>
      </c>
      <c r="E664" s="1" t="n">
        <v>46221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Allmännings- och besparingsskogar</t>
        </is>
      </c>
      <c r="I664" t="n">
        <v>10.3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22479-2026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46221</v>
      </c>
      <c r="F665" t="inlineStr">
        <is>
          <t>ÖSTERGÖTLANDS LÄN</t>
        </is>
      </c>
      <c r="G665" t="inlineStr">
        <is>
          <t>NORRKÖPING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18661-2023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45043</v>
      </c>
      <c r="E666" s="1" t="n">
        <v>46221</v>
      </c>
      <c r="F666" t="inlineStr">
        <is>
          <t>ÖSTERGÖTLANDS LÄN</t>
        </is>
      </c>
      <c r="G666" t="inlineStr">
        <is>
          <t>NORRKÖPING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28835-2026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46221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49487-2022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46221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28757-2026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46221</v>
      </c>
      <c r="F669" t="inlineStr">
        <is>
          <t>ÖSTERGÖTLANDS LÄN</t>
        </is>
      </c>
      <c r="G669" t="inlineStr">
        <is>
          <t>NORRKÖPING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13918-2023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45008</v>
      </c>
      <c r="E670" s="1" t="n">
        <v>46221</v>
      </c>
      <c r="F670" t="inlineStr">
        <is>
          <t>ÖSTERGÖTLANDS LÄN</t>
        </is>
      </c>
      <c r="G670" t="inlineStr">
        <is>
          <t>NORRKÖPING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44936</v>
      </c>
      <c r="E671" s="1" t="n">
        <v>46221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1281-2023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44936</v>
      </c>
      <c r="E672" s="1" t="n">
        <v>46221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16700-2023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45030</v>
      </c>
      <c r="E673" s="1" t="n">
        <v>46221</v>
      </c>
      <c r="F673" t="inlineStr">
        <is>
          <t>ÖSTERGÖTLANDS LÄN</t>
        </is>
      </c>
      <c r="G673" t="inlineStr">
        <is>
          <t>NORRKÖPING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29033-2026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46221</v>
      </c>
      <c r="F674" t="inlineStr">
        <is>
          <t>ÖSTERGÖTLANDS LÄN</t>
        </is>
      </c>
      <c r="G674" t="inlineStr">
        <is>
          <t>NORRKÖPING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41367-2023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45174</v>
      </c>
      <c r="E675" s="1" t="n">
        <v>46221</v>
      </c>
      <c r="F675" t="inlineStr">
        <is>
          <t>ÖSTERGÖTLANDS LÄN</t>
        </is>
      </c>
      <c r="G675" t="inlineStr">
        <is>
          <t>NORRKÖPING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41375-2023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45174</v>
      </c>
      <c r="E676" s="1" t="n">
        <v>46221</v>
      </c>
      <c r="F676" t="inlineStr">
        <is>
          <t>ÖSTERGÖTLANDS LÄN</t>
        </is>
      </c>
      <c r="G676" t="inlineStr">
        <is>
          <t>NORRKÖPING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11261-2023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44992</v>
      </c>
      <c r="E677" s="1" t="n">
        <v>46221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29285-2026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46221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Allmännings- och besparingsskogar</t>
        </is>
      </c>
      <c r="I678" t="n">
        <v>7.9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46221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24018-2025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45796</v>
      </c>
      <c r="E680" s="1" t="n">
        <v>46221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14901-2023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45014</v>
      </c>
      <c r="E681" s="1" t="n">
        <v>46221</v>
      </c>
      <c r="F681" t="inlineStr">
        <is>
          <t>ÖSTERGÖTLANDS LÄN</t>
        </is>
      </c>
      <c r="G681" t="inlineStr">
        <is>
          <t>NORRKÖPING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29180-2026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46221</v>
      </c>
      <c r="F682" t="inlineStr">
        <is>
          <t>ÖSTERGÖTLANDS LÄN</t>
        </is>
      </c>
      <c r="G682" t="inlineStr">
        <is>
          <t>NORRKÖPING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57495-2023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45246</v>
      </c>
      <c r="E683" s="1" t="n">
        <v>46221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29030-2026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46221</v>
      </c>
      <c r="F684" t="inlineStr">
        <is>
          <t>ÖSTERGÖTLANDS LÄN</t>
        </is>
      </c>
      <c r="G684" t="inlineStr">
        <is>
          <t>NORRKÖPING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15843-2023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45022</v>
      </c>
      <c r="E685" s="1" t="n">
        <v>46221</v>
      </c>
      <c r="F685" t="inlineStr">
        <is>
          <t>ÖSTERGÖTLANDS LÄN</t>
        </is>
      </c>
      <c r="G685" t="inlineStr">
        <is>
          <t>NORRKÖPING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29034-2026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46221</v>
      </c>
      <c r="F686" t="inlineStr">
        <is>
          <t>ÖSTERGÖTLANDS LÄN</t>
        </is>
      </c>
      <c r="G686" t="inlineStr">
        <is>
          <t>NORRKÖPING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46221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8.5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25981-2023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46221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Allmännings- och besparingsskogar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32574-2022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44783</v>
      </c>
      <c r="E689" s="1" t="n">
        <v>46221</v>
      </c>
      <c r="F689" t="inlineStr">
        <is>
          <t>ÖSTERGÖTLANDS LÄN</t>
        </is>
      </c>
      <c r="G689" t="inlineStr">
        <is>
          <t>NORRKÖPING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8815-2024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45356</v>
      </c>
      <c r="E690" s="1" t="n">
        <v>46221</v>
      </c>
      <c r="F690" t="inlineStr">
        <is>
          <t>ÖSTERGÖTLANDS LÄN</t>
        </is>
      </c>
      <c r="G690" t="inlineStr">
        <is>
          <t>NORRKÖPING</t>
        </is>
      </c>
      <c r="I690" t="n">
        <v>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18664-2023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45043</v>
      </c>
      <c r="E691" s="1" t="n">
        <v>46221</v>
      </c>
      <c r="F691" t="inlineStr">
        <is>
          <t>ÖSTERGÖTLANDS LÄN</t>
        </is>
      </c>
      <c r="G691" t="inlineStr">
        <is>
          <t>NORRKÖPING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29416-2026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46221</v>
      </c>
      <c r="F692" t="inlineStr">
        <is>
          <t>ÖSTERGÖTLANDS LÄN</t>
        </is>
      </c>
      <c r="G692" t="inlineStr">
        <is>
          <t>NORRKÖPING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10791-2024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45369</v>
      </c>
      <c r="E693" s="1" t="n">
        <v>46221</v>
      </c>
      <c r="F693" t="inlineStr">
        <is>
          <t>ÖSTERGÖTLANDS LÄN</t>
        </is>
      </c>
      <c r="G693" t="inlineStr">
        <is>
          <t>NORRKÖPING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6566-2025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45699</v>
      </c>
      <c r="E694" s="1" t="n">
        <v>46221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20356-2024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45435</v>
      </c>
      <c r="E695" s="1" t="n">
        <v>46221</v>
      </c>
      <c r="F695" t="inlineStr">
        <is>
          <t>ÖSTERGÖTLANDS LÄN</t>
        </is>
      </c>
      <c r="G695" t="inlineStr">
        <is>
          <t>NORRKÖPING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38874-2024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46221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23627-2026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46163</v>
      </c>
      <c r="E697" s="1" t="n">
        <v>46221</v>
      </c>
      <c r="F697" t="inlineStr">
        <is>
          <t>ÖSTERGÖTLANDS LÄN</t>
        </is>
      </c>
      <c r="G697" t="inlineStr">
        <is>
          <t>NORRKÖPING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46221</v>
      </c>
      <c r="F698" t="inlineStr">
        <is>
          <t>ÖSTERGÖTLANDS LÄN</t>
        </is>
      </c>
      <c r="G698" t="inlineStr">
        <is>
          <t>NORRKÖPING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2975-2025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45678</v>
      </c>
      <c r="E699" s="1" t="n">
        <v>46221</v>
      </c>
      <c r="F699" t="inlineStr">
        <is>
          <t>ÖSTERGÖTLANDS LÄN</t>
        </is>
      </c>
      <c r="G699" t="inlineStr">
        <is>
          <t>NORRKÖPING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25287-2023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45086</v>
      </c>
      <c r="E700" s="1" t="n">
        <v>46221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58884-2024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45636</v>
      </c>
      <c r="E701" s="1" t="n">
        <v>46221</v>
      </c>
      <c r="F701" t="inlineStr">
        <is>
          <t>ÖSTERGÖTLANDS LÄN</t>
        </is>
      </c>
      <c r="G701" t="inlineStr">
        <is>
          <t>NORRKÖPING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22651-2023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46221</v>
      </c>
      <c r="F702" t="inlineStr">
        <is>
          <t>ÖSTERGÖTLANDS LÄN</t>
        </is>
      </c>
      <c r="G702" t="inlineStr">
        <is>
          <t>NORRKÖPING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29010-2023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45096</v>
      </c>
      <c r="E703" s="1" t="n">
        <v>46221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12.3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30164-2026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46221</v>
      </c>
      <c r="F704" t="inlineStr">
        <is>
          <t>ÖSTERGÖTLANDS LÄN</t>
        </is>
      </c>
      <c r="G704" t="inlineStr">
        <is>
          <t>NORRKÖPING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46696-2024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45583</v>
      </c>
      <c r="E705" s="1" t="n">
        <v>46221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36542-2023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45153</v>
      </c>
      <c r="E706" s="1" t="n">
        <v>46221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31668-2023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45117</v>
      </c>
      <c r="E707" s="1" t="n">
        <v>46221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17582-2025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46221</v>
      </c>
      <c r="F708" t="inlineStr">
        <is>
          <t>ÖSTERGÖTLANDS LÄN</t>
        </is>
      </c>
      <c r="G708" t="inlineStr">
        <is>
          <t>NORRKÖPING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23625-2026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46221</v>
      </c>
      <c r="F709" t="inlineStr">
        <is>
          <t>ÖSTERGÖTLANDS LÄN</t>
        </is>
      </c>
      <c r="G709" t="inlineStr">
        <is>
          <t>NORRKÖPING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26832-2023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45093</v>
      </c>
      <c r="E710" s="1" t="n">
        <v>46221</v>
      </c>
      <c r="F710" t="inlineStr">
        <is>
          <t>ÖSTERGÖTLANDS LÄN</t>
        </is>
      </c>
      <c r="G710" t="inlineStr">
        <is>
          <t>NORRKÖPING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9206-2023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44980</v>
      </c>
      <c r="E711" s="1" t="n">
        <v>46221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6636-2023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46221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16705-2023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45030</v>
      </c>
      <c r="E713" s="1" t="n">
        <v>46221</v>
      </c>
      <c r="F713" t="inlineStr">
        <is>
          <t>ÖSTERGÖTLANDS LÄN</t>
        </is>
      </c>
      <c r="G713" t="inlineStr">
        <is>
          <t>NORRKÖPING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28601-2024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45478</v>
      </c>
      <c r="E714" s="1" t="n">
        <v>46221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57380-2024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45629</v>
      </c>
      <c r="E715" s="1" t="n">
        <v>46221</v>
      </c>
      <c r="F715" t="inlineStr">
        <is>
          <t>ÖSTERGÖTLANDS LÄN</t>
        </is>
      </c>
      <c r="G715" t="inlineStr">
        <is>
          <t>NORRKÖPING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8517-2023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44977</v>
      </c>
      <c r="E716" s="1" t="n">
        <v>46221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46221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43559-2021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44433</v>
      </c>
      <c r="E718" s="1" t="n">
        <v>46221</v>
      </c>
      <c r="F718" t="inlineStr">
        <is>
          <t>ÖSTERGÖTLANDS LÄN</t>
        </is>
      </c>
      <c r="G718" t="inlineStr">
        <is>
          <t>NORRKÖPING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7853-2026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46061</v>
      </c>
      <c r="E719" s="1" t="n">
        <v>46221</v>
      </c>
      <c r="F719" t="inlineStr">
        <is>
          <t>ÖSTERGÖTLANDS LÄN</t>
        </is>
      </c>
      <c r="G719" t="inlineStr">
        <is>
          <t>NORRKÖPING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13173-2022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44644</v>
      </c>
      <c r="E720" s="1" t="n">
        <v>46221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14485-2023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45012</v>
      </c>
      <c r="E721" s="1" t="n">
        <v>46221</v>
      </c>
      <c r="F721" t="inlineStr">
        <is>
          <t>ÖSTERGÖTLANDS LÄN</t>
        </is>
      </c>
      <c r="G721" t="inlineStr">
        <is>
          <t>NORRKÖPING</t>
        </is>
      </c>
      <c r="I721" t="n">
        <v>9.9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23462-2023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45076</v>
      </c>
      <c r="E722" s="1" t="n">
        <v>46221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19739-2024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45432</v>
      </c>
      <c r="E723" s="1" t="n">
        <v>46221</v>
      </c>
      <c r="F723" t="inlineStr">
        <is>
          <t>ÖSTERGÖTLANDS LÄN</t>
        </is>
      </c>
      <c r="G723" t="inlineStr">
        <is>
          <t>NORRKÖPING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7750-2025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46221</v>
      </c>
      <c r="F724" t="inlineStr">
        <is>
          <t>ÖSTERGÖTLANDS LÄN</t>
        </is>
      </c>
      <c r="G724" t="inlineStr">
        <is>
          <t>NORRKÖPING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19114-2023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45048</v>
      </c>
      <c r="E725" s="1" t="n">
        <v>46221</v>
      </c>
      <c r="F725" t="inlineStr">
        <is>
          <t>ÖSTERGÖTLANDS LÄN</t>
        </is>
      </c>
      <c r="G725" t="inlineStr">
        <is>
          <t>NORRKÖPING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32617-2023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45121</v>
      </c>
      <c r="E726" s="1" t="n">
        <v>46221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39223-2025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45889</v>
      </c>
      <c r="E727" s="1" t="n">
        <v>46221</v>
      </c>
      <c r="F727" t="inlineStr">
        <is>
          <t>ÖSTERGÖTLANDS LÄN</t>
        </is>
      </c>
      <c r="G727" t="inlineStr">
        <is>
          <t>NORRKÖPING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36258-2022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44803</v>
      </c>
      <c r="E728" s="1" t="n">
        <v>46221</v>
      </c>
      <c r="F728" t="inlineStr">
        <is>
          <t>ÖSTERGÖTLANDS LÄN</t>
        </is>
      </c>
      <c r="G728" t="inlineStr">
        <is>
          <t>NORRKÖPING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30901-2026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46213</v>
      </c>
      <c r="E729" s="1" t="n">
        <v>46221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19191-2025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45769</v>
      </c>
      <c r="E730" s="1" t="n">
        <v>46221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56876-2024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45628</v>
      </c>
      <c r="E731" s="1" t="n">
        <v>46221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20583-2024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45436</v>
      </c>
      <c r="E732" s="1" t="n">
        <v>46221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17852-2025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45758</v>
      </c>
      <c r="E733" s="1" t="n">
        <v>46221</v>
      </c>
      <c r="F733" t="inlineStr">
        <is>
          <t>ÖSTERGÖTLANDS LÄN</t>
        </is>
      </c>
      <c r="G733" t="inlineStr">
        <is>
          <t>NORRKÖPING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30905-2026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46221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30911-2026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46213</v>
      </c>
      <c r="E735" s="1" t="n">
        <v>46221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31078-2026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46216</v>
      </c>
      <c r="E736" s="1" t="n">
        <v>46221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26407-2023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45092</v>
      </c>
      <c r="E737" s="1" t="n">
        <v>46221</v>
      </c>
      <c r="F737" t="inlineStr">
        <is>
          <t>ÖSTERGÖTLANDS LÄN</t>
        </is>
      </c>
      <c r="G737" t="inlineStr">
        <is>
          <t>NORRKÖPING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31229-2026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46217</v>
      </c>
      <c r="E738" s="1" t="n">
        <v>46221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31266-2026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46218</v>
      </c>
      <c r="E739" s="1" t="n">
        <v>46221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24634-2025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45798</v>
      </c>
      <c r="E740" s="1" t="n">
        <v>46221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36412-2024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45535</v>
      </c>
      <c r="E741" s="1" t="n">
        <v>46221</v>
      </c>
      <c r="F741" t="inlineStr">
        <is>
          <t>ÖSTERGÖTLANDS LÄN</t>
        </is>
      </c>
      <c r="G741" t="inlineStr">
        <is>
          <t>NORRKÖPING</t>
        </is>
      </c>
      <c r="I741" t="n">
        <v>12.8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11641-2024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46221</v>
      </c>
      <c r="F742" t="inlineStr">
        <is>
          <t>ÖSTERGÖTLANDS LÄN</t>
        </is>
      </c>
      <c r="G742" t="inlineStr">
        <is>
          <t>NORRKÖPING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31268-2026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46218</v>
      </c>
      <c r="E743" s="1" t="n">
        <v>46221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31225-2026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46217</v>
      </c>
      <c r="E744" s="1" t="n">
        <v>46221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51124-2023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45219</v>
      </c>
      <c r="E745" s="1" t="n">
        <v>46221</v>
      </c>
      <c r="F745" t="inlineStr">
        <is>
          <t>ÖSTERGÖTLANDS LÄN</t>
        </is>
      </c>
      <c r="G745" t="inlineStr">
        <is>
          <t>NORRKÖPING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5116-2024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45330</v>
      </c>
      <c r="E746" s="1" t="n">
        <v>46221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25690-2026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46221</v>
      </c>
      <c r="F747" t="inlineStr">
        <is>
          <t>ÖSTERGÖTLANDS LÄN</t>
        </is>
      </c>
      <c r="G747" t="inlineStr">
        <is>
          <t>NORRKÖPING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25694-2026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46221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13133-2024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45386</v>
      </c>
      <c r="E749" s="1" t="n">
        <v>46221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25719-2026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46221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11144-2025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45723</v>
      </c>
      <c r="E751" s="1" t="n">
        <v>46221</v>
      </c>
      <c r="F751" t="inlineStr">
        <is>
          <t>ÖSTERGÖTLANDS LÄN</t>
        </is>
      </c>
      <c r="G751" t="inlineStr">
        <is>
          <t>NORRKÖPING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16594-2023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45027</v>
      </c>
      <c r="E752" s="1" t="n">
        <v>46221</v>
      </c>
      <c r="F752" t="inlineStr">
        <is>
          <t>ÖSTERGÖTLANDS LÄN</t>
        </is>
      </c>
      <c r="G752" t="inlineStr">
        <is>
          <t>NORRKÖPING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25700-2026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46221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11737-2024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45373</v>
      </c>
      <c r="E754" s="1" t="n">
        <v>46221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40816-2024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46221</v>
      </c>
      <c r="F755" t="inlineStr">
        <is>
          <t>ÖSTERGÖTLANDS LÄN</t>
        </is>
      </c>
      <c r="G755" t="inlineStr">
        <is>
          <t>NORRKÖPING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25687-2026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46178</v>
      </c>
      <c r="E756" s="1" t="n">
        <v>46221</v>
      </c>
      <c r="F756" t="inlineStr">
        <is>
          <t>ÖSTERGÖTLANDS LÄN</t>
        </is>
      </c>
      <c r="G756" t="inlineStr">
        <is>
          <t>NORRKÖPING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25693-2026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46221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1115-2023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44935</v>
      </c>
      <c r="E758" s="1" t="n">
        <v>46221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25711-2026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46221</v>
      </c>
      <c r="F759" t="inlineStr">
        <is>
          <t>ÖSTERGÖTLANDS LÄN</t>
        </is>
      </c>
      <c r="G759" t="inlineStr">
        <is>
          <t>NORRKÖPING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28663-2024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45478</v>
      </c>
      <c r="E760" s="1" t="n">
        <v>46221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25176-2026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46221</v>
      </c>
      <c r="F761" t="inlineStr">
        <is>
          <t>ÖSTERGÖTLANDS LÄN</t>
        </is>
      </c>
      <c r="G761" t="inlineStr">
        <is>
          <t>NORRKÖPING</t>
        </is>
      </c>
      <c r="I761" t="n">
        <v>4.4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31883-2023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45118</v>
      </c>
      <c r="E762" s="1" t="n">
        <v>46221</v>
      </c>
      <c r="F762" t="inlineStr">
        <is>
          <t>ÖSTERGÖTLANDS LÄN</t>
        </is>
      </c>
      <c r="G762" t="inlineStr">
        <is>
          <t>NORRKÖPING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9201-2023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44980</v>
      </c>
      <c r="E763" s="1" t="n">
        <v>46221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8569-2023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44977</v>
      </c>
      <c r="E764" s="1" t="n">
        <v>46221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25715-2026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46178</v>
      </c>
      <c r="E765" s="1" t="n">
        <v>46221</v>
      </c>
      <c r="F765" t="inlineStr">
        <is>
          <t>ÖSTERGÖTLANDS LÄN</t>
        </is>
      </c>
      <c r="G765" t="inlineStr">
        <is>
          <t>NORRKÖPING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3070-2025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45678</v>
      </c>
      <c r="E766" s="1" t="n">
        <v>46221</v>
      </c>
      <c r="F766" t="inlineStr">
        <is>
          <t>ÖSTERGÖTLANDS LÄN</t>
        </is>
      </c>
      <c r="G766" t="inlineStr">
        <is>
          <t>NORRKÖPING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31373-2026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46221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Allmännings- och besparingsskogar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36571-2023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45153</v>
      </c>
      <c r="E768" s="1" t="n">
        <v>46221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51112-2024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46221</v>
      </c>
      <c r="F769" t="inlineStr">
        <is>
          <t>ÖSTERGÖTLANDS LÄN</t>
        </is>
      </c>
      <c r="G769" t="inlineStr">
        <is>
          <t>NORRKÖPING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1811-2023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44936</v>
      </c>
      <c r="E770" s="1" t="n">
        <v>46221</v>
      </c>
      <c r="F770" t="inlineStr">
        <is>
          <t>ÖSTERGÖTLANDS LÄN</t>
        </is>
      </c>
      <c r="G770" t="inlineStr">
        <is>
          <t>NORRKÖPING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14585-2025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45742</v>
      </c>
      <c r="E771" s="1" t="n">
        <v>46221</v>
      </c>
      <c r="F771" t="inlineStr">
        <is>
          <t>ÖSTERGÖTLANDS LÄN</t>
        </is>
      </c>
      <c r="G771" t="inlineStr">
        <is>
          <t>NORRKÖPING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36575-2023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45153</v>
      </c>
      <c r="E772" s="1" t="n">
        <v>46221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59580-2022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44907</v>
      </c>
      <c r="E773" s="1" t="n">
        <v>46221</v>
      </c>
      <c r="F773" t="inlineStr">
        <is>
          <t>ÖSTERGÖTLANDS LÄN</t>
        </is>
      </c>
      <c r="G773" t="inlineStr">
        <is>
          <t>NORRKÖPING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49465-2023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46221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1939-2023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44936</v>
      </c>
      <c r="E775" s="1" t="n">
        <v>46221</v>
      </c>
      <c r="F775" t="inlineStr">
        <is>
          <t>ÖSTERGÖTLANDS LÄN</t>
        </is>
      </c>
      <c r="G775" t="inlineStr">
        <is>
          <t>NORRKÖPING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15177-2023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45016</v>
      </c>
      <c r="E776" s="1" t="n">
        <v>46221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33446-2023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45129</v>
      </c>
      <c r="E777" s="1" t="n">
        <v>46221</v>
      </c>
      <c r="F777" t="inlineStr">
        <is>
          <t>ÖSTERGÖTLANDS LÄN</t>
        </is>
      </c>
      <c r="G777" t="inlineStr">
        <is>
          <t>NORRKÖPING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24354-2024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45457</v>
      </c>
      <c r="E778" s="1" t="n">
        <v>46221</v>
      </c>
      <c r="F778" t="inlineStr">
        <is>
          <t>ÖSTERGÖTLANDS LÄN</t>
        </is>
      </c>
      <c r="G778" t="inlineStr">
        <is>
          <t>NORRKÖPING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30865-2024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45497</v>
      </c>
      <c r="E779" s="1" t="n">
        <v>46221</v>
      </c>
      <c r="F779" t="inlineStr">
        <is>
          <t>ÖSTERGÖTLANDS LÄN</t>
        </is>
      </c>
      <c r="G779" t="inlineStr">
        <is>
          <t>NORRKÖPING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7763-2025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46221</v>
      </c>
      <c r="F780" t="inlineStr">
        <is>
          <t>ÖSTERGÖTLANDS LÄN</t>
        </is>
      </c>
      <c r="G780" t="inlineStr">
        <is>
          <t>NORRKÖPING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45310</v>
      </c>
      <c r="E781" s="1" t="n">
        <v>46221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14587-2025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45742</v>
      </c>
      <c r="E782" s="1" t="n">
        <v>46221</v>
      </c>
      <c r="F782" t="inlineStr">
        <is>
          <t>ÖSTERGÖTLANDS LÄN</t>
        </is>
      </c>
      <c r="G782" t="inlineStr">
        <is>
          <t>NORRKÖPING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17813-2025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45758</v>
      </c>
      <c r="E783" s="1" t="n">
        <v>46221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8432-2025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45709</v>
      </c>
      <c r="E784" s="1" t="n">
        <v>46221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57405-2024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45629</v>
      </c>
      <c r="E785" s="1" t="n">
        <v>46221</v>
      </c>
      <c r="F785" t="inlineStr">
        <is>
          <t>ÖSTERGÖTLANDS LÄN</t>
        </is>
      </c>
      <c r="G785" t="inlineStr">
        <is>
          <t>NORRKÖPING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21093-2025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45777</v>
      </c>
      <c r="E786" s="1" t="n">
        <v>46221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21542-2025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45782</v>
      </c>
      <c r="E787" s="1" t="n">
        <v>46221</v>
      </c>
      <c r="F787" t="inlineStr">
        <is>
          <t>ÖSTERGÖTLANDS LÄN</t>
        </is>
      </c>
      <c r="G787" t="inlineStr">
        <is>
          <t>NORRKÖPING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21770-2025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45783</v>
      </c>
      <c r="E788" s="1" t="n">
        <v>46221</v>
      </c>
      <c r="F788" t="inlineStr">
        <is>
          <t>ÖSTERGÖTLANDS LÄN</t>
        </is>
      </c>
      <c r="G788" t="inlineStr">
        <is>
          <t>NORRKÖPING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21909-2025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45784</v>
      </c>
      <c r="E789" s="1" t="n">
        <v>46221</v>
      </c>
      <c r="F789" t="inlineStr">
        <is>
          <t>ÖSTERGÖTLANDS LÄN</t>
        </is>
      </c>
      <c r="G789" t="inlineStr">
        <is>
          <t>NORRKÖPING</t>
        </is>
      </c>
      <c r="I789" t="n">
        <v>7.9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21967-2025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46221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26398-2023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45092</v>
      </c>
      <c r="E791" s="1" t="n">
        <v>46221</v>
      </c>
      <c r="F791" t="inlineStr">
        <is>
          <t>ÖSTERGÖTLANDS LÄN</t>
        </is>
      </c>
      <c r="G791" t="inlineStr">
        <is>
          <t>NORRKÖPING</t>
        </is>
      </c>
      <c r="I791" t="n">
        <v>6.8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22307-2025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46221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1884-2025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45671</v>
      </c>
      <c r="E793" s="1" t="n">
        <v>46221</v>
      </c>
      <c r="F793" t="inlineStr">
        <is>
          <t>ÖSTERGÖTLANDS LÄN</t>
        </is>
      </c>
      <c r="G793" t="inlineStr">
        <is>
          <t>NORRKÖPING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23366-2024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45453</v>
      </c>
      <c r="E794" s="1" t="n">
        <v>46221</v>
      </c>
      <c r="F794" t="inlineStr">
        <is>
          <t>ÖSTERGÖTLANDS LÄN</t>
        </is>
      </c>
      <c r="G794" t="inlineStr">
        <is>
          <t>NORRKÖPING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23368-2024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45453</v>
      </c>
      <c r="E795" s="1" t="n">
        <v>46221</v>
      </c>
      <c r="F795" t="inlineStr">
        <is>
          <t>ÖSTERGÖTLANDS LÄN</t>
        </is>
      </c>
      <c r="G795" t="inlineStr">
        <is>
          <t>NORRKÖPING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22439-2025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46221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Naturvårdsverket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421-2022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44565</v>
      </c>
      <c r="E797" s="1" t="n">
        <v>46221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Allmännings- och besparingsskogar</t>
        </is>
      </c>
      <c r="I797" t="n">
        <v>9.300000000000001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45310</v>
      </c>
      <c r="E798" s="1" t="n">
        <v>46221</v>
      </c>
      <c r="F798" t="inlineStr">
        <is>
          <t>ÖSTERGÖTLANDS LÄN</t>
        </is>
      </c>
      <c r="G798" t="inlineStr">
        <is>
          <t>NORRKÖPING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22881-2025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46221</v>
      </c>
      <c r="F799" t="inlineStr">
        <is>
          <t>ÖSTERGÖTLANDS LÄN</t>
        </is>
      </c>
      <c r="G799" t="inlineStr">
        <is>
          <t>NORRKÖPING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3018-2025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45678</v>
      </c>
      <c r="E800" s="1" t="n">
        <v>46221</v>
      </c>
      <c r="F800" t="inlineStr">
        <is>
          <t>ÖSTERGÖTLANDS LÄN</t>
        </is>
      </c>
      <c r="G800" t="inlineStr">
        <is>
          <t>NORRKÖPING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24049-2025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46221</v>
      </c>
      <c r="F801" t="inlineStr">
        <is>
          <t>ÖSTERGÖTLANDS LÄN</t>
        </is>
      </c>
      <c r="G801" t="inlineStr">
        <is>
          <t>NORRKÖPING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23954-2025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45796</v>
      </c>
      <c r="E802" s="1" t="n">
        <v>46221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60800-2023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45259</v>
      </c>
      <c r="E803" s="1" t="n">
        <v>46221</v>
      </c>
      <c r="F803" t="inlineStr">
        <is>
          <t>ÖSTERGÖTLANDS LÄN</t>
        </is>
      </c>
      <c r="G803" t="inlineStr">
        <is>
          <t>NORRKÖPING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24684-2025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46221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24246-2025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45797</v>
      </c>
      <c r="E805" s="1" t="n">
        <v>46221</v>
      </c>
      <c r="F805" t="inlineStr">
        <is>
          <t>ÖSTERGÖTLANDS LÄN</t>
        </is>
      </c>
      <c r="G805" t="inlineStr">
        <is>
          <t>NORRKÖPING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24555-2025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46221</v>
      </c>
      <c r="F806" t="inlineStr">
        <is>
          <t>ÖSTERGÖTLANDS LÄN</t>
        </is>
      </c>
      <c r="G806" t="inlineStr">
        <is>
          <t>NORRKÖPING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42514-2024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45565</v>
      </c>
      <c r="E807" s="1" t="n">
        <v>46221</v>
      </c>
      <c r="F807" t="inlineStr">
        <is>
          <t>ÖSTERGÖTLANDS LÄN</t>
        </is>
      </c>
      <c r="G807" t="inlineStr">
        <is>
          <t>NORRKÖPING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16582-2024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45408</v>
      </c>
      <c r="E808" s="1" t="n">
        <v>46221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40068-2024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45554</v>
      </c>
      <c r="E809" s="1" t="n">
        <v>46221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10770-2025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45722</v>
      </c>
      <c r="E810" s="1" t="n">
        <v>46221</v>
      </c>
      <c r="F810" t="inlineStr">
        <is>
          <t>ÖSTERGÖTLANDS LÄN</t>
        </is>
      </c>
      <c r="G810" t="inlineStr">
        <is>
          <t>NORRKÖPING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25546-2025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45803</v>
      </c>
      <c r="E811" s="1" t="n">
        <v>46221</v>
      </c>
      <c r="F811" t="inlineStr">
        <is>
          <t>ÖSTERGÖTLANDS LÄN</t>
        </is>
      </c>
      <c r="G811" t="inlineStr">
        <is>
          <t>NORRKÖPING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25949-2025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45804</v>
      </c>
      <c r="E812" s="1" t="n">
        <v>46221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Kommuner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1519-2021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44313</v>
      </c>
      <c r="E813" s="1" t="n">
        <v>46221</v>
      </c>
      <c r="F813" t="inlineStr">
        <is>
          <t>ÖSTERGÖTLANDS LÄN</t>
        </is>
      </c>
      <c r="G813" t="inlineStr">
        <is>
          <t>NORRKÖPING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2289-2020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44130</v>
      </c>
      <c r="E814" s="1" t="n">
        <v>46221</v>
      </c>
      <c r="F814" t="inlineStr">
        <is>
          <t>ÖSTERGÖTLANDS LÄN</t>
        </is>
      </c>
      <c r="G814" t="inlineStr">
        <is>
          <t>NORRKÖPING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161-2021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44230</v>
      </c>
      <c r="E815" s="1" t="n">
        <v>46221</v>
      </c>
      <c r="F815" t="inlineStr">
        <is>
          <t>ÖSTERGÖTLANDS LÄN</t>
        </is>
      </c>
      <c r="G815" t="inlineStr">
        <is>
          <t>NORRKÖPING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1484-2022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44638</v>
      </c>
      <c r="E816" s="1" t="n">
        <v>46221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1678-2022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44649</v>
      </c>
      <c r="E817" s="1" t="n">
        <v>46221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10364-2021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44551</v>
      </c>
      <c r="E818" s="1" t="n">
        <v>46221</v>
      </c>
      <c r="F818" t="inlineStr">
        <is>
          <t>ÖSTERGÖTLANDS LÄN</t>
        </is>
      </c>
      <c r="G818" t="inlineStr">
        <is>
          <t>NORRKÖPING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2481-2022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44692</v>
      </c>
      <c r="E819" s="1" t="n">
        <v>46221</v>
      </c>
      <c r="F819" t="inlineStr">
        <is>
          <t>ÖSTERGÖTLANDS LÄN</t>
        </is>
      </c>
      <c r="G819" t="inlineStr">
        <is>
          <t>NORRKÖPING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211-2024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45316</v>
      </c>
      <c r="E820" s="1" t="n">
        <v>46221</v>
      </c>
      <c r="F820" t="inlineStr">
        <is>
          <t>ÖSTERGÖTLANDS LÄN</t>
        </is>
      </c>
      <c r="G820" t="inlineStr">
        <is>
          <t>NORRKÖPING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4973-2024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45629</v>
      </c>
      <c r="E821" s="1" t="n">
        <v>46221</v>
      </c>
      <c r="F821" t="inlineStr">
        <is>
          <t>ÖSTERGÖTLANDS LÄN</t>
        </is>
      </c>
      <c r="G821" t="inlineStr">
        <is>
          <t>NORRKÖPING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4011-2024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46221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1663-2024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45432</v>
      </c>
      <c r="E823" s="1" t="n">
        <v>46221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4012-2024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45571</v>
      </c>
      <c r="E824" s="1" t="n">
        <v>46221</v>
      </c>
      <c r="F824" t="inlineStr">
        <is>
          <t>ÖSTERGÖTLANDS LÄN</t>
        </is>
      </c>
      <c r="G824" t="inlineStr">
        <is>
          <t>NORRKÖPING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1486-2025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45789</v>
      </c>
      <c r="E825" s="1" t="n">
        <v>46221</v>
      </c>
      <c r="F825" t="inlineStr">
        <is>
          <t>ÖSTERGÖTLANDS LÄN</t>
        </is>
      </c>
      <c r="G825" t="inlineStr">
        <is>
          <t>NORRKÖPING</t>
        </is>
      </c>
      <c r="I825" t="n">
        <v>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1433-2025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45784</v>
      </c>
      <c r="E826" s="1" t="n">
        <v>46221</v>
      </c>
      <c r="F826" t="inlineStr">
        <is>
          <t>ÖSTERGÖTLANDS LÄN</t>
        </is>
      </c>
      <c r="G826" t="inlineStr">
        <is>
          <t>NORRKÖPING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2026-07-18T01:23:08Z</dcterms:created>
  <dcterms:modified xmlns:dcterms="http://purl.org/dc/terms/" xmlns:xsi="http://www.w3.org/2001/XMLSchema-instance" xsi:type="dcterms:W3CDTF">2026-07-18T01:23:08Z</dcterms:modified>
</cp:coreProperties>
</file>