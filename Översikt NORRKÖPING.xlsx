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46250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45922</v>
      </c>
      <c r="E9" s="1" t="n">
        <v>46250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3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31</v>
      </c>
      <c r="U9" t="n">
        <v>31</v>
      </c>
      <c r="V9" s="2" t="inlineStr">
        <is>
          <t>Knärot
Dvärgbägarlav
Motaggsvamp
Tallticka
Ullticka
Vedskivlav
Blomkålssvamp
Bronshjon
Grovticka
Grönpyrola
Mindre märgborre
Spillkråka
Vanlig snok</t>
        </is>
      </c>
      <c r="W9">
        <f>HYPERLINK("https://klasma.github.io/Logging_0581/artfynd/A 45488-2025 artfynd.xlsx", "A 45488-2025")</f>
        <v/>
      </c>
      <c r="X9">
        <f>HYPERLINK("https://klasma.github.io/Logging_0581/kartor/A 45488-2025 karta.png", "A 45488-2025")</f>
        <v/>
      </c>
      <c r="Y9">
        <f>HYPERLINK("https://klasma.github.io/Logging_0581/kartor_geotiff/A 45488-2025 georefererad karta.tif", "A 45488-2025")</f>
        <v/>
      </c>
      <c r="Z9">
        <f>HYPERLINK("https://klasma.github.io/Logging_0581/knärot/A 45488-2025 karta knärot.png", "A 45488-2025")</f>
        <v/>
      </c>
      <c r="AA9">
        <f>HYPERLINK("https://klasma.github.io/Logging_0581/klagomål/A 45488-2025 FSC-klagomål.docx", "A 45488-2025")</f>
        <v/>
      </c>
      <c r="AB9">
        <f>HYPERLINK("https://klasma.github.io/Logging_0581/klagomålsmail/A 45488-2025 FSC-klagomål mail.docx", "A 45488-2025")</f>
        <v/>
      </c>
      <c r="AC9">
        <f>HYPERLINK("https://klasma.github.io/Logging_0581/tillsyn/A 45488-2025 tillsynsbegäran.docx", "A 45488-2025")</f>
        <v/>
      </c>
      <c r="AD9">
        <f>HYPERLINK("https://klasma.github.io/Logging_0581/tillsynsmail/A 45488-2025 tillsynsbegäran mail.docx", "A 45488-2025")</f>
        <v/>
      </c>
      <c r="AE9">
        <f>HYPERLINK("https://klasma.github.io/Logging_0581/fåglar/A 45488-2025 prioriterade fågelarter.docx", "A 45488-2025")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46250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46250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46250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37730-2025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45880</v>
      </c>
      <c r="E15" s="1" t="n">
        <v>46250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4.2</v>
      </c>
      <c r="J15" t="n">
        <v>1</v>
      </c>
      <c r="K15" t="n">
        <v>1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9</v>
      </c>
      <c r="T15" t="n">
        <v>12</v>
      </c>
      <c r="U15" t="n">
        <v>0</v>
      </c>
      <c r="V15" s="2" t="inlineStr">
        <is>
          <t>Blek kryptolav
Kandelabersvamp
Motaggsvamp
Skogsklocka
Svinrot
Tallticka
Vippärt
Stekelbock
Blåsippa</t>
        </is>
      </c>
      <c r="W15">
        <f>HYPERLINK("https://klasma.github.io/Logging_0581/artfynd/A 37730-2025 artfynd.xlsx", "A 37730-2025")</f>
        <v/>
      </c>
      <c r="X15">
        <f>HYPERLINK("https://klasma.github.io/Logging_0581/kartor/A 37730-2025 karta.png", "A 37730-2025")</f>
        <v/>
      </c>
      <c r="Y15">
        <f>HYPERLINK("https://klasma.github.io/Logging_0581/kartor_geotiff/A 37730-2025 georefererad karta.tif", "A 37730-2025")</f>
        <v/>
      </c>
      <c r="AA15">
        <f>HYPERLINK("https://klasma.github.io/Logging_0581/klagomål/A 37730-2025 FSC-klagomål.docx", "A 37730-2025")</f>
        <v/>
      </c>
      <c r="AB15">
        <f>HYPERLINK("https://klasma.github.io/Logging_0581/klagomålsmail/A 37730-2025 FSC-klagomål mail.docx", "A 37730-2025")</f>
        <v/>
      </c>
      <c r="AC15">
        <f>HYPERLINK("https://klasma.github.io/Logging_0581/tillsyn/A 37730-2025 tillsynsbegäran.docx", "A 37730-2025")</f>
        <v/>
      </c>
      <c r="AD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46250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46250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46250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46250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46250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46250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17466-2026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46120</v>
      </c>
      <c r="E30" s="1" t="n">
        <v>46250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2.8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Tallticka
Blåmossa
Granbarkgnagare
Mindre märgborre
Spillkråka</t>
        </is>
      </c>
      <c r="W30">
        <f>HYPERLINK("https://klasma.github.io/Logging_0581/artfynd/A 17466-2026 artfynd.xlsx", "A 17466-2026")</f>
        <v/>
      </c>
      <c r="X30">
        <f>HYPERLINK("https://klasma.github.io/Logging_0581/kartor/A 17466-2026 karta.png", "A 17466-2026")</f>
        <v/>
      </c>
      <c r="Y30">
        <f>HYPERLINK("https://klasma.github.io/Logging_0581/kartor_geotiff/A 17466-2026 georefererad karta.tif", "A 17466-2026")</f>
        <v/>
      </c>
      <c r="AA30">
        <f>HYPERLINK("https://klasma.github.io/Logging_0581/klagomål/A 17466-2026 FSC-klagomål.docx", "A 17466-2026")</f>
        <v/>
      </c>
      <c r="AB30">
        <f>HYPERLINK("https://klasma.github.io/Logging_0581/klagomålsmail/A 17466-2026 FSC-klagomål mail.docx", "A 17466-2026")</f>
        <v/>
      </c>
      <c r="AC30">
        <f>HYPERLINK("https://klasma.github.io/Logging_0581/tillsyn/A 17466-2026 tillsynsbegäran.docx", "A 17466-2026")</f>
        <v/>
      </c>
      <c r="AD30">
        <f>HYPERLINK("https://klasma.github.io/Logging_0581/tillsynsmail/A 17466-2026 tillsynsbegäran mail.docx", "A 17466-2026")</f>
        <v/>
      </c>
      <c r="AE30">
        <f>HYPERLINK("https://klasma.github.io/Logging_0581/fåglar/A 17466-2026 prioriterade fågelarter.docx", "A 17466-2026")</f>
        <v/>
      </c>
    </row>
    <row r="31" ht="15" customHeight="1">
      <c r="A31" t="inlineStr">
        <is>
          <t>A 19113-2023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45048</v>
      </c>
      <c r="E31" s="1" t="n">
        <v>46250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2.6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3</v>
      </c>
      <c r="V31" s="2" t="inlineStr">
        <is>
          <t>Tofsmes
Fläcknycklar
Grönvit nattviol
Revlummer
Äkta lopplummer</t>
        </is>
      </c>
      <c r="W31">
        <f>HYPERLINK("https://klasma.github.io/Logging_0581/artfynd/A 19113-2023 artfynd.xlsx", "A 19113-2023")</f>
        <v/>
      </c>
      <c r="X31">
        <f>HYPERLINK("https://klasma.github.io/Logging_0581/kartor/A 19113-2023 karta.png", "A 19113-2023")</f>
        <v/>
      </c>
      <c r="Y31">
        <f>HYPERLINK("https://klasma.github.io/Logging_0581/kartor_geotiff/A 19113-2023 georefererad karta.tif", "A 19113-2023")</f>
        <v/>
      </c>
      <c r="AA31">
        <f>HYPERLINK("https://klasma.github.io/Logging_0581/klagomål/A 19113-2023 FSC-klagomål.docx", "A 19113-2023")</f>
        <v/>
      </c>
      <c r="AB31">
        <f>HYPERLINK("https://klasma.github.io/Logging_0581/klagomålsmail/A 19113-2023 FSC-klagomål mail.docx", "A 19113-2023")</f>
        <v/>
      </c>
      <c r="AC31">
        <f>HYPERLINK("https://klasma.github.io/Logging_0581/tillsyn/A 19113-2023 tillsynsbegäran.docx", "A 19113-2023")</f>
        <v/>
      </c>
      <c r="AD31">
        <f>HYPERLINK("https://klasma.github.io/Logging_0581/tillsynsmail/A 19113-2023 tillsynsbegäran mail.docx", "A 19113-2023")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46250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46250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21536-2025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46250</v>
      </c>
      <c r="F34" t="inlineStr">
        <is>
          <t>ÖSTERGÖTLANDS LÄN</t>
        </is>
      </c>
      <c r="G34" t="inlineStr">
        <is>
          <t>NORRKÖPING</t>
        </is>
      </c>
      <c r="I34" t="n">
        <v>6.2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Reliktbock
Tjockfotad fingersvamp
Grovticka
Grön sköldmossa
Stubbspretmossa</t>
        </is>
      </c>
      <c r="W34">
        <f>HYPERLINK("https://klasma.github.io/Logging_0581/artfynd/A 21536-2025 artfynd.xlsx", "A 21536-2025")</f>
        <v/>
      </c>
      <c r="X34">
        <f>HYPERLINK("https://klasma.github.io/Logging_0581/kartor/A 21536-2025 karta.png", "A 21536-2025")</f>
        <v/>
      </c>
      <c r="Y34">
        <f>HYPERLINK("https://klasma.github.io/Logging_0581/kartor_geotiff/A 21536-2025 georefererad karta.tif", "A 21536-2025")</f>
        <v/>
      </c>
      <c r="AA34">
        <f>HYPERLINK("https://klasma.github.io/Logging_0581/klagomål/A 21536-2025 FSC-klagomål.docx", "A 21536-2025")</f>
        <v/>
      </c>
      <c r="AB34">
        <f>HYPERLINK("https://klasma.github.io/Logging_0581/klagomålsmail/A 21536-2025 FSC-klagomål mail.docx", "A 21536-2025")</f>
        <v/>
      </c>
      <c r="AC34">
        <f>HYPERLINK("https://klasma.github.io/Logging_0581/tillsyn/A 21536-2025 tillsynsbegäran.docx", "A 21536-2025")</f>
        <v/>
      </c>
      <c r="AD34">
        <f>HYPERLINK("https://klasma.github.io/Logging_0581/tillsynsmail/A 21536-2025 tillsynsbegäran mail.docx", "A 21536-2025")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46250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46250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46250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46250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46250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46250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46250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46250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46250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46250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45833</v>
      </c>
      <c r="E47" s="1" t="n">
        <v>46250</v>
      </c>
      <c r="F47" t="inlineStr">
        <is>
          <t>ÖSTERGÖTLANDS LÄN</t>
        </is>
      </c>
      <c r="G47" t="inlineStr">
        <is>
          <t>NORRKÖPING</t>
        </is>
      </c>
      <c r="I47" t="n">
        <v>6.3</v>
      </c>
      <c r="J47" t="n">
        <v>2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7</v>
      </c>
      <c r="U47" t="n">
        <v>1</v>
      </c>
      <c r="V47" s="2" t="inlineStr">
        <is>
          <t>Talltita
Vedskivlav
Grönpyrola
Blåsippa</t>
        </is>
      </c>
      <c r="W47">
        <f>HYPERLINK("https://klasma.github.io/Logging_0581/artfynd/A 31468-2025 artfynd.xlsx", "A 31468-2025")</f>
        <v/>
      </c>
      <c r="X47">
        <f>HYPERLINK("https://klasma.github.io/Logging_0581/kartor/A 31468-2025 karta.png", "A 31468-2025")</f>
        <v/>
      </c>
      <c r="Y47">
        <f>HYPERLINK("https://klasma.github.io/Logging_0581/kartor_geotiff/A 31468-2025 georefererad karta.tif", "A 31468-2025")</f>
        <v/>
      </c>
      <c r="AA47">
        <f>HYPERLINK("https://klasma.github.io/Logging_0581/klagomål/A 31468-2025 FSC-klagomål.docx", "A 31468-2025")</f>
        <v/>
      </c>
      <c r="AB47">
        <f>HYPERLINK("https://klasma.github.io/Logging_0581/klagomålsmail/A 31468-2025 FSC-klagomål mail.docx", "A 31468-2025")</f>
        <v/>
      </c>
      <c r="AC47">
        <f>HYPERLINK("https://klasma.github.io/Logging_0581/tillsyn/A 31468-2025 tillsynsbegäran.docx", "A 31468-2025")</f>
        <v/>
      </c>
      <c r="AD47">
        <f>HYPERLINK("https://klasma.github.io/Logging_0581/tillsynsmail/A 31468-2025 tillsynsbegäran mail.docx", "A 31468-2025")</f>
        <v/>
      </c>
      <c r="AE47">
        <f>HYPERLINK("https://klasma.github.io/Logging_0581/fåglar/A 31468-2025 prioriterade fågelarter.docx", "A 31468-2025")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46250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46250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19973-2025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46250</v>
      </c>
      <c r="F51" t="inlineStr">
        <is>
          <t>ÖSTERGÖTLANDS LÄN</t>
        </is>
      </c>
      <c r="G51" t="inlineStr">
        <is>
          <t>NORRKÖPING</t>
        </is>
      </c>
      <c r="I51" t="n">
        <v>6.3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Vedskivlav
Blåmossa</t>
        </is>
      </c>
      <c r="W51">
        <f>HYPERLINK("https://klasma.github.io/Logging_0581/artfynd/A 19973-2025 artfynd.xlsx", "A 19973-2025")</f>
        <v/>
      </c>
      <c r="X51">
        <f>HYPERLINK("https://klasma.github.io/Logging_0581/kartor/A 19973-2025 karta.png", "A 19973-2025")</f>
        <v/>
      </c>
      <c r="Y51">
        <f>HYPERLINK("https://klasma.github.io/Logging_0581/kartor_geotiff/A 19973-2025 georefererad karta.tif", "A 19973-2025")</f>
        <v/>
      </c>
      <c r="AA51">
        <f>HYPERLINK("https://klasma.github.io/Logging_0581/klagomål/A 19973-2025 FSC-klagomål.docx", "A 19973-2025")</f>
        <v/>
      </c>
      <c r="AB51">
        <f>HYPERLINK("https://klasma.github.io/Logging_0581/klagomålsmail/A 19973-2025 FSC-klagomål mail.docx", "A 19973-2025")</f>
        <v/>
      </c>
      <c r="AC51">
        <f>HYPERLINK("https://klasma.github.io/Logging_0581/tillsyn/A 19973-2025 tillsynsbegäran.docx", "A 19973-2025")</f>
        <v/>
      </c>
      <c r="AD51">
        <f>HYPERLINK("https://klasma.github.io/Logging_0581/tillsynsmail/A 19973-2025 tillsynsbegäran mail.docx", "A 19973-2025")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15183-2023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46250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2.4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Motaggsvamp
Vedskivlav
Blomkålssvamp</t>
        </is>
      </c>
      <c r="W53">
        <f>HYPERLINK("https://klasma.github.io/Logging_0581/artfynd/A 15183-2023 artfynd.xlsx", "A 15183-2023")</f>
        <v/>
      </c>
      <c r="X53">
        <f>HYPERLINK("https://klasma.github.io/Logging_0581/kartor/A 15183-2023 karta.png", "A 15183-2023")</f>
        <v/>
      </c>
      <c r="Y53">
        <f>HYPERLINK("https://klasma.github.io/Logging_0581/kartor_geotiff/A 15183-2023 georefererad karta.tif", "A 15183-2023")</f>
        <v/>
      </c>
      <c r="AA53">
        <f>HYPERLINK("https://klasma.github.io/Logging_0581/klagomål/A 15183-2023 FSC-klagomål.docx", "A 15183-2023")</f>
        <v/>
      </c>
      <c r="AB53">
        <f>HYPERLINK("https://klasma.github.io/Logging_0581/klagomålsmail/A 15183-2023 FSC-klagomål mail.docx", "A 15183-2023")</f>
        <v/>
      </c>
      <c r="AC53">
        <f>HYPERLINK("https://klasma.github.io/Logging_0581/tillsyn/A 15183-2023 tillsynsbegäran.docx", "A 15183-2023")</f>
        <v/>
      </c>
      <c r="AD53">
        <f>HYPERLINK("https://klasma.github.io/Logging_0581/tillsynsmail/A 15183-2023 tillsynsbegäran mail.docx", "A 15183-2023")</f>
        <v/>
      </c>
    </row>
    <row r="54" ht="15" customHeight="1">
      <c r="A54" t="inlineStr">
        <is>
          <t>A 45699-2024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45579</v>
      </c>
      <c r="E54" s="1" t="n">
        <v>46250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Vedskivlav
Flagellkvastmossa
Mindre märgborre</t>
        </is>
      </c>
      <c r="W54">
        <f>HYPERLINK("https://klasma.github.io/Logging_0581/artfynd/A 45699-2024 artfynd.xlsx", "A 45699-2024")</f>
        <v/>
      </c>
      <c r="X54">
        <f>HYPERLINK("https://klasma.github.io/Logging_0581/kartor/A 45699-2024 karta.png", "A 45699-2024")</f>
        <v/>
      </c>
      <c r="Y54">
        <f>HYPERLINK("https://klasma.github.io/Logging_0581/kartor_geotiff/A 45699-2024 georefererad karta.tif", "A 45699-2024")</f>
        <v/>
      </c>
      <c r="AA54">
        <f>HYPERLINK("https://klasma.github.io/Logging_0581/klagomål/A 45699-2024 FSC-klagomål.docx", "A 45699-2024")</f>
        <v/>
      </c>
      <c r="AB54">
        <f>HYPERLINK("https://klasma.github.io/Logging_0581/klagomålsmail/A 45699-2024 FSC-klagomål mail.docx", "A 45699-2024")</f>
        <v/>
      </c>
      <c r="AC54">
        <f>HYPERLINK("https://klasma.github.io/Logging_0581/tillsyn/A 45699-2024 tillsynsbegäran.docx", "A 45699-2024")</f>
        <v/>
      </c>
      <c r="AD54">
        <f>HYPERLINK("https://klasma.github.io/Logging_0581/tillsynsmail/A 45699-2024 tillsynsbegäran mail.docx", "A 45699-2024")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46250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Nordfladdermus
Dvärgpipistrell
Vattenfladdermus</t>
        </is>
      </c>
      <c r="W55">
        <f>HYPERLINK("https://klasma.github.io/Logging_0581/artfynd/A 861-2023 artfynd.xlsx", "A 861-2023")</f>
        <v/>
      </c>
      <c r="X55">
        <f>HYPERLINK("https://klasma.github.io/Logging_0581/kartor/A 861-2023 karta.png", "A 861-2023")</f>
        <v/>
      </c>
      <c r="Y55">
        <f>HYPERLINK("https://klasma.github.io/Logging_0581/kartor_geotiff/A 861-2023 georefererad karta.tif", "A 861-2023")</f>
        <v/>
      </c>
      <c r="AA55">
        <f>HYPERLINK("https://klasma.github.io/Logging_0581/klagomål/A 861-2023 FSC-klagomål.docx", "A 861-2023")</f>
        <v/>
      </c>
      <c r="AB55">
        <f>HYPERLINK("https://klasma.github.io/Logging_0581/klagomålsmail/A 861-2023 FSC-klagomål mail.docx", "A 861-2023")</f>
        <v/>
      </c>
      <c r="AC55">
        <f>HYPERLINK("https://klasma.github.io/Logging_0581/tillsyn/A 861-2023 tillsynsbegäran.docx", "A 861-2023")</f>
        <v/>
      </c>
      <c r="AD55">
        <f>HYPERLINK("https://klasma.github.io/Logging_0581/tillsynsmail/A 861-2023 tillsynsbegäran mail.docx", "A 861-2023")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46250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46250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46250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46250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46250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46250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46250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9512-2023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46250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2.1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Garnlav
Tallticka
Jättesvampmal</t>
        </is>
      </c>
      <c r="W63">
        <f>HYPERLINK("https://klasma.github.io/Logging_0581/artfynd/A 9512-2023 artfynd.xlsx", "A 9512-2023")</f>
        <v/>
      </c>
      <c r="X63">
        <f>HYPERLINK("https://klasma.github.io/Logging_0581/kartor/A 9512-2023 karta.png", "A 9512-2023")</f>
        <v/>
      </c>
      <c r="Y63">
        <f>HYPERLINK("https://klasma.github.io/Logging_0581/kartor_geotiff/A 9512-2023 georefererad karta.tif", "A 9512-2023")</f>
        <v/>
      </c>
      <c r="AA63">
        <f>HYPERLINK("https://klasma.github.io/Logging_0581/klagomål/A 9512-2023 FSC-klagomål.docx", "A 9512-2023")</f>
        <v/>
      </c>
      <c r="AB63">
        <f>HYPERLINK("https://klasma.github.io/Logging_0581/klagomålsmail/A 9512-2023 FSC-klagomål mail.docx", "A 9512-2023")</f>
        <v/>
      </c>
      <c r="AC63">
        <f>HYPERLINK("https://klasma.github.io/Logging_0581/tillsyn/A 9512-2023 tillsynsbegäran.docx", "A 9512-2023")</f>
        <v/>
      </c>
      <c r="AD63">
        <f>HYPERLINK("https://klasma.github.io/Logging_0581/tillsynsmail/A 9512-2023 tillsynsbegäran mail.docx", "A 9512-2023")</f>
        <v/>
      </c>
    </row>
    <row r="64" ht="15" customHeight="1">
      <c r="A64" t="inlineStr">
        <is>
          <t>A 28062-2022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46250</v>
      </c>
      <c r="F64" t="inlineStr">
        <is>
          <t>ÖSTERGÖTLANDS LÄN</t>
        </is>
      </c>
      <c r="G64" t="inlineStr">
        <is>
          <t>NORRKÖPING</t>
        </is>
      </c>
      <c r="I64" t="n">
        <v>3.6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Slåtterfibbla
Svinrot
Mattlummer</t>
        </is>
      </c>
      <c r="W64">
        <f>HYPERLINK("https://klasma.github.io/Logging_0581/artfynd/A 28062-2022 artfynd.xlsx", "A 28062-2022")</f>
        <v/>
      </c>
      <c r="X64">
        <f>HYPERLINK("https://klasma.github.io/Logging_0581/kartor/A 28062-2022 karta.png", "A 28062-2022")</f>
        <v/>
      </c>
      <c r="Y64">
        <f>HYPERLINK("https://klasma.github.io/Logging_0581/kartor_geotiff/A 28062-2022 georefererad karta.tif", "A 28062-2022")</f>
        <v/>
      </c>
      <c r="AA64">
        <f>HYPERLINK("https://klasma.github.io/Logging_0581/klagomål/A 28062-2022 FSC-klagomål.docx", "A 28062-2022")</f>
        <v/>
      </c>
      <c r="AB64">
        <f>HYPERLINK("https://klasma.github.io/Logging_0581/klagomålsmail/A 28062-2022 FSC-klagomål mail.docx", "A 28062-2022")</f>
        <v/>
      </c>
      <c r="AC64">
        <f>HYPERLINK("https://klasma.github.io/Logging_0581/tillsyn/A 28062-2022 tillsynsbegäran.docx", "A 28062-2022")</f>
        <v/>
      </c>
      <c r="AD64">
        <f>HYPERLINK("https://klasma.github.io/Logging_0581/tillsynsmail/A 28062-2022 tillsynsbegäran mail.docx", "A 28062-2022")</f>
        <v/>
      </c>
    </row>
    <row r="65" ht="15" customHeight="1">
      <c r="A65" t="inlineStr">
        <is>
          <t>A 14646-2023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45013</v>
      </c>
      <c r="E65" s="1" t="n">
        <v>46250</v>
      </c>
      <c r="F65" t="inlineStr">
        <is>
          <t>ÖSTERGÖTLANDS LÄN</t>
        </is>
      </c>
      <c r="G65" t="inlineStr">
        <is>
          <t>NORRKÖPING</t>
        </is>
      </c>
      <c r="I65" t="n">
        <v>5.4</v>
      </c>
      <c r="J65" t="n">
        <v>1</v>
      </c>
      <c r="K65" t="n">
        <v>0</v>
      </c>
      <c r="L65" t="n">
        <v>1</v>
      </c>
      <c r="M65" t="n">
        <v>0</v>
      </c>
      <c r="N65" t="n">
        <v>1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Skogsalm
Vanlig backsmörblomma
Fläcknycklar</t>
        </is>
      </c>
      <c r="W65">
        <f>HYPERLINK("https://klasma.github.io/Logging_0581/artfynd/A 14646-2023 artfynd.xlsx", "A 14646-2023")</f>
        <v/>
      </c>
      <c r="X65">
        <f>HYPERLINK("https://klasma.github.io/Logging_0581/kartor/A 14646-2023 karta.png", "A 14646-2023")</f>
        <v/>
      </c>
      <c r="Y65">
        <f>HYPERLINK("https://klasma.github.io/Logging_0581/kartor_geotiff/A 14646-2023 georefererad karta.tif", "A 14646-2023")</f>
        <v/>
      </c>
      <c r="AA65">
        <f>HYPERLINK("https://klasma.github.io/Logging_0581/klagomål/A 14646-2023 FSC-klagomål.docx", "A 14646-2023")</f>
        <v/>
      </c>
      <c r="AB65">
        <f>HYPERLINK("https://klasma.github.io/Logging_0581/klagomålsmail/A 14646-2023 FSC-klagomål mail.docx", "A 14646-2023")</f>
        <v/>
      </c>
      <c r="AC65">
        <f>HYPERLINK("https://klasma.github.io/Logging_0581/tillsyn/A 14646-2023 tillsynsbegäran.docx", "A 14646-2023")</f>
        <v/>
      </c>
      <c r="AD65">
        <f>HYPERLINK("https://klasma.github.io/Logging_0581/tillsynsmail/A 14646-2023 tillsynsbegäran mail.docx", "A 14646-2023")</f>
        <v/>
      </c>
    </row>
    <row r="66" ht="15" customHeight="1">
      <c r="A66" t="inlineStr">
        <is>
          <t>A 8468-2023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46250</v>
      </c>
      <c r="F66" t="inlineStr">
        <is>
          <t>ÖSTERGÖTLANDS LÄN</t>
        </is>
      </c>
      <c r="G66" t="inlineStr">
        <is>
          <t>NORRKÖPING</t>
        </is>
      </c>
      <c r="I66" t="n">
        <v>6.7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0</v>
      </c>
      <c r="V66" s="2" t="inlineStr">
        <is>
          <t>Tallticka
Bronshjon
Blåsippa</t>
        </is>
      </c>
      <c r="W66">
        <f>HYPERLINK("https://klasma.github.io/Logging_0581/artfynd/A 8468-2023 artfynd.xlsx", "A 8468-2023")</f>
        <v/>
      </c>
      <c r="X66">
        <f>HYPERLINK("https://klasma.github.io/Logging_0581/kartor/A 8468-2023 karta.png", "A 8468-2023")</f>
        <v/>
      </c>
      <c r="Y66">
        <f>HYPERLINK("https://klasma.github.io/Logging_0581/kartor_geotiff/A 8468-2023 georefererad karta.tif", "A 8468-2023")</f>
        <v/>
      </c>
      <c r="AA66">
        <f>HYPERLINK("https://klasma.github.io/Logging_0581/klagomål/A 8468-2023 FSC-klagomål.docx", "A 8468-2023")</f>
        <v/>
      </c>
      <c r="AB66">
        <f>HYPERLINK("https://klasma.github.io/Logging_0581/klagomålsmail/A 8468-2023 FSC-klagomål mail.docx", "A 8468-2023")</f>
        <v/>
      </c>
      <c r="AC66">
        <f>HYPERLINK("https://klasma.github.io/Logging_0581/tillsyn/A 8468-2023 tillsynsbegäran.docx", "A 8468-2023")</f>
        <v/>
      </c>
      <c r="AD66">
        <f>HYPERLINK("https://klasma.github.io/Logging_0581/tillsynsmail/A 8468-2023 tillsynsbegäran mail.docx", "A 8468-2023")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46250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23969-2025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46250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Crepis tectorum subsp. tectorum
Grönsångare
Tallticka</t>
        </is>
      </c>
      <c r="W68">
        <f>HYPERLINK("https://klasma.github.io/Logging_0581/artfynd/A 23969-2025 artfynd.xlsx", "A 23969-2025")</f>
        <v/>
      </c>
      <c r="X68">
        <f>HYPERLINK("https://klasma.github.io/Logging_0581/kartor/A 23969-2025 karta.png", "A 23969-2025")</f>
        <v/>
      </c>
      <c r="Y68">
        <f>HYPERLINK("https://klasma.github.io/Logging_0581/kartor_geotiff/A 23969-2025 georefererad karta.tif", "A 23969-2025")</f>
        <v/>
      </c>
      <c r="AA68">
        <f>HYPERLINK("https://klasma.github.io/Logging_0581/klagomål/A 23969-2025 FSC-klagomål.docx", "A 23969-2025")</f>
        <v/>
      </c>
      <c r="AB68">
        <f>HYPERLINK("https://klasma.github.io/Logging_0581/klagomålsmail/A 23969-2025 FSC-klagomål mail.docx", "A 23969-2025")</f>
        <v/>
      </c>
      <c r="AC68">
        <f>HYPERLINK("https://klasma.github.io/Logging_0581/tillsyn/A 23969-2025 tillsynsbegäran.docx", "A 23969-2025")</f>
        <v/>
      </c>
      <c r="AD68">
        <f>HYPERLINK("https://klasma.github.io/Logging_0581/tillsynsmail/A 23969-2025 tillsynsbegäran mail.docx", "A 23969-2025")</f>
        <v/>
      </c>
      <c r="AE68">
        <f>HYPERLINK("https://klasma.github.io/Logging_0581/fåglar/A 23969-2025 prioriterade fågelarter.docx", "A 23969-2025")</f>
        <v/>
      </c>
    </row>
    <row r="69" ht="15" customHeight="1">
      <c r="A69" t="inlineStr">
        <is>
          <t>A 35736-2025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46250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11.5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Vedskivlav
Tjäder</t>
        </is>
      </c>
      <c r="W69">
        <f>HYPERLINK("https://klasma.github.io/Logging_0581/artfynd/A 35736-2025 artfynd.xlsx", "A 35736-2025")</f>
        <v/>
      </c>
      <c r="X69">
        <f>HYPERLINK("https://klasma.github.io/Logging_0581/kartor/A 35736-2025 karta.png", "A 35736-2025")</f>
        <v/>
      </c>
      <c r="Y69">
        <f>HYPERLINK("https://klasma.github.io/Logging_0581/kartor_geotiff/A 35736-2025 georefererad karta.tif", "A 35736-2025")</f>
        <v/>
      </c>
      <c r="AA69">
        <f>HYPERLINK("https://klasma.github.io/Logging_0581/klagomål/A 35736-2025 FSC-klagomål.docx", "A 35736-2025")</f>
        <v/>
      </c>
      <c r="AB69">
        <f>HYPERLINK("https://klasma.github.io/Logging_0581/klagomålsmail/A 35736-2025 FSC-klagomål mail.docx", "A 35736-2025")</f>
        <v/>
      </c>
      <c r="AC69">
        <f>HYPERLINK("https://klasma.github.io/Logging_0581/tillsyn/A 35736-2025 tillsynsbegäran.docx", "A 35736-2025")</f>
        <v/>
      </c>
      <c r="AD69">
        <f>HYPERLINK("https://klasma.github.io/Logging_0581/tillsynsmail/A 35736-2025 tillsynsbegäran mail.docx", "A 35736-2025")</f>
        <v/>
      </c>
      <c r="AE69">
        <f>HYPERLINK("https://klasma.github.io/Logging_0581/fåglar/A 35736-2025 prioriterade fågelarter.docx", "A 35736-2025")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46250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46250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17248-2024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46250</v>
      </c>
      <c r="F72" t="inlineStr">
        <is>
          <t>ÖSTERGÖTLANDS LÄN</t>
        </is>
      </c>
      <c r="G72" t="inlineStr">
        <is>
          <t>NORRKÖPING</t>
        </is>
      </c>
      <c r="I72" t="n">
        <v>2.6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Tallticka
Vedticka</t>
        </is>
      </c>
      <c r="W72">
        <f>HYPERLINK("https://klasma.github.io/Logging_0581/artfynd/A 17248-2024 artfynd.xlsx", "A 17248-2024")</f>
        <v/>
      </c>
      <c r="X72">
        <f>HYPERLINK("https://klasma.github.io/Logging_0581/kartor/A 17248-2024 karta.png", "A 17248-2024")</f>
        <v/>
      </c>
      <c r="Y72">
        <f>HYPERLINK("https://klasma.github.io/Logging_0581/kartor_geotiff/A 17248-2024 georefererad karta.tif", "A 17248-2024")</f>
        <v/>
      </c>
      <c r="AA72">
        <f>HYPERLINK("https://klasma.github.io/Logging_0581/klagomål/A 17248-2024 FSC-klagomål.docx", "A 17248-2024")</f>
        <v/>
      </c>
      <c r="AB72">
        <f>HYPERLINK("https://klasma.github.io/Logging_0581/klagomålsmail/A 17248-2024 FSC-klagomål mail.docx", "A 17248-2024")</f>
        <v/>
      </c>
      <c r="AC72">
        <f>HYPERLINK("https://klasma.github.io/Logging_0581/tillsyn/A 17248-2024 tillsynsbegäran.docx", "A 17248-2024")</f>
        <v/>
      </c>
      <c r="AD72">
        <f>HYPERLINK("https://klasma.github.io/Logging_0581/tillsynsmail/A 17248-2024 tillsynsbegäran mail.docx", "A 17248-2024")</f>
        <v/>
      </c>
    </row>
    <row r="73" ht="15" customHeight="1">
      <c r="A73" t="inlineStr">
        <is>
          <t>A 5572-2024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46250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0.6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Grov baronmossa
Platt fjädermossa</t>
        </is>
      </c>
      <c r="W73">
        <f>HYPERLINK("https://klasma.github.io/Logging_0581/artfynd/A 5572-2024 artfynd.xlsx", "A 5572-2024")</f>
        <v/>
      </c>
      <c r="X73">
        <f>HYPERLINK("https://klasma.github.io/Logging_0581/kartor/A 5572-2024 karta.png", "A 5572-2024")</f>
        <v/>
      </c>
      <c r="Y73">
        <f>HYPERLINK("https://klasma.github.io/Logging_0581/kartor_geotiff/A 5572-2024 georefererad karta.tif", "A 5572-2024")</f>
        <v/>
      </c>
      <c r="AA73">
        <f>HYPERLINK("https://klasma.github.io/Logging_0581/klagomål/A 5572-2024 FSC-klagomål.docx", "A 5572-2024")</f>
        <v/>
      </c>
      <c r="AB73">
        <f>HYPERLINK("https://klasma.github.io/Logging_0581/klagomålsmail/A 5572-2024 FSC-klagomål mail.docx", "A 5572-2024")</f>
        <v/>
      </c>
      <c r="AC73">
        <f>HYPERLINK("https://klasma.github.io/Logging_0581/tillsyn/A 5572-2024 tillsynsbegäran.docx", "A 5572-2024")</f>
        <v/>
      </c>
      <c r="AD73">
        <f>HYPERLINK("https://klasma.github.io/Logging_0581/tillsynsmail/A 5572-2024 tillsynsbegäran mail.docx", "A 5572-2024")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46250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9746-2025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46250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Ask
Blåsippa</t>
        </is>
      </c>
      <c r="W75">
        <f>HYPERLINK("https://klasma.github.io/Logging_0581/artfynd/A 9746-2025 artfynd.xlsx", "A 9746-2025")</f>
        <v/>
      </c>
      <c r="X75">
        <f>HYPERLINK("https://klasma.github.io/Logging_0581/kartor/A 9746-2025 karta.png", "A 9746-2025")</f>
        <v/>
      </c>
      <c r="Y75">
        <f>HYPERLINK("https://klasma.github.io/Logging_0581/kartor_geotiff/A 9746-2025 georefererad karta.tif", "A 9746-2025")</f>
        <v/>
      </c>
      <c r="AA75">
        <f>HYPERLINK("https://klasma.github.io/Logging_0581/klagomål/A 9746-2025 FSC-klagomål.docx", "A 9746-2025")</f>
        <v/>
      </c>
      <c r="AB75">
        <f>HYPERLINK("https://klasma.github.io/Logging_0581/klagomålsmail/A 9746-2025 FSC-klagomål mail.docx", "A 9746-2025")</f>
        <v/>
      </c>
      <c r="AC75">
        <f>HYPERLINK("https://klasma.github.io/Logging_0581/tillsyn/A 9746-2025 tillsynsbegäran.docx", "A 9746-2025")</f>
        <v/>
      </c>
      <c r="AD75">
        <f>HYPERLINK("https://klasma.github.io/Logging_0581/tillsynsmail/A 9746-2025 tillsynsbegäran mail.docx", "A 9746-2025")</f>
        <v/>
      </c>
    </row>
    <row r="76" ht="15" customHeight="1">
      <c r="A76" t="inlineStr">
        <is>
          <t>A 19182-2025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46250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Knärot
Ullticka</t>
        </is>
      </c>
      <c r="W76">
        <f>HYPERLINK("https://klasma.github.io/Logging_0581/artfynd/A 19182-2025 artfynd.xlsx", "A 19182-2025")</f>
        <v/>
      </c>
      <c r="X76">
        <f>HYPERLINK("https://klasma.github.io/Logging_0581/kartor/A 19182-2025 karta.png", "A 19182-2025")</f>
        <v/>
      </c>
      <c r="Y76">
        <f>HYPERLINK("https://klasma.github.io/Logging_0581/kartor_geotiff/A 19182-2025 georefererad karta.tif", "A 19182-2025")</f>
        <v/>
      </c>
      <c r="Z76">
        <f>HYPERLINK("https://klasma.github.io/Logging_0581/knärot/A 19182-2025 karta knärot.png", "A 19182-2025")</f>
        <v/>
      </c>
      <c r="AA76">
        <f>HYPERLINK("https://klasma.github.io/Logging_0581/klagomål/A 19182-2025 FSC-klagomål.docx", "A 19182-2025")</f>
        <v/>
      </c>
      <c r="AB76">
        <f>HYPERLINK("https://klasma.github.io/Logging_0581/klagomålsmail/A 19182-2025 FSC-klagomål mail.docx", "A 19182-2025")</f>
        <v/>
      </c>
      <c r="AC76">
        <f>HYPERLINK("https://klasma.github.io/Logging_0581/tillsyn/A 19182-2025 tillsynsbegäran.docx", "A 19182-2025")</f>
        <v/>
      </c>
      <c r="AD76">
        <f>HYPERLINK("https://klasma.github.io/Logging_0581/tillsynsmail/A 19182-2025 tillsynsbegäran mail.docx", "A 19182-2025")</f>
        <v/>
      </c>
    </row>
    <row r="77" ht="15" customHeight="1">
      <c r="A77" t="inlineStr">
        <is>
          <t>A 55022-2022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46250</v>
      </c>
      <c r="F77" t="inlineStr">
        <is>
          <t>ÖSTERGÖTLANDS LÄN</t>
        </is>
      </c>
      <c r="G77" t="inlineStr">
        <is>
          <t>NORRKÖPING</t>
        </is>
      </c>
      <c r="I77" t="n">
        <v>1.4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Tallfingersvamp
Purpurknipprot</t>
        </is>
      </c>
      <c r="W77">
        <f>HYPERLINK("https://klasma.github.io/Logging_0581/artfynd/A 55022-2022 artfynd.xlsx", "A 55022-2022")</f>
        <v/>
      </c>
      <c r="X77">
        <f>HYPERLINK("https://klasma.github.io/Logging_0581/kartor/A 55022-2022 karta.png", "A 55022-2022")</f>
        <v/>
      </c>
      <c r="Y77">
        <f>HYPERLINK("https://klasma.github.io/Logging_0581/kartor_geotiff/A 55022-2022 georefererad karta.tif", "A 55022-2022")</f>
        <v/>
      </c>
      <c r="AA77">
        <f>HYPERLINK("https://klasma.github.io/Logging_0581/klagomål/A 55022-2022 FSC-klagomål.docx", "A 55022-2022")</f>
        <v/>
      </c>
      <c r="AB77">
        <f>HYPERLINK("https://klasma.github.io/Logging_0581/klagomålsmail/A 55022-2022 FSC-klagomål mail.docx", "A 55022-2022")</f>
        <v/>
      </c>
      <c r="AC77">
        <f>HYPERLINK("https://klasma.github.io/Logging_0581/tillsyn/A 55022-2022 tillsynsbegäran.docx", "A 55022-2022")</f>
        <v/>
      </c>
      <c r="AD77">
        <f>HYPERLINK("https://klasma.github.io/Logging_0581/tillsynsmail/A 55022-2022 tillsynsbegäran mail.docx", "A 55022-2022")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46250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12188-2026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46086</v>
      </c>
      <c r="E80" s="1" t="n">
        <v>46250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7.8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Korallrot</t>
        </is>
      </c>
      <c r="W80">
        <f>HYPERLINK("https://klasma.github.io/Logging_0581/artfynd/A 12188-2026 artfynd.xlsx", "A 12188-2026")</f>
        <v/>
      </c>
      <c r="X80">
        <f>HYPERLINK("https://klasma.github.io/Logging_0581/kartor/A 12188-2026 karta.png", "A 12188-2026")</f>
        <v/>
      </c>
      <c r="Y80">
        <f>HYPERLINK("https://klasma.github.io/Logging_0581/kartor_geotiff/A 12188-2026 georefererad karta.tif", "A 12188-2026")</f>
        <v/>
      </c>
      <c r="AA80">
        <f>HYPERLINK("https://klasma.github.io/Logging_0581/klagomål/A 12188-2026 FSC-klagomål.docx", "A 12188-2026")</f>
        <v/>
      </c>
      <c r="AB80">
        <f>HYPERLINK("https://klasma.github.io/Logging_0581/klagomålsmail/A 12188-2026 FSC-klagomål mail.docx", "A 12188-2026")</f>
        <v/>
      </c>
      <c r="AC80">
        <f>HYPERLINK("https://klasma.github.io/Logging_0581/tillsyn/A 12188-2026 tillsynsbegäran.docx", "A 12188-2026")</f>
        <v/>
      </c>
      <c r="AD80">
        <f>HYPERLINK("https://klasma.github.io/Logging_0581/tillsynsmail/A 12188-2026 tillsynsbegäran mail.docx", "A 12188-2026")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46250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Ekoxe
Stuplav</t>
        </is>
      </c>
      <c r="W81">
        <f>HYPERLINK("https://klasma.github.io/Logging_0581/artfynd/A 48735-2025 artfynd.xlsx", "A 48735-2025")</f>
        <v/>
      </c>
      <c r="X81">
        <f>HYPERLINK("https://klasma.github.io/Logging_0581/kartor/A 48735-2025 karta.png", "A 48735-2025")</f>
        <v/>
      </c>
      <c r="Y81">
        <f>HYPERLINK("https://klasma.github.io/Logging_0581/kartor_geotiff/A 48735-2025 georefererad karta.tif", "A 48735-2025")</f>
        <v/>
      </c>
      <c r="AA81">
        <f>HYPERLINK("https://klasma.github.io/Logging_0581/klagomål/A 48735-2025 FSC-klagomål.docx", "A 48735-2025")</f>
        <v/>
      </c>
      <c r="AB81">
        <f>HYPERLINK("https://klasma.github.io/Logging_0581/klagomålsmail/A 48735-2025 FSC-klagomål mail.docx", "A 48735-2025")</f>
        <v/>
      </c>
      <c r="AC81">
        <f>HYPERLINK("https://klasma.github.io/Logging_0581/tillsyn/A 48735-2025 tillsynsbegäran.docx", "A 48735-2025")</f>
        <v/>
      </c>
      <c r="AD81">
        <f>HYPERLINK("https://klasma.github.io/Logging_0581/tillsynsmail/A 48735-2025 tillsynsbegäran mail.docx", "A 48735-2025")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46250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46250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14459-2024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45394</v>
      </c>
      <c r="E84" s="1" t="n">
        <v>46250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0.7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Talltita</t>
        </is>
      </c>
      <c r="W84">
        <f>HYPERLINK("https://klasma.github.io/Logging_0581/artfynd/A 14459-2024 artfynd.xlsx", "A 14459-2024")</f>
        <v/>
      </c>
      <c r="X84">
        <f>HYPERLINK("https://klasma.github.io/Logging_0581/kartor/A 14459-2024 karta.png", "A 14459-2024")</f>
        <v/>
      </c>
      <c r="Y84">
        <f>HYPERLINK("https://klasma.github.io/Logging_0581/kartor_geotiff/A 14459-2024 georefererad karta.tif", "A 14459-2024")</f>
        <v/>
      </c>
      <c r="AA84">
        <f>HYPERLINK("https://klasma.github.io/Logging_0581/klagomål/A 14459-2024 FSC-klagomål.docx", "A 14459-2024")</f>
        <v/>
      </c>
      <c r="AB84">
        <f>HYPERLINK("https://klasma.github.io/Logging_0581/klagomålsmail/A 14459-2024 FSC-klagomål mail.docx", "A 14459-2024")</f>
        <v/>
      </c>
      <c r="AC84">
        <f>HYPERLINK("https://klasma.github.io/Logging_0581/tillsyn/A 14459-2024 tillsynsbegäran.docx", "A 14459-2024")</f>
        <v/>
      </c>
      <c r="AD84">
        <f>HYPERLINK("https://klasma.github.io/Logging_0581/tillsynsmail/A 14459-2024 tillsynsbegäran mail.docx", "A 14459-2024")</f>
        <v/>
      </c>
      <c r="AE84">
        <f>HYPERLINK("https://klasma.github.io/Logging_0581/fåglar/A 14459-2024 prioriterade fågelarter.docx", "A 14459-2024")</f>
        <v/>
      </c>
    </row>
    <row r="85" ht="15" customHeight="1">
      <c r="A85" t="inlineStr">
        <is>
          <t>A 49869-2021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46250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Jungfrulin
Knippnejlika</t>
        </is>
      </c>
      <c r="W85">
        <f>HYPERLINK("https://klasma.github.io/Logging_0581/artfynd/A 49869-2021 artfynd.xlsx", "A 49869-2021")</f>
        <v/>
      </c>
      <c r="X85">
        <f>HYPERLINK("https://klasma.github.io/Logging_0581/kartor/A 49869-2021 karta.png", "A 49869-2021")</f>
        <v/>
      </c>
      <c r="Y85">
        <f>HYPERLINK("https://klasma.github.io/Logging_0581/kartor_geotiff/A 49869-2021 georefererad karta.tif", "A 49869-2021")</f>
        <v/>
      </c>
      <c r="AA85">
        <f>HYPERLINK("https://klasma.github.io/Logging_0581/klagomål/A 49869-2021 FSC-klagomål.docx", "A 49869-2021")</f>
        <v/>
      </c>
      <c r="AB85">
        <f>HYPERLINK("https://klasma.github.io/Logging_0581/klagomålsmail/A 49869-2021 FSC-klagomål mail.docx", "A 49869-2021")</f>
        <v/>
      </c>
      <c r="AC85">
        <f>HYPERLINK("https://klasma.github.io/Logging_0581/tillsyn/A 49869-2021 tillsynsbegäran.docx", "A 49869-2021")</f>
        <v/>
      </c>
      <c r="AD85">
        <f>HYPERLINK("https://klasma.github.io/Logging_0581/tillsynsmail/A 49869-2021 tillsynsbegäran mail.docx", "A 49869-2021")</f>
        <v/>
      </c>
    </row>
    <row r="86" ht="15" customHeight="1">
      <c r="A86" t="inlineStr">
        <is>
          <t>A 4826-2023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46250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5.1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Bårdlav
Havsörn</t>
        </is>
      </c>
      <c r="W86">
        <f>HYPERLINK("https://klasma.github.io/Logging_0581/artfynd/A 4826-2023 artfynd.xlsx", "A 4826-2023")</f>
        <v/>
      </c>
      <c r="X86">
        <f>HYPERLINK("https://klasma.github.io/Logging_0581/kartor/A 4826-2023 karta.png", "A 4826-2023")</f>
        <v/>
      </c>
      <c r="Y86">
        <f>HYPERLINK("https://klasma.github.io/Logging_0581/kartor_geotiff/A 4826-2023 georefererad karta.tif", "A 4826-2023")</f>
        <v/>
      </c>
      <c r="AA86">
        <f>HYPERLINK("https://klasma.github.io/Logging_0581/klagomål/A 4826-2023 FSC-klagomål.docx", "A 4826-2023")</f>
        <v/>
      </c>
      <c r="AB86">
        <f>HYPERLINK("https://klasma.github.io/Logging_0581/klagomålsmail/A 4826-2023 FSC-klagomål mail.docx", "A 4826-2023")</f>
        <v/>
      </c>
      <c r="AC86">
        <f>HYPERLINK("https://klasma.github.io/Logging_0581/tillsyn/A 4826-2023 tillsynsbegäran.docx", "A 4826-2023")</f>
        <v/>
      </c>
      <c r="AD86">
        <f>HYPERLINK("https://klasma.github.io/Logging_0581/tillsynsmail/A 4826-2023 tillsynsbegäran mail.docx", "A 4826-2023")</f>
        <v/>
      </c>
      <c r="AE86">
        <f>HYPERLINK("https://klasma.github.io/Logging_0581/fåglar/A 4826-2023 prioriterade fågelarter.docx", "A 4826-2023")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46250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46250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20377-2023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46250</v>
      </c>
      <c r="F89" t="inlineStr">
        <is>
          <t>ÖSTERGÖTLANDS LÄN</t>
        </is>
      </c>
      <c r="G89" t="inlineStr">
        <is>
          <t>NORRKÖPING</t>
        </is>
      </c>
      <c r="I89" t="n">
        <v>0.5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Tallticka
Kungsfågel</t>
        </is>
      </c>
      <c r="W89">
        <f>HYPERLINK("https://klasma.github.io/Logging_0581/artfynd/A 20377-2023 artfynd.xlsx", "A 20377-2023")</f>
        <v/>
      </c>
      <c r="X89">
        <f>HYPERLINK("https://klasma.github.io/Logging_0581/kartor/A 20377-2023 karta.png", "A 20377-2023")</f>
        <v/>
      </c>
      <c r="Y89">
        <f>HYPERLINK("https://klasma.github.io/Logging_0581/kartor_geotiff/A 20377-2023 georefererad karta.tif", "A 20377-2023")</f>
        <v/>
      </c>
      <c r="AA89">
        <f>HYPERLINK("https://klasma.github.io/Logging_0581/klagomål/A 20377-2023 FSC-klagomål.docx", "A 20377-2023")</f>
        <v/>
      </c>
      <c r="AB89">
        <f>HYPERLINK("https://klasma.github.io/Logging_0581/klagomålsmail/A 20377-2023 FSC-klagomål mail.docx", "A 20377-2023")</f>
        <v/>
      </c>
      <c r="AC89">
        <f>HYPERLINK("https://klasma.github.io/Logging_0581/tillsyn/A 20377-2023 tillsynsbegäran.docx", "A 20377-2023")</f>
        <v/>
      </c>
      <c r="AD89">
        <f>HYPERLINK("https://klasma.github.io/Logging_0581/tillsynsmail/A 20377-2023 tillsynsbegäran mail.docx", "A 20377-2023")</f>
        <v/>
      </c>
    </row>
    <row r="90" ht="15" customHeight="1">
      <c r="A90" t="inlineStr">
        <is>
          <t>A 49366-2021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46250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Sårläka</t>
        </is>
      </c>
      <c r="W90">
        <f>HYPERLINK("https://klasma.github.io/Logging_0581/artfynd/A 49366-2021 artfynd.xlsx", "A 49366-2021")</f>
        <v/>
      </c>
      <c r="X90">
        <f>HYPERLINK("https://klasma.github.io/Logging_0581/kartor/A 49366-2021 karta.png", "A 49366-2021")</f>
        <v/>
      </c>
      <c r="Y90">
        <f>HYPERLINK("https://klasma.github.io/Logging_0581/kartor_geotiff/A 49366-2021 georefererad karta.tif", "A 49366-2021")</f>
        <v/>
      </c>
      <c r="Z90">
        <f>HYPERLINK("https://klasma.github.io/Logging_0581/knärot/A 49366-2021 karta knärot.png", "A 49366-2021")</f>
        <v/>
      </c>
      <c r="AA90">
        <f>HYPERLINK("https://klasma.github.io/Logging_0581/klagomål/A 49366-2021 FSC-klagomål.docx", "A 49366-2021")</f>
        <v/>
      </c>
      <c r="AB90">
        <f>HYPERLINK("https://klasma.github.io/Logging_0581/klagomålsmail/A 49366-2021 FSC-klagomål mail.docx", "A 49366-2021")</f>
        <v/>
      </c>
      <c r="AC90">
        <f>HYPERLINK("https://klasma.github.io/Logging_0581/tillsyn/A 49366-2021 tillsynsbegäran.docx", "A 49366-2021")</f>
        <v/>
      </c>
      <c r="AD90">
        <f>HYPERLINK("https://klasma.github.io/Logging_0581/tillsynsmail/A 49366-2021 tillsynsbegäran mail.docx", "A 49366-2021")</f>
        <v/>
      </c>
    </row>
    <row r="91" ht="15" customHeight="1">
      <c r="A91" t="inlineStr">
        <is>
          <t>A 11490-2023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46250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Mattlummer
Trädlärka</t>
        </is>
      </c>
      <c r="W91">
        <f>HYPERLINK("https://klasma.github.io/Logging_0581/artfynd/A 11490-2023 artfynd.xlsx", "A 11490-2023")</f>
        <v/>
      </c>
      <c r="X91">
        <f>HYPERLINK("https://klasma.github.io/Logging_0581/kartor/A 11490-2023 karta.png", "A 11490-2023")</f>
        <v/>
      </c>
      <c r="Y91">
        <f>HYPERLINK("https://klasma.github.io/Logging_0581/kartor_geotiff/A 11490-2023 georefererad karta.tif", "A 11490-2023")</f>
        <v/>
      </c>
      <c r="AA91">
        <f>HYPERLINK("https://klasma.github.io/Logging_0581/klagomål/A 11490-2023 FSC-klagomål.docx", "A 11490-2023")</f>
        <v/>
      </c>
      <c r="AB91">
        <f>HYPERLINK("https://klasma.github.io/Logging_0581/klagomålsmail/A 11490-2023 FSC-klagomål mail.docx", "A 11490-2023")</f>
        <v/>
      </c>
      <c r="AC91">
        <f>HYPERLINK("https://klasma.github.io/Logging_0581/tillsyn/A 11490-2023 tillsynsbegäran.docx", "A 11490-2023")</f>
        <v/>
      </c>
      <c r="AD91">
        <f>HYPERLINK("https://klasma.github.io/Logging_0581/tillsynsmail/A 11490-2023 tillsynsbegäran mail.docx", "A 11490-2023")</f>
        <v/>
      </c>
      <c r="AE91">
        <f>HYPERLINK("https://klasma.github.io/Logging_0581/fåglar/A 11490-2023 prioriterade fågelarter.docx", "A 11490-2023")</f>
        <v/>
      </c>
    </row>
    <row r="92" ht="15" customHeight="1">
      <c r="A92" t="inlineStr">
        <is>
          <t>A 25291-2023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46250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Slåtterfibbla
Svartvit flugsnappare</t>
        </is>
      </c>
      <c r="W92">
        <f>HYPERLINK("https://klasma.github.io/Logging_0581/artfynd/A 25291-2023 artfynd.xlsx", "A 25291-2023")</f>
        <v/>
      </c>
      <c r="X92">
        <f>HYPERLINK("https://klasma.github.io/Logging_0581/kartor/A 25291-2023 karta.png", "A 25291-2023")</f>
        <v/>
      </c>
      <c r="Y92">
        <f>HYPERLINK("https://klasma.github.io/Logging_0581/kartor_geotiff/A 25291-2023 georefererad karta.tif", "A 25291-2023")</f>
        <v/>
      </c>
      <c r="AA92">
        <f>HYPERLINK("https://klasma.github.io/Logging_0581/klagomål/A 25291-2023 FSC-klagomål.docx", "A 25291-2023")</f>
        <v/>
      </c>
      <c r="AB92">
        <f>HYPERLINK("https://klasma.github.io/Logging_0581/klagomålsmail/A 25291-2023 FSC-klagomål mail.docx", "A 25291-2023")</f>
        <v/>
      </c>
      <c r="AC92">
        <f>HYPERLINK("https://klasma.github.io/Logging_0581/tillsyn/A 25291-2023 tillsynsbegäran.docx", "A 25291-2023")</f>
        <v/>
      </c>
      <c r="AD92">
        <f>HYPERLINK("https://klasma.github.io/Logging_0581/tillsynsmail/A 25291-2023 tillsynsbegäran mail.docx", "A 25291-2023")</f>
        <v/>
      </c>
    </row>
    <row r="93" ht="15" customHeight="1">
      <c r="A93" t="inlineStr">
        <is>
          <t>A 27503-2022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44742</v>
      </c>
      <c r="E93" s="1" t="n">
        <v>46250</v>
      </c>
      <c r="F93" t="inlineStr">
        <is>
          <t>ÖSTERGÖTLANDS LÄN</t>
        </is>
      </c>
      <c r="G93" t="inlineStr">
        <is>
          <t>NORRKÖPING</t>
        </is>
      </c>
      <c r="I93" t="n">
        <v>2.9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Svinrot
Ängsskära</t>
        </is>
      </c>
      <c r="W93">
        <f>HYPERLINK("https://klasma.github.io/Logging_0581/artfynd/A 27503-2022 artfynd.xlsx", "A 27503-2022")</f>
        <v/>
      </c>
      <c r="X93">
        <f>HYPERLINK("https://klasma.github.io/Logging_0581/kartor/A 27503-2022 karta.png", "A 27503-2022")</f>
        <v/>
      </c>
      <c r="Y93">
        <f>HYPERLINK("https://klasma.github.io/Logging_0581/kartor_geotiff/A 27503-2022 georefererad karta.tif", "A 27503-2022")</f>
        <v/>
      </c>
      <c r="AA93">
        <f>HYPERLINK("https://klasma.github.io/Logging_0581/klagomål/A 27503-2022 FSC-klagomål.docx", "A 27503-2022")</f>
        <v/>
      </c>
      <c r="AB93">
        <f>HYPERLINK("https://klasma.github.io/Logging_0581/klagomålsmail/A 27503-2022 FSC-klagomål mail.docx", "A 27503-2022")</f>
        <v/>
      </c>
      <c r="AC93">
        <f>HYPERLINK("https://klasma.github.io/Logging_0581/tillsyn/A 27503-2022 tillsynsbegäran.docx", "A 27503-2022")</f>
        <v/>
      </c>
      <c r="AD93">
        <f>HYPERLINK("https://klasma.github.io/Logging_0581/tillsynsmail/A 27503-2022 tillsynsbegäran mail.docx", "A 27503-2022")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46250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8987-2023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46250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Vedskivlav
Grovticka</t>
        </is>
      </c>
      <c r="W95">
        <f>HYPERLINK("https://klasma.github.io/Logging_0581/artfynd/A 8987-2023 artfynd.xlsx", "A 8987-2023")</f>
        <v/>
      </c>
      <c r="X95">
        <f>HYPERLINK("https://klasma.github.io/Logging_0581/kartor/A 8987-2023 karta.png", "A 8987-2023")</f>
        <v/>
      </c>
      <c r="Y95">
        <f>HYPERLINK("https://klasma.github.io/Logging_0581/kartor_geotiff/A 8987-2023 georefererad karta.tif", "A 8987-2023")</f>
        <v/>
      </c>
      <c r="AA95">
        <f>HYPERLINK("https://klasma.github.io/Logging_0581/klagomål/A 8987-2023 FSC-klagomål.docx", "A 8987-2023")</f>
        <v/>
      </c>
      <c r="AB95">
        <f>HYPERLINK("https://klasma.github.io/Logging_0581/klagomålsmail/A 8987-2023 FSC-klagomål mail.docx", "A 8987-2023")</f>
        <v/>
      </c>
      <c r="AC95">
        <f>HYPERLINK("https://klasma.github.io/Logging_0581/tillsyn/A 8987-2023 tillsynsbegäran.docx", "A 8987-2023")</f>
        <v/>
      </c>
      <c r="AD95">
        <f>HYPERLINK("https://klasma.github.io/Logging_0581/tillsynsmail/A 8987-2023 tillsynsbegäran mail.docx", "A 8987-2023")</f>
        <v/>
      </c>
    </row>
    <row r="96" ht="15" customHeight="1">
      <c r="A96" t="inlineStr">
        <is>
          <t>A 10553-2025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46250</v>
      </c>
      <c r="F96" t="inlineStr">
        <is>
          <t>ÖSTERGÖTLANDS LÄN</t>
        </is>
      </c>
      <c r="G96" t="inlineStr">
        <is>
          <t>NORRKÖPING</t>
        </is>
      </c>
      <c r="I96" t="n">
        <v>2.2</v>
      </c>
      <c r="J96" t="n">
        <v>2</v>
      </c>
      <c r="K96" t="n">
        <v>0</v>
      </c>
      <c r="L96" t="n">
        <v>1</v>
      </c>
      <c r="M96" t="n">
        <v>0</v>
      </c>
      <c r="N96" t="n">
        <v>1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Ejder
Rosenfink</t>
        </is>
      </c>
      <c r="W96">
        <f>HYPERLINK("https://klasma.github.io/Logging_0581/artfynd/A 10553-2025 artfynd.xlsx", "A 10553-2025")</f>
        <v/>
      </c>
      <c r="X96">
        <f>HYPERLINK("https://klasma.github.io/Logging_0581/kartor/A 10553-2025 karta.png", "A 10553-2025")</f>
        <v/>
      </c>
      <c r="Y96">
        <f>HYPERLINK("https://klasma.github.io/Logging_0581/kartor_geotiff/A 10553-2025 georefererad karta.tif", "A 10553-2025")</f>
        <v/>
      </c>
      <c r="AA96">
        <f>HYPERLINK("https://klasma.github.io/Logging_0581/klagomål/A 10553-2025 FSC-klagomål.docx", "A 10553-2025")</f>
        <v/>
      </c>
      <c r="AB96">
        <f>HYPERLINK("https://klasma.github.io/Logging_0581/klagomålsmail/A 10553-2025 FSC-klagomål mail.docx", "A 10553-2025")</f>
        <v/>
      </c>
      <c r="AC96">
        <f>HYPERLINK("https://klasma.github.io/Logging_0581/tillsyn/A 10553-2025 tillsynsbegäran.docx", "A 10553-2025")</f>
        <v/>
      </c>
      <c r="AD96">
        <f>HYPERLINK("https://klasma.github.io/Logging_0581/tillsynsmail/A 10553-2025 tillsynsbegäran mail.docx", "A 10553-2025")</f>
        <v/>
      </c>
      <c r="AE96">
        <f>HYPERLINK("https://klasma.github.io/Logging_0581/fåglar/A 10553-2025 prioriterade fågelarter.docx", "A 10553-2025")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46250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53852-2022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44880</v>
      </c>
      <c r="E98" s="1" t="n">
        <v>46250</v>
      </c>
      <c r="F98" t="inlineStr">
        <is>
          <t>ÖSTERGÖTLANDS LÄN</t>
        </is>
      </c>
      <c r="G98" t="inlineStr">
        <is>
          <t>NORRKÖPING</t>
        </is>
      </c>
      <c r="I98" t="n">
        <v>1.8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Tibast
Blåsippa</t>
        </is>
      </c>
      <c r="W98">
        <f>HYPERLINK("https://klasma.github.io/Logging_0581/artfynd/A 53852-2022 artfynd.xlsx", "A 53852-2022")</f>
        <v/>
      </c>
      <c r="X98">
        <f>HYPERLINK("https://klasma.github.io/Logging_0581/kartor/A 53852-2022 karta.png", "A 53852-2022")</f>
        <v/>
      </c>
      <c r="Y98">
        <f>HYPERLINK("https://klasma.github.io/Logging_0581/kartor_geotiff/A 53852-2022 georefererad karta.tif", "A 53852-2022")</f>
        <v/>
      </c>
      <c r="AA98">
        <f>HYPERLINK("https://klasma.github.io/Logging_0581/klagomål/A 53852-2022 FSC-klagomål.docx", "A 53852-2022")</f>
        <v/>
      </c>
      <c r="AB98">
        <f>HYPERLINK("https://klasma.github.io/Logging_0581/klagomålsmail/A 53852-2022 FSC-klagomål mail.docx", "A 53852-2022")</f>
        <v/>
      </c>
      <c r="AC98">
        <f>HYPERLINK("https://klasma.github.io/Logging_0581/tillsyn/A 53852-2022 tillsynsbegäran.docx", "A 53852-2022")</f>
        <v/>
      </c>
      <c r="AD98">
        <f>HYPERLINK("https://klasma.github.io/Logging_0581/tillsynsmail/A 53852-2022 tillsynsbegäran mail.docx", "A 53852-2022")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46250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46250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46692-2024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46250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1.4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Dvärgbägarlav
Flagellkvastmossa</t>
        </is>
      </c>
      <c r="W101">
        <f>HYPERLINK("https://klasma.github.io/Logging_0581/artfynd/A 46692-2024 artfynd.xlsx", "A 46692-2024")</f>
        <v/>
      </c>
      <c r="X101">
        <f>HYPERLINK("https://klasma.github.io/Logging_0581/kartor/A 46692-2024 karta.png", "A 46692-2024")</f>
        <v/>
      </c>
      <c r="Y101">
        <f>HYPERLINK("https://klasma.github.io/Logging_0581/kartor_geotiff/A 46692-2024 georefererad karta.tif", "A 46692-2024")</f>
        <v/>
      </c>
      <c r="AA101">
        <f>HYPERLINK("https://klasma.github.io/Logging_0581/klagomål/A 46692-2024 FSC-klagomål.docx", "A 46692-2024")</f>
        <v/>
      </c>
      <c r="AB101">
        <f>HYPERLINK("https://klasma.github.io/Logging_0581/klagomålsmail/A 46692-2024 FSC-klagomål mail.docx", "A 46692-2024")</f>
        <v/>
      </c>
      <c r="AC101">
        <f>HYPERLINK("https://klasma.github.io/Logging_0581/tillsyn/A 46692-2024 tillsynsbegäran.docx", "A 46692-2024")</f>
        <v/>
      </c>
      <c r="AD101">
        <f>HYPERLINK("https://klasma.github.io/Logging_0581/tillsynsmail/A 46692-2024 tillsynsbegäran mail.docx", "A 46692-2024")</f>
        <v/>
      </c>
    </row>
    <row r="102" ht="15" customHeight="1">
      <c r="A102" t="inlineStr">
        <is>
          <t>A 18682-2025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46250</v>
      </c>
      <c r="F102" t="inlineStr">
        <is>
          <t>ÖSTERGÖTLANDS LÄN</t>
        </is>
      </c>
      <c r="G102" t="inlineStr">
        <is>
          <t>NORRKÖPING</t>
        </is>
      </c>
      <c r="I102" t="n">
        <v>8.1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Jungfrulin
Blåmossa</t>
        </is>
      </c>
      <c r="W102">
        <f>HYPERLINK("https://klasma.github.io/Logging_0581/artfynd/A 18682-2025 artfynd.xlsx", "A 18682-2025")</f>
        <v/>
      </c>
      <c r="X102">
        <f>HYPERLINK("https://klasma.github.io/Logging_0581/kartor/A 18682-2025 karta.png", "A 18682-2025")</f>
        <v/>
      </c>
      <c r="Y102">
        <f>HYPERLINK("https://klasma.github.io/Logging_0581/kartor_geotiff/A 18682-2025 georefererad karta.tif", "A 18682-2025")</f>
        <v/>
      </c>
      <c r="AA102">
        <f>HYPERLINK("https://klasma.github.io/Logging_0581/klagomål/A 18682-2025 FSC-klagomål.docx", "A 18682-2025")</f>
        <v/>
      </c>
      <c r="AB102">
        <f>HYPERLINK("https://klasma.github.io/Logging_0581/klagomålsmail/A 18682-2025 FSC-klagomål mail.docx", "A 18682-2025")</f>
        <v/>
      </c>
      <c r="AC102">
        <f>HYPERLINK("https://klasma.github.io/Logging_0581/tillsyn/A 18682-2025 tillsynsbegäran.docx", "A 18682-2025")</f>
        <v/>
      </c>
      <c r="AD102">
        <f>HYPERLINK("https://klasma.github.io/Logging_0581/tillsynsmail/A 18682-2025 tillsynsbegäran mail.docx", "A 18682-2025")</f>
        <v/>
      </c>
    </row>
    <row r="103" ht="15" customHeight="1">
      <c r="A103" t="inlineStr">
        <is>
          <t>A 21799-2025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46250</v>
      </c>
      <c r="F103" t="inlineStr">
        <is>
          <t>ÖSTERGÖTLANDS LÄN</t>
        </is>
      </c>
      <c r="G103" t="inlineStr">
        <is>
          <t>NORRKÖPING</t>
        </is>
      </c>
      <c r="I103" t="n">
        <v>3.5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Revlummer</t>
        </is>
      </c>
      <c r="W103">
        <f>HYPERLINK("https://klasma.github.io/Logging_0581/artfynd/A 21799-2025 artfynd.xlsx", "A 21799-2025")</f>
        <v/>
      </c>
      <c r="X103">
        <f>HYPERLINK("https://klasma.github.io/Logging_0581/kartor/A 21799-2025 karta.png", "A 21799-2025")</f>
        <v/>
      </c>
      <c r="Y103">
        <f>HYPERLINK("https://klasma.github.io/Logging_0581/kartor_geotiff/A 21799-2025 georefererad karta.tif", "A 21799-2025")</f>
        <v/>
      </c>
      <c r="AA103">
        <f>HYPERLINK("https://klasma.github.io/Logging_0581/klagomål/A 21799-2025 FSC-klagomål.docx", "A 21799-2025")</f>
        <v/>
      </c>
      <c r="AB103">
        <f>HYPERLINK("https://klasma.github.io/Logging_0581/klagomålsmail/A 21799-2025 FSC-klagomål mail.docx", "A 21799-2025")</f>
        <v/>
      </c>
      <c r="AC103">
        <f>HYPERLINK("https://klasma.github.io/Logging_0581/tillsyn/A 21799-2025 tillsynsbegäran.docx", "A 21799-2025")</f>
        <v/>
      </c>
      <c r="AD103">
        <f>HYPERLINK("https://klasma.github.io/Logging_0581/tillsynsmail/A 21799-2025 tillsynsbegäran mail.docx", "A 21799-2025")</f>
        <v/>
      </c>
    </row>
    <row r="104" ht="15" customHeight="1">
      <c r="A104" t="inlineStr">
        <is>
          <t>A 31298-2026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46250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Blåmossa
Orre</t>
        </is>
      </c>
      <c r="W104">
        <f>HYPERLINK("https://klasma.github.io/Logging_0581/artfynd/A 31298-2026 artfynd.xlsx", "A 31298-2026")</f>
        <v/>
      </c>
      <c r="X104">
        <f>HYPERLINK("https://klasma.github.io/Logging_0581/kartor/A 31298-2026 karta.png", "A 31298-2026")</f>
        <v/>
      </c>
      <c r="Y104">
        <f>HYPERLINK("https://klasma.github.io/Logging_0581/kartor_geotiff/A 31298-2026 georefererad karta.tif", "A 31298-2026")</f>
        <v/>
      </c>
      <c r="AA104">
        <f>HYPERLINK("https://klasma.github.io/Logging_0581/klagomål/A 31298-2026 FSC-klagomål.docx", "A 31298-2026")</f>
        <v/>
      </c>
      <c r="AB104">
        <f>HYPERLINK("https://klasma.github.io/Logging_0581/klagomålsmail/A 31298-2026 FSC-klagomål mail.docx", "A 31298-2026")</f>
        <v/>
      </c>
      <c r="AC104">
        <f>HYPERLINK("https://klasma.github.io/Logging_0581/tillsyn/A 31298-2026 tillsynsbegäran.docx", "A 31298-2026")</f>
        <v/>
      </c>
      <c r="AD104">
        <f>HYPERLINK("https://klasma.github.io/Logging_0581/tillsynsmail/A 31298-2026 tillsynsbegäran mail.docx", "A 31298-2026")</f>
        <v/>
      </c>
      <c r="AE104">
        <f>HYPERLINK("https://klasma.github.io/Logging_0581/fåglar/A 31298-2026 prioriterade fågelarter.docx", "A 31298-2026")</f>
        <v/>
      </c>
    </row>
    <row r="105" ht="15" customHeight="1">
      <c r="A105" t="inlineStr">
        <is>
          <t>A 31264-2026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46250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Vedskivlav
Fläcknycklar</t>
        </is>
      </c>
      <c r="W105">
        <f>HYPERLINK("https://klasma.github.io/Logging_0581/artfynd/A 31264-2026 artfynd.xlsx", "A 31264-2026")</f>
        <v/>
      </c>
      <c r="X105">
        <f>HYPERLINK("https://klasma.github.io/Logging_0581/kartor/A 31264-2026 karta.png", "A 31264-2026")</f>
        <v/>
      </c>
      <c r="Y105">
        <f>HYPERLINK("https://klasma.github.io/Logging_0581/kartor_geotiff/A 31264-2026 georefererad karta.tif", "A 31264-2026")</f>
        <v/>
      </c>
      <c r="AA105">
        <f>HYPERLINK("https://klasma.github.io/Logging_0581/klagomål/A 31264-2026 FSC-klagomål.docx", "A 31264-2026")</f>
        <v/>
      </c>
      <c r="AB105">
        <f>HYPERLINK("https://klasma.github.io/Logging_0581/klagomålsmail/A 31264-2026 FSC-klagomål mail.docx", "A 31264-2026")</f>
        <v/>
      </c>
      <c r="AC105">
        <f>HYPERLINK("https://klasma.github.io/Logging_0581/tillsyn/A 31264-2026 tillsynsbegäran.docx", "A 31264-2026")</f>
        <v/>
      </c>
      <c r="AD105">
        <f>HYPERLINK("https://klasma.github.io/Logging_0581/tillsynsmail/A 31264-2026 tillsynsbegäran mail.docx", "A 31264-2026")</f>
        <v/>
      </c>
    </row>
    <row r="106" ht="15" customHeight="1">
      <c r="A106" t="inlineStr">
        <is>
          <t>A 31335-2026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46250</v>
      </c>
      <c r="F106" t="inlineStr">
        <is>
          <t>ÖSTERGÖTLANDS LÄN</t>
        </is>
      </c>
      <c r="G106" t="inlineStr">
        <is>
          <t>NORRKÖPING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Bredbrämad bastardsvärmare
Älg</t>
        </is>
      </c>
      <c r="W106">
        <f>HYPERLINK("https://klasma.github.io/Logging_0581/artfynd/A 31335-2026 artfynd.xlsx", "A 31335-2026")</f>
        <v/>
      </c>
      <c r="X106">
        <f>HYPERLINK("https://klasma.github.io/Logging_0581/kartor/A 31335-2026 karta.png", "A 31335-2026")</f>
        <v/>
      </c>
      <c r="Y106">
        <f>HYPERLINK("https://klasma.github.io/Logging_0581/kartor_geotiff/A 31335-2026 georefererad karta.tif", "A 31335-2026")</f>
        <v/>
      </c>
      <c r="AA106">
        <f>HYPERLINK("https://klasma.github.io/Logging_0581/klagomål/A 31335-2026 FSC-klagomål.docx", "A 31335-2026")</f>
        <v/>
      </c>
      <c r="AB106">
        <f>HYPERLINK("https://klasma.github.io/Logging_0581/klagomålsmail/A 31335-2026 FSC-klagomål mail.docx", "A 31335-2026")</f>
        <v/>
      </c>
      <c r="AC106">
        <f>HYPERLINK("https://klasma.github.io/Logging_0581/tillsyn/A 31335-2026 tillsynsbegäran.docx", "A 31335-2026")</f>
        <v/>
      </c>
      <c r="AD106">
        <f>HYPERLINK("https://klasma.github.io/Logging_0581/tillsynsmail/A 31335-2026 tillsynsbegäran mail.docx", "A 31335-2026")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46250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46250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10769-2024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45369</v>
      </c>
      <c r="E109" s="1" t="n">
        <v>46250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2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Tjäder</t>
        </is>
      </c>
      <c r="W109">
        <f>HYPERLINK("https://klasma.github.io/Logging_0581/artfynd/A 10769-2024 artfynd.xlsx", "A 10769-2024")</f>
        <v/>
      </c>
      <c r="X109">
        <f>HYPERLINK("https://klasma.github.io/Logging_0581/kartor/A 10769-2024 karta.png", "A 10769-2024")</f>
        <v/>
      </c>
      <c r="Y109">
        <f>HYPERLINK("https://klasma.github.io/Logging_0581/kartor_geotiff/A 10769-2024 georefererad karta.tif", "A 10769-2024")</f>
        <v/>
      </c>
      <c r="AA109">
        <f>HYPERLINK("https://klasma.github.io/Logging_0581/klagomål/A 10769-2024 FSC-klagomål.docx", "A 10769-2024")</f>
        <v/>
      </c>
      <c r="AB109">
        <f>HYPERLINK("https://klasma.github.io/Logging_0581/klagomålsmail/A 10769-2024 FSC-klagomål mail.docx", "A 10769-2024")</f>
        <v/>
      </c>
      <c r="AC109">
        <f>HYPERLINK("https://klasma.github.io/Logging_0581/tillsyn/A 10769-2024 tillsynsbegäran.docx", "A 10769-2024")</f>
        <v/>
      </c>
      <c r="AD109">
        <f>HYPERLINK("https://klasma.github.io/Logging_0581/tillsynsmail/A 10769-2024 tillsynsbegäran mail.docx", "A 10769-2024")</f>
        <v/>
      </c>
      <c r="AE109">
        <f>HYPERLINK("https://klasma.github.io/Logging_0581/fåglar/A 10769-2024 prioriterade fågelarter.docx", "A 10769-2024")</f>
        <v/>
      </c>
    </row>
    <row r="110" ht="15" customHeight="1">
      <c r="A110" t="inlineStr">
        <is>
          <t>A 28796-2026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46250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Motaggsvamp
Kungsfågel</t>
        </is>
      </c>
      <c r="W110">
        <f>HYPERLINK("https://klasma.github.io/Logging_0581/artfynd/A 28796-2026 artfynd.xlsx", "A 28796-2026")</f>
        <v/>
      </c>
      <c r="X110">
        <f>HYPERLINK("https://klasma.github.io/Logging_0581/kartor/A 28796-2026 karta.png", "A 28796-2026")</f>
        <v/>
      </c>
      <c r="Y110">
        <f>HYPERLINK("https://klasma.github.io/Logging_0581/kartor_geotiff/A 28796-2026 georefererad karta.tif", "A 28796-2026")</f>
        <v/>
      </c>
      <c r="AA110">
        <f>HYPERLINK("https://klasma.github.io/Logging_0581/klagomål/A 28796-2026 FSC-klagomål.docx", "A 28796-2026")</f>
        <v/>
      </c>
      <c r="AB110">
        <f>HYPERLINK("https://klasma.github.io/Logging_0581/klagomålsmail/A 28796-2026 FSC-klagomål mail.docx", "A 28796-2026")</f>
        <v/>
      </c>
      <c r="AC110">
        <f>HYPERLINK("https://klasma.github.io/Logging_0581/tillsyn/A 28796-2026 tillsynsbegäran.docx", "A 28796-2026")</f>
        <v/>
      </c>
      <c r="AD110">
        <f>HYPERLINK("https://klasma.github.io/Logging_0581/tillsynsmail/A 28796-2026 tillsynsbegäran mail.docx", "A 28796-2026")</f>
        <v/>
      </c>
    </row>
    <row r="111" ht="15" customHeight="1">
      <c r="A111" t="inlineStr">
        <is>
          <t>A 28895-2026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46199</v>
      </c>
      <c r="E111" s="1" t="n">
        <v>46250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Motaggsvamp
Kungsfågel</t>
        </is>
      </c>
      <c r="W111">
        <f>HYPERLINK("https://klasma.github.io/Logging_0581/artfynd/A 28895-2026 artfynd.xlsx", "A 28895-2026")</f>
        <v/>
      </c>
      <c r="X111">
        <f>HYPERLINK("https://klasma.github.io/Logging_0581/kartor/A 28895-2026 karta.png", "A 28895-2026")</f>
        <v/>
      </c>
      <c r="Y111">
        <f>HYPERLINK("https://klasma.github.io/Logging_0581/kartor_geotiff/A 28895-2026 georefererad karta.tif", "A 28895-2026")</f>
        <v/>
      </c>
      <c r="AA111">
        <f>HYPERLINK("https://klasma.github.io/Logging_0581/klagomål/A 28895-2026 FSC-klagomål.docx", "A 28895-2026")</f>
        <v/>
      </c>
      <c r="AB111">
        <f>HYPERLINK("https://klasma.github.io/Logging_0581/klagomålsmail/A 28895-2026 FSC-klagomål mail.docx", "A 28895-2026")</f>
        <v/>
      </c>
      <c r="AC111">
        <f>HYPERLINK("https://klasma.github.io/Logging_0581/tillsyn/A 28895-2026 tillsynsbegäran.docx", "A 28895-2026")</f>
        <v/>
      </c>
      <c r="AD111">
        <f>HYPERLINK("https://klasma.github.io/Logging_0581/tillsynsmail/A 28895-2026 tillsynsbegäran mail.docx", "A 28895-2026")</f>
        <v/>
      </c>
    </row>
    <row r="112" ht="15" customHeight="1">
      <c r="A112" t="inlineStr">
        <is>
          <t>A 28893-2026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46199</v>
      </c>
      <c r="E112" s="1" t="n">
        <v>46250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Motaggsvamp
Kungsfågel</t>
        </is>
      </c>
      <c r="W112">
        <f>HYPERLINK("https://klasma.github.io/Logging_0581/artfynd/A 28893-2026 artfynd.xlsx", "A 28893-2026")</f>
        <v/>
      </c>
      <c r="X112">
        <f>HYPERLINK("https://klasma.github.io/Logging_0581/kartor/A 28893-2026 karta.png", "A 28893-2026")</f>
        <v/>
      </c>
      <c r="Y112">
        <f>HYPERLINK("https://klasma.github.io/Logging_0581/kartor_geotiff/A 28893-2026 georefererad karta.tif", "A 28893-2026")</f>
        <v/>
      </c>
      <c r="AA112">
        <f>HYPERLINK("https://klasma.github.io/Logging_0581/klagomål/A 28893-2026 FSC-klagomål.docx", "A 28893-2026")</f>
        <v/>
      </c>
      <c r="AB112">
        <f>HYPERLINK("https://klasma.github.io/Logging_0581/klagomålsmail/A 28893-2026 FSC-klagomål mail.docx", "A 28893-2026")</f>
        <v/>
      </c>
      <c r="AC112">
        <f>HYPERLINK("https://klasma.github.io/Logging_0581/tillsyn/A 28893-2026 tillsynsbegäran.docx", "A 28893-2026")</f>
        <v/>
      </c>
      <c r="AD112">
        <f>HYPERLINK("https://klasma.github.io/Logging_0581/tillsynsmail/A 28893-2026 tillsynsbegäran mail.docx", "A 28893-2026")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46250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46250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46250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46250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46250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Ängsnycklar</t>
        </is>
      </c>
      <c r="W117">
        <f>HYPERLINK("https://klasma.github.io/Logging_0581/artfynd/A 42188-2021 artfynd.xlsx", "A 42188-2021")</f>
        <v/>
      </c>
      <c r="X117">
        <f>HYPERLINK("https://klasma.github.io/Logging_0581/kartor/A 42188-2021 karta.png", "A 42188-2021")</f>
        <v/>
      </c>
      <c r="Y117">
        <f>HYPERLINK("https://klasma.github.io/Logging_0581/kartor_geotiff/A 42188-2021 georefererad karta.tif", "A 42188-2021")</f>
        <v/>
      </c>
      <c r="AA117">
        <f>HYPERLINK("https://klasma.github.io/Logging_0581/klagomål/A 42188-2021 FSC-klagomål.docx", "A 42188-2021")</f>
        <v/>
      </c>
      <c r="AB117">
        <f>HYPERLINK("https://klasma.github.io/Logging_0581/klagomålsmail/A 42188-2021 FSC-klagomål mail.docx", "A 42188-2021")</f>
        <v/>
      </c>
      <c r="AC117">
        <f>HYPERLINK("https://klasma.github.io/Logging_0581/tillsyn/A 42188-2021 tillsynsbegäran.docx", "A 42188-2021")</f>
        <v/>
      </c>
      <c r="AD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46250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48612-2021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46250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Skogsklocka</t>
        </is>
      </c>
      <c r="W119">
        <f>HYPERLINK("https://klasma.github.io/Logging_0581/artfynd/A 48612-2021 artfynd.xlsx", "A 48612-2021")</f>
        <v/>
      </c>
      <c r="X119">
        <f>HYPERLINK("https://klasma.github.io/Logging_0581/kartor/A 48612-2021 karta.png", "A 48612-2021")</f>
        <v/>
      </c>
      <c r="Y119">
        <f>HYPERLINK("https://klasma.github.io/Logging_0581/kartor_geotiff/A 48612-2021 georefererad karta.tif", "A 48612-2021")</f>
        <v/>
      </c>
      <c r="AA119">
        <f>HYPERLINK("https://klasma.github.io/Logging_0581/klagomål/A 48612-2021 FSC-klagomål.docx", "A 48612-2021")</f>
        <v/>
      </c>
      <c r="AB119">
        <f>HYPERLINK("https://klasma.github.io/Logging_0581/klagomålsmail/A 48612-2021 FSC-klagomål mail.docx", "A 48612-2021")</f>
        <v/>
      </c>
      <c r="AC119">
        <f>HYPERLINK("https://klasma.github.io/Logging_0581/tillsyn/A 48612-2021 tillsynsbegäran.docx", "A 48612-2021")</f>
        <v/>
      </c>
      <c r="AD119">
        <f>HYPERLINK("https://klasma.github.io/Logging_0581/tillsynsmail/A 48612-2021 tillsynsbegäran mail.docx", "A 48612-2021")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46250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46250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55412-2021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46250</v>
      </c>
      <c r="F122" t="inlineStr">
        <is>
          <t>ÖSTERGÖTLANDS LÄN</t>
        </is>
      </c>
      <c r="G122" t="inlineStr">
        <is>
          <t>NORRKÖPING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Vanlig groda</t>
        </is>
      </c>
      <c r="W122">
        <f>HYPERLINK("https://klasma.github.io/Logging_0581/artfynd/A 55412-2021 artfynd.xlsx", "A 55412-2021")</f>
        <v/>
      </c>
      <c r="X122">
        <f>HYPERLINK("https://klasma.github.io/Logging_0581/kartor/A 55412-2021 karta.png", "A 55412-2021")</f>
        <v/>
      </c>
      <c r="Y122">
        <f>HYPERLINK("https://klasma.github.io/Logging_0581/kartor_geotiff/A 55412-2021 georefererad karta.tif", "A 55412-2021")</f>
        <v/>
      </c>
      <c r="AA122">
        <f>HYPERLINK("https://klasma.github.io/Logging_0581/klagomål/A 55412-2021 FSC-klagomål.docx", "A 55412-2021")</f>
        <v/>
      </c>
      <c r="AB122">
        <f>HYPERLINK("https://klasma.github.io/Logging_0581/klagomålsmail/A 55412-2021 FSC-klagomål mail.docx", "A 55412-2021")</f>
        <v/>
      </c>
      <c r="AC122">
        <f>HYPERLINK("https://klasma.github.io/Logging_0581/tillsyn/A 55412-2021 tillsynsbegäran.docx", "A 55412-2021")</f>
        <v/>
      </c>
      <c r="AD122">
        <f>HYPERLINK("https://klasma.github.io/Logging_0581/tillsynsmail/A 55412-2021 tillsynsbegäran mail.docx", "A 55412-2021")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46250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46250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8245-2023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46250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Svedjenäva</t>
        </is>
      </c>
      <c r="W125">
        <f>HYPERLINK("https://klasma.github.io/Logging_0581/artfynd/A 8245-2023 artfynd.xlsx", "A 8245-2023")</f>
        <v/>
      </c>
      <c r="X125">
        <f>HYPERLINK("https://klasma.github.io/Logging_0581/kartor/A 8245-2023 karta.png", "A 8245-2023")</f>
        <v/>
      </c>
      <c r="Y125">
        <f>HYPERLINK("https://klasma.github.io/Logging_0581/kartor_geotiff/A 8245-2023 georefererad karta.tif", "A 8245-2023")</f>
        <v/>
      </c>
      <c r="AA125">
        <f>HYPERLINK("https://klasma.github.io/Logging_0581/klagomål/A 8245-2023 FSC-klagomål.docx", "A 8245-2023")</f>
        <v/>
      </c>
      <c r="AB125">
        <f>HYPERLINK("https://klasma.github.io/Logging_0581/klagomålsmail/A 8245-2023 FSC-klagomål mail.docx", "A 8245-2023")</f>
        <v/>
      </c>
      <c r="AC125">
        <f>HYPERLINK("https://klasma.github.io/Logging_0581/tillsyn/A 8245-2023 tillsynsbegäran.docx", "A 8245-2023")</f>
        <v/>
      </c>
      <c r="AD125">
        <f>HYPERLINK("https://klasma.github.io/Logging_0581/tillsynsmail/A 8245-2023 tillsynsbegäran mail.docx", "A 8245-2023")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46250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46250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46250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46250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46250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46201-2025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46250</v>
      </c>
      <c r="F131" t="inlineStr">
        <is>
          <t>ÖSTERGÖTLANDS LÄN</t>
        </is>
      </c>
      <c r="G131" t="inlineStr">
        <is>
          <t>NORRKÖPING</t>
        </is>
      </c>
      <c r="I131" t="n">
        <v>1.5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Hasselticka</t>
        </is>
      </c>
      <c r="W131">
        <f>HYPERLINK("https://klasma.github.io/Logging_0581/artfynd/A 46201-2025 artfynd.xlsx", "A 46201-2025")</f>
        <v/>
      </c>
      <c r="X131">
        <f>HYPERLINK("https://klasma.github.io/Logging_0581/kartor/A 46201-2025 karta.png", "A 46201-2025")</f>
        <v/>
      </c>
      <c r="Y131">
        <f>HYPERLINK("https://klasma.github.io/Logging_0581/kartor_geotiff/A 46201-2025 georefererad karta.tif", "A 46201-2025")</f>
        <v/>
      </c>
      <c r="AA131">
        <f>HYPERLINK("https://klasma.github.io/Logging_0581/klagomål/A 46201-2025 FSC-klagomål.docx", "A 46201-2025")</f>
        <v/>
      </c>
      <c r="AB131">
        <f>HYPERLINK("https://klasma.github.io/Logging_0581/klagomålsmail/A 46201-2025 FSC-klagomål mail.docx", "A 46201-2025")</f>
        <v/>
      </c>
      <c r="AC131">
        <f>HYPERLINK("https://klasma.github.io/Logging_0581/tillsyn/A 46201-2025 tillsynsbegäran.docx", "A 46201-2025")</f>
        <v/>
      </c>
      <c r="AD131">
        <f>HYPERLINK("https://klasma.github.io/Logging_0581/tillsynsmail/A 46201-2025 tillsynsbegäran mail.docx", "A 46201-2025")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46250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31897-2022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44777</v>
      </c>
      <c r="E133" s="1" t="n">
        <v>46250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Kommuner</t>
        </is>
      </c>
      <c r="I133" t="n">
        <v>1.8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Grönpyrola</t>
        </is>
      </c>
      <c r="W133">
        <f>HYPERLINK("https://klasma.github.io/Logging_0581/artfynd/A 31897-2022 artfynd.xlsx", "A 31897-2022")</f>
        <v/>
      </c>
      <c r="X133">
        <f>HYPERLINK("https://klasma.github.io/Logging_0581/kartor/A 31897-2022 karta.png", "A 31897-2022")</f>
        <v/>
      </c>
      <c r="Y133">
        <f>HYPERLINK("https://klasma.github.io/Logging_0581/kartor_geotiff/A 31897-2022 georefererad karta.tif", "A 31897-2022")</f>
        <v/>
      </c>
      <c r="AA133">
        <f>HYPERLINK("https://klasma.github.io/Logging_0581/klagomål/A 31897-2022 FSC-klagomål.docx", "A 31897-2022")</f>
        <v/>
      </c>
      <c r="AB133">
        <f>HYPERLINK("https://klasma.github.io/Logging_0581/klagomålsmail/A 31897-2022 FSC-klagomål mail.docx", "A 31897-2022")</f>
        <v/>
      </c>
      <c r="AC133">
        <f>HYPERLINK("https://klasma.github.io/Logging_0581/tillsyn/A 31897-2022 tillsynsbegäran.docx", "A 31897-2022")</f>
        <v/>
      </c>
      <c r="AD133">
        <f>HYPERLINK("https://klasma.github.io/Logging_0581/tillsynsmail/A 31897-2022 tillsynsbegäran mail.docx", "A 31897-2022")</f>
        <v/>
      </c>
    </row>
    <row r="134" ht="15" customHeight="1">
      <c r="A134" t="inlineStr">
        <is>
          <t>A 12279-2026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46250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6.9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Lopplummer (aggregat)</t>
        </is>
      </c>
      <c r="W134">
        <f>HYPERLINK("https://klasma.github.io/Logging_0581/artfynd/A 12279-2026 artfynd.xlsx", "A 12279-2026")</f>
        <v/>
      </c>
      <c r="X134">
        <f>HYPERLINK("https://klasma.github.io/Logging_0581/kartor/A 12279-2026 karta.png", "A 12279-2026")</f>
        <v/>
      </c>
      <c r="Y134">
        <f>HYPERLINK("https://klasma.github.io/Logging_0581/kartor_geotiff/A 12279-2026 georefererad karta.tif", "A 12279-2026")</f>
        <v/>
      </c>
      <c r="AA134">
        <f>HYPERLINK("https://klasma.github.io/Logging_0581/klagomål/A 12279-2026 FSC-klagomål.docx", "A 12279-2026")</f>
        <v/>
      </c>
      <c r="AB134">
        <f>HYPERLINK("https://klasma.github.io/Logging_0581/klagomålsmail/A 12279-2026 FSC-klagomål mail.docx", "A 12279-2026")</f>
        <v/>
      </c>
      <c r="AC134">
        <f>HYPERLINK("https://klasma.github.io/Logging_0581/tillsyn/A 12279-2026 tillsynsbegäran.docx", "A 12279-2026")</f>
        <v/>
      </c>
      <c r="AD134">
        <f>HYPERLINK("https://klasma.github.io/Logging_0581/tillsynsmail/A 12279-2026 tillsynsbegäran mail.docx", "A 12279-2026")</f>
        <v/>
      </c>
    </row>
    <row r="135" ht="15" customHeight="1">
      <c r="A135" t="inlineStr">
        <is>
          <t>A 57772-2022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46250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Fällmossa</t>
        </is>
      </c>
      <c r="W135">
        <f>HYPERLINK("https://klasma.github.io/Logging_0581/artfynd/A 57772-2022 artfynd.xlsx", "A 57772-2022")</f>
        <v/>
      </c>
      <c r="X135">
        <f>HYPERLINK("https://klasma.github.io/Logging_0581/kartor/A 57772-2022 karta.png", "A 57772-2022")</f>
        <v/>
      </c>
      <c r="Y135">
        <f>HYPERLINK("https://klasma.github.io/Logging_0581/kartor_geotiff/A 57772-2022 georefererad karta.tif", "A 57772-2022")</f>
        <v/>
      </c>
      <c r="AA135">
        <f>HYPERLINK("https://klasma.github.io/Logging_0581/klagomål/A 57772-2022 FSC-klagomål.docx", "A 57772-2022")</f>
        <v/>
      </c>
      <c r="AB135">
        <f>HYPERLINK("https://klasma.github.io/Logging_0581/klagomålsmail/A 57772-2022 FSC-klagomål mail.docx", "A 57772-2022")</f>
        <v/>
      </c>
      <c r="AC135">
        <f>HYPERLINK("https://klasma.github.io/Logging_0581/tillsyn/A 57772-2022 tillsynsbegäran.docx", "A 57772-2022")</f>
        <v/>
      </c>
      <c r="AD135">
        <f>HYPERLINK("https://klasma.github.io/Logging_0581/tillsynsmail/A 57772-2022 tillsynsbegäran mail.docx", "A 57772-2022")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46250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58711-2023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46250</v>
      </c>
      <c r="F137" t="inlineStr">
        <is>
          <t>ÖSTERGÖTLANDS LÄN</t>
        </is>
      </c>
      <c r="G137" t="inlineStr">
        <is>
          <t>NORRKÖPING</t>
        </is>
      </c>
      <c r="I137" t="n">
        <v>4.3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Ängsskära</t>
        </is>
      </c>
      <c r="W137">
        <f>HYPERLINK("https://klasma.github.io/Logging_0581/artfynd/A 58711-2023 artfynd.xlsx", "A 58711-2023")</f>
        <v/>
      </c>
      <c r="X137">
        <f>HYPERLINK("https://klasma.github.io/Logging_0581/kartor/A 58711-2023 karta.png", "A 58711-2023")</f>
        <v/>
      </c>
      <c r="Y137">
        <f>HYPERLINK("https://klasma.github.io/Logging_0581/kartor_geotiff/A 58711-2023 georefererad karta.tif", "A 58711-2023")</f>
        <v/>
      </c>
      <c r="AA137">
        <f>HYPERLINK("https://klasma.github.io/Logging_0581/klagomål/A 58711-2023 FSC-klagomål.docx", "A 58711-2023")</f>
        <v/>
      </c>
      <c r="AB137">
        <f>HYPERLINK("https://klasma.github.io/Logging_0581/klagomålsmail/A 58711-2023 FSC-klagomål mail.docx", "A 58711-2023")</f>
        <v/>
      </c>
      <c r="AC137">
        <f>HYPERLINK("https://klasma.github.io/Logging_0581/tillsyn/A 58711-2023 tillsynsbegäran.docx", "A 58711-2023")</f>
        <v/>
      </c>
      <c r="AD137">
        <f>HYPERLINK("https://klasma.github.io/Logging_0581/tillsynsmail/A 58711-2023 tillsynsbegäran mail.docx", "A 58711-2023")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46250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41369-2023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46250</v>
      </c>
      <c r="F139" t="inlineStr">
        <is>
          <t>ÖSTERGÖTLANDS LÄN</t>
        </is>
      </c>
      <c r="G139" t="inlineStr">
        <is>
          <t>NORRKÖPING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Tallticka</t>
        </is>
      </c>
      <c r="W139">
        <f>HYPERLINK("https://klasma.github.io/Logging_0581/artfynd/A 41369-2023 artfynd.xlsx", "A 41369-2023")</f>
        <v/>
      </c>
      <c r="X139">
        <f>HYPERLINK("https://klasma.github.io/Logging_0581/kartor/A 41369-2023 karta.png", "A 41369-2023")</f>
        <v/>
      </c>
      <c r="Y139">
        <f>HYPERLINK("https://klasma.github.io/Logging_0581/kartor_geotiff/A 41369-2023 georefererad karta.tif", "A 41369-2023")</f>
        <v/>
      </c>
      <c r="AA139">
        <f>HYPERLINK("https://klasma.github.io/Logging_0581/klagomål/A 41369-2023 FSC-klagomål.docx", "A 41369-2023")</f>
        <v/>
      </c>
      <c r="AB139">
        <f>HYPERLINK("https://klasma.github.io/Logging_0581/klagomålsmail/A 41369-2023 FSC-klagomål mail.docx", "A 41369-2023")</f>
        <v/>
      </c>
      <c r="AC139">
        <f>HYPERLINK("https://klasma.github.io/Logging_0581/tillsyn/A 41369-2023 tillsynsbegäran.docx", "A 41369-2023")</f>
        <v/>
      </c>
      <c r="AD139">
        <f>HYPERLINK("https://klasma.github.io/Logging_0581/tillsynsmail/A 41369-2023 tillsynsbegäran mail.docx", "A 41369-2023")</f>
        <v/>
      </c>
    </row>
    <row r="140" ht="15" customHeight="1">
      <c r="A140" t="inlineStr">
        <is>
          <t>A 14044-2023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45008</v>
      </c>
      <c r="E140" s="1" t="n">
        <v>46250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HYPERLINK("https://klasma.github.io/Logging_0581/artfynd/A 14044-2023 artfynd.xlsx", "A 14044-2023")</f>
        <v/>
      </c>
      <c r="X140">
        <f>HYPERLINK("https://klasma.github.io/Logging_0581/kartor/A 14044-2023 karta.png", "A 14044-2023")</f>
        <v/>
      </c>
      <c r="Y140">
        <f>HYPERLINK("https://klasma.github.io/Logging_0581/kartor_geotiff/A 14044-2023 georefererad karta.tif", "A 14044-2023")</f>
        <v/>
      </c>
      <c r="AA140">
        <f>HYPERLINK("https://klasma.github.io/Logging_0581/klagomål/A 14044-2023 FSC-klagomål.docx", "A 14044-2023")</f>
        <v/>
      </c>
      <c r="AB140">
        <f>HYPERLINK("https://klasma.github.io/Logging_0581/klagomålsmail/A 14044-2023 FSC-klagomål mail.docx", "A 14044-2023")</f>
        <v/>
      </c>
      <c r="AC140">
        <f>HYPERLINK("https://klasma.github.io/Logging_0581/tillsyn/A 14044-2023 tillsynsbegäran.docx", "A 14044-2023")</f>
        <v/>
      </c>
      <c r="AD140">
        <f>HYPERLINK("https://klasma.github.io/Logging_0581/tillsynsmail/A 14044-2023 tillsynsbegäran mail.docx", "A 14044-2023")</f>
        <v/>
      </c>
      <c r="AE140">
        <f>HYPERLINK("https://klasma.github.io/Logging_0581/fåglar/A 14044-2023 prioriterade fågelarter.docx", "A 14044-2023")</f>
        <v/>
      </c>
    </row>
    <row r="141" ht="15" customHeight="1">
      <c r="A141" t="inlineStr">
        <is>
          <t>A 46806-2024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46250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46806-2024 artfynd.xlsx", "A 46806-2024")</f>
        <v/>
      </c>
      <c r="X141">
        <f>HYPERLINK("https://klasma.github.io/Logging_0581/kartor/A 46806-2024 karta.png", "A 46806-2024")</f>
        <v/>
      </c>
      <c r="Y141">
        <f>HYPERLINK("https://klasma.github.io/Logging_0581/kartor_geotiff/A 46806-2024 georefererad karta.tif", "A 46806-2024")</f>
        <v/>
      </c>
      <c r="AA141">
        <f>HYPERLINK("https://klasma.github.io/Logging_0581/klagomål/A 46806-2024 FSC-klagomål.docx", "A 46806-2024")</f>
        <v/>
      </c>
      <c r="AB141">
        <f>HYPERLINK("https://klasma.github.io/Logging_0581/klagomålsmail/A 46806-2024 FSC-klagomål mail.docx", "A 46806-2024")</f>
        <v/>
      </c>
      <c r="AC141">
        <f>HYPERLINK("https://klasma.github.io/Logging_0581/tillsyn/A 46806-2024 tillsynsbegäran.docx", "A 46806-2024")</f>
        <v/>
      </c>
      <c r="AD141">
        <f>HYPERLINK("https://klasma.github.io/Logging_0581/tillsynsmail/A 46806-2024 tillsynsbegäran mail.docx", "A 46806-2024")</f>
        <v/>
      </c>
    </row>
    <row r="142" ht="15" customHeight="1">
      <c r="A142" t="inlineStr">
        <is>
          <t>A 45953-2024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45580</v>
      </c>
      <c r="E142" s="1" t="n">
        <v>46250</v>
      </c>
      <c r="F142" t="inlineStr">
        <is>
          <t>ÖSTERGÖTLANDS LÄN</t>
        </is>
      </c>
      <c r="G142" t="inlineStr">
        <is>
          <t>NORRKÖPING</t>
        </is>
      </c>
      <c r="I142" t="n">
        <v>1.9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Ekoxe</t>
        </is>
      </c>
      <c r="W142">
        <f>HYPERLINK("https://klasma.github.io/Logging_0581/artfynd/A 45953-2024 artfynd.xlsx", "A 45953-2024")</f>
        <v/>
      </c>
      <c r="X142">
        <f>HYPERLINK("https://klasma.github.io/Logging_0581/kartor/A 45953-2024 karta.png", "A 45953-2024")</f>
        <v/>
      </c>
      <c r="Y142">
        <f>HYPERLINK("https://klasma.github.io/Logging_0581/kartor_geotiff/A 45953-2024 georefererad karta.tif", "A 45953-2024")</f>
        <v/>
      </c>
      <c r="AA142">
        <f>HYPERLINK("https://klasma.github.io/Logging_0581/klagomål/A 45953-2024 FSC-klagomål.docx", "A 45953-2024")</f>
        <v/>
      </c>
      <c r="AB142">
        <f>HYPERLINK("https://klasma.github.io/Logging_0581/klagomålsmail/A 45953-2024 FSC-klagomål mail.docx", "A 45953-2024")</f>
        <v/>
      </c>
      <c r="AC142">
        <f>HYPERLINK("https://klasma.github.io/Logging_0581/tillsyn/A 45953-2024 tillsynsbegäran.docx", "A 45953-2024")</f>
        <v/>
      </c>
      <c r="AD142">
        <f>HYPERLINK("https://klasma.github.io/Logging_0581/tillsynsmail/A 45953-2024 tillsynsbegäran mail.docx", "A 45953-2024")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46250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HYPERLINK("https://klasma.github.io/Logging_0581/artfynd/A 60899-2024 artfynd.xlsx", "A 60899-2024")</f>
        <v/>
      </c>
      <c r="X143">
        <f>HYPERLINK("https://klasma.github.io/Logging_0581/kartor/A 60899-2024 karta.png", "A 60899-2024")</f>
        <v/>
      </c>
      <c r="Y143">
        <f>HYPERLINK("https://klasma.github.io/Logging_0581/kartor_geotiff/A 60899-2024 georefererad karta.tif", "A 60899-2024")</f>
        <v/>
      </c>
      <c r="AA143">
        <f>HYPERLINK("https://klasma.github.io/Logging_0581/klagomål/A 60899-2024 FSC-klagomål.docx", "A 60899-2024")</f>
        <v/>
      </c>
      <c r="AB143">
        <f>HYPERLINK("https://klasma.github.io/Logging_0581/klagomålsmail/A 60899-2024 FSC-klagomål mail.docx", "A 60899-2024")</f>
        <v/>
      </c>
      <c r="AC143">
        <f>HYPERLINK("https://klasma.github.io/Logging_0581/tillsyn/A 60899-2024 tillsynsbegäran.docx", "A 60899-2024")</f>
        <v/>
      </c>
      <c r="AD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46250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Motaggsvamp</t>
        </is>
      </c>
      <c r="W144">
        <f>HYPERLINK("https://klasma.github.io/Logging_0581/artfynd/A 27236-2023 artfynd.xlsx", "A 27236-2023")</f>
        <v/>
      </c>
      <c r="X144">
        <f>HYPERLINK("https://klasma.github.io/Logging_0581/kartor/A 27236-2023 karta.png", "A 27236-2023")</f>
        <v/>
      </c>
      <c r="Y144">
        <f>HYPERLINK("https://klasma.github.io/Logging_0581/kartor_geotiff/A 27236-2023 georefererad karta.tif", "A 27236-2023")</f>
        <v/>
      </c>
      <c r="AA144">
        <f>HYPERLINK("https://klasma.github.io/Logging_0581/klagomål/A 27236-2023 FSC-klagomål.docx", "A 27236-2023")</f>
        <v/>
      </c>
      <c r="AB144">
        <f>HYPERLINK("https://klasma.github.io/Logging_0581/klagomålsmail/A 27236-2023 FSC-klagomål mail.docx", "A 27236-2023")</f>
        <v/>
      </c>
      <c r="AC144">
        <f>HYPERLINK("https://klasma.github.io/Logging_0581/tillsyn/A 27236-2023 tillsynsbegäran.docx", "A 27236-2023")</f>
        <v/>
      </c>
      <c r="AD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46250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HYPERLINK("https://klasma.github.io/Logging_0581/artfynd/A 31659-2023 artfynd.xlsx", "A 31659-2023")</f>
        <v/>
      </c>
      <c r="X145">
        <f>HYPERLINK("https://klasma.github.io/Logging_0581/kartor/A 31659-2023 karta.png", "A 31659-2023")</f>
        <v/>
      </c>
      <c r="Y145">
        <f>HYPERLINK("https://klasma.github.io/Logging_0581/kartor_geotiff/A 31659-2023 georefererad karta.tif", "A 31659-2023")</f>
        <v/>
      </c>
      <c r="AA145">
        <f>HYPERLINK("https://klasma.github.io/Logging_0581/klagomål/A 31659-2023 FSC-klagomål.docx", "A 31659-2023")</f>
        <v/>
      </c>
      <c r="AB145">
        <f>HYPERLINK("https://klasma.github.io/Logging_0581/klagomålsmail/A 31659-2023 FSC-klagomål mail.docx", "A 31659-2023")</f>
        <v/>
      </c>
      <c r="AC145">
        <f>HYPERLINK("https://klasma.github.io/Logging_0581/tillsyn/A 31659-2023 tillsynsbegäran.docx", "A 31659-2023")</f>
        <v/>
      </c>
      <c r="AD145">
        <f>HYPERLINK("https://klasma.github.io/Logging_0581/tillsynsmail/A 31659-2023 tillsynsbegäran mail.docx", "A 31659-2023")</f>
        <v/>
      </c>
      <c r="AE145">
        <f>HYPERLINK("https://klasma.github.io/Logging_0581/fåglar/A 31659-2023 prioriterade fågelarter.docx", "A 31659-2023")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46250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7317-2025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46250</v>
      </c>
      <c r="F147" t="inlineStr">
        <is>
          <t>ÖSTERGÖTLANDS LÄN</t>
        </is>
      </c>
      <c r="G147" t="inlineStr">
        <is>
          <t>NORRKÖPING</t>
        </is>
      </c>
      <c r="I147" t="n">
        <v>1.4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Backklöver</t>
        </is>
      </c>
      <c r="W147">
        <f>HYPERLINK("https://klasma.github.io/Logging_0581/artfynd/A 7317-2025 artfynd.xlsx", "A 7317-2025")</f>
        <v/>
      </c>
      <c r="X147">
        <f>HYPERLINK("https://klasma.github.io/Logging_0581/kartor/A 7317-2025 karta.png", "A 7317-2025")</f>
        <v/>
      </c>
      <c r="Y147">
        <f>HYPERLINK("https://klasma.github.io/Logging_0581/kartor_geotiff/A 7317-2025 georefererad karta.tif", "A 7317-2025")</f>
        <v/>
      </c>
      <c r="AA147">
        <f>HYPERLINK("https://klasma.github.io/Logging_0581/klagomål/A 7317-2025 FSC-klagomål.docx", "A 7317-2025")</f>
        <v/>
      </c>
      <c r="AB147">
        <f>HYPERLINK("https://klasma.github.io/Logging_0581/klagomålsmail/A 7317-2025 FSC-klagomål mail.docx", "A 7317-2025")</f>
        <v/>
      </c>
      <c r="AC147">
        <f>HYPERLINK("https://klasma.github.io/Logging_0581/tillsyn/A 7317-2025 tillsynsbegäran.docx", "A 7317-2025")</f>
        <v/>
      </c>
      <c r="AD147">
        <f>HYPERLINK("https://klasma.github.io/Logging_0581/tillsynsmail/A 7317-2025 tillsynsbegäran mail.docx", "A 7317-2025")</f>
        <v/>
      </c>
    </row>
    <row r="148" ht="15" customHeight="1">
      <c r="A148" t="inlineStr">
        <is>
          <t>A 14329-2022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46250</v>
      </c>
      <c r="F148" t="inlineStr">
        <is>
          <t>ÖSTERGÖTLANDS LÄN</t>
        </is>
      </c>
      <c r="G148" t="inlineStr">
        <is>
          <t>NORRKÖPING</t>
        </is>
      </c>
      <c r="I148" t="n">
        <v>2.7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skogslilja</t>
        </is>
      </c>
      <c r="W148">
        <f>HYPERLINK("https://klasma.github.io/Logging_0581/artfynd/A 14329-2022 artfynd.xlsx", "A 14329-2022")</f>
        <v/>
      </c>
      <c r="X148">
        <f>HYPERLINK("https://klasma.github.io/Logging_0581/kartor/A 14329-2022 karta.png", "A 14329-2022")</f>
        <v/>
      </c>
      <c r="Y148">
        <f>HYPERLINK("https://klasma.github.io/Logging_0581/kartor_geotiff/A 14329-2022 georefererad karta.tif", "A 14329-2022")</f>
        <v/>
      </c>
      <c r="AA148">
        <f>HYPERLINK("https://klasma.github.io/Logging_0581/klagomål/A 14329-2022 FSC-klagomål.docx", "A 14329-2022")</f>
        <v/>
      </c>
      <c r="AB148">
        <f>HYPERLINK("https://klasma.github.io/Logging_0581/klagomålsmail/A 14329-2022 FSC-klagomål mail.docx", "A 14329-2022")</f>
        <v/>
      </c>
      <c r="AC148">
        <f>HYPERLINK("https://klasma.github.io/Logging_0581/tillsyn/A 14329-2022 tillsynsbegäran.docx", "A 14329-2022")</f>
        <v/>
      </c>
      <c r="AD148">
        <f>HYPERLINK("https://klasma.github.io/Logging_0581/tillsynsmail/A 14329-2022 tillsynsbegäran mail.docx", "A 14329-2022")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46250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15124-2025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46250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3.8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2</v>
      </c>
      <c r="V150" s="2" t="inlineStr">
        <is>
          <t>Vedskivlav</t>
        </is>
      </c>
      <c r="W150">
        <f>HYPERLINK("https://klasma.github.io/Logging_0581/artfynd/A 15124-2025 artfynd.xlsx", "A 15124-2025")</f>
        <v/>
      </c>
      <c r="X150">
        <f>HYPERLINK("https://klasma.github.io/Logging_0581/kartor/A 15124-2025 karta.png", "A 15124-2025")</f>
        <v/>
      </c>
      <c r="Y150">
        <f>HYPERLINK("https://klasma.github.io/Logging_0581/kartor_geotiff/A 15124-2025 georefererad karta.tif", "A 15124-2025")</f>
        <v/>
      </c>
      <c r="AA150">
        <f>HYPERLINK("https://klasma.github.io/Logging_0581/klagomål/A 15124-2025 FSC-klagomål.docx", "A 15124-2025")</f>
        <v/>
      </c>
      <c r="AB150">
        <f>HYPERLINK("https://klasma.github.io/Logging_0581/klagomålsmail/A 15124-2025 FSC-klagomål mail.docx", "A 15124-2025")</f>
        <v/>
      </c>
      <c r="AC150">
        <f>HYPERLINK("https://klasma.github.io/Logging_0581/tillsyn/A 15124-2025 tillsynsbegäran.docx", "A 15124-2025")</f>
        <v/>
      </c>
      <c r="AD150">
        <f>HYPERLINK("https://klasma.github.io/Logging_0581/tillsynsmail/A 15124-2025 tillsynsbegäran mail.docx", "A 15124-2025")</f>
        <v/>
      </c>
    </row>
    <row r="151" ht="15" customHeight="1">
      <c r="A151" t="inlineStr">
        <is>
          <t>A 15143-2025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46250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Vedskivlav</t>
        </is>
      </c>
      <c r="W151">
        <f>HYPERLINK("https://klasma.github.io/Logging_0581/artfynd/A 15143-2025 artfynd.xlsx", "A 15143-2025")</f>
        <v/>
      </c>
      <c r="X151">
        <f>HYPERLINK("https://klasma.github.io/Logging_0581/kartor/A 15143-2025 karta.png", "A 15143-2025")</f>
        <v/>
      </c>
      <c r="Y151">
        <f>HYPERLINK("https://klasma.github.io/Logging_0581/kartor_geotiff/A 15143-2025 georefererad karta.tif", "A 15143-2025")</f>
        <v/>
      </c>
      <c r="AA151">
        <f>HYPERLINK("https://klasma.github.io/Logging_0581/klagomål/A 15143-2025 FSC-klagomål.docx", "A 15143-2025")</f>
        <v/>
      </c>
      <c r="AB151">
        <f>HYPERLINK("https://klasma.github.io/Logging_0581/klagomålsmail/A 15143-2025 FSC-klagomål mail.docx", "A 15143-2025")</f>
        <v/>
      </c>
      <c r="AC151">
        <f>HYPERLINK("https://klasma.github.io/Logging_0581/tillsyn/A 15143-2025 tillsynsbegäran.docx", "A 15143-2025")</f>
        <v/>
      </c>
      <c r="AD151">
        <f>HYPERLINK("https://klasma.github.io/Logging_0581/tillsynsmail/A 15143-2025 tillsynsbegäran mail.docx", "A 15143-2025")</f>
        <v/>
      </c>
    </row>
    <row r="152" ht="15" customHeight="1">
      <c r="A152" t="inlineStr">
        <is>
          <t>A 20170-2026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46250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Igelkott</t>
        </is>
      </c>
      <c r="W152">
        <f>HYPERLINK("https://klasma.github.io/Logging_0581/artfynd/A 20170-2026 artfynd.xlsx", "A 20170-2026")</f>
        <v/>
      </c>
      <c r="X152">
        <f>HYPERLINK("https://klasma.github.io/Logging_0581/kartor/A 20170-2026 karta.png", "A 20170-2026")</f>
        <v/>
      </c>
      <c r="Y152">
        <f>HYPERLINK("https://klasma.github.io/Logging_0581/kartor_geotiff/A 20170-2026 georefererad karta.tif", "A 20170-2026")</f>
        <v/>
      </c>
      <c r="AA152">
        <f>HYPERLINK("https://klasma.github.io/Logging_0581/klagomål/A 20170-2026 FSC-klagomål.docx", "A 20170-2026")</f>
        <v/>
      </c>
      <c r="AB152">
        <f>HYPERLINK("https://klasma.github.io/Logging_0581/klagomålsmail/A 20170-2026 FSC-klagomål mail.docx", "A 20170-2026")</f>
        <v/>
      </c>
      <c r="AC152">
        <f>HYPERLINK("https://klasma.github.io/Logging_0581/tillsyn/A 20170-2026 tillsynsbegäran.docx", "A 20170-2026")</f>
        <v/>
      </c>
      <c r="AD152">
        <f>HYPERLINK("https://klasma.github.io/Logging_0581/tillsynsmail/A 20170-2026 tillsynsbegäran mail.docx", "A 20170-2026")</f>
        <v/>
      </c>
    </row>
    <row r="153" ht="15" customHeight="1">
      <c r="A153" t="inlineStr">
        <is>
          <t>A 25982-2023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46250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Linmåra/småsnärjmåra</t>
        </is>
      </c>
      <c r="W153">
        <f>HYPERLINK("https://klasma.github.io/Logging_0581/artfynd/A 25982-2023 artfynd.xlsx", "A 25982-2023")</f>
        <v/>
      </c>
      <c r="X153">
        <f>HYPERLINK("https://klasma.github.io/Logging_0581/kartor/A 25982-2023 karta.png", "A 25982-2023")</f>
        <v/>
      </c>
      <c r="Y153">
        <f>HYPERLINK("https://klasma.github.io/Logging_0581/kartor_geotiff/A 25982-2023 georefererad karta.tif", "A 25982-2023")</f>
        <v/>
      </c>
      <c r="AA153">
        <f>HYPERLINK("https://klasma.github.io/Logging_0581/klagomål/A 25982-2023 FSC-klagomål.docx", "A 25982-2023")</f>
        <v/>
      </c>
      <c r="AB153">
        <f>HYPERLINK("https://klasma.github.io/Logging_0581/klagomålsmail/A 25982-2023 FSC-klagomål mail.docx", "A 25982-2023")</f>
        <v/>
      </c>
      <c r="AC153">
        <f>HYPERLINK("https://klasma.github.io/Logging_0581/tillsyn/A 25982-2023 tillsynsbegäran.docx", "A 25982-2023")</f>
        <v/>
      </c>
      <c r="AD153">
        <f>HYPERLINK("https://klasma.github.io/Logging_0581/tillsynsmail/A 25982-2023 tillsynsbegäran mail.docx", "A 25982-2023")</f>
        <v/>
      </c>
    </row>
    <row r="154" ht="15" customHeight="1">
      <c r="A154" t="inlineStr">
        <is>
          <t>A 1077-2023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46250</v>
      </c>
      <c r="F154" t="inlineStr">
        <is>
          <t>ÖSTERGÖTLANDS LÄN</t>
        </is>
      </c>
      <c r="G154" t="inlineStr">
        <is>
          <t>NORRKÖPING</t>
        </is>
      </c>
      <c r="I154" t="n">
        <v>3.4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Äkta lopplummer</t>
        </is>
      </c>
      <c r="W154">
        <f>HYPERLINK("https://klasma.github.io/Logging_0581/artfynd/A 1077-2023 artfynd.xlsx", "A 1077-2023")</f>
        <v/>
      </c>
      <c r="X154">
        <f>HYPERLINK("https://klasma.github.io/Logging_0581/kartor/A 1077-2023 karta.png", "A 1077-2023")</f>
        <v/>
      </c>
      <c r="Y154">
        <f>HYPERLINK("https://klasma.github.io/Logging_0581/kartor_geotiff/A 1077-2023 georefererad karta.tif", "A 1077-2023")</f>
        <v/>
      </c>
      <c r="AA154">
        <f>HYPERLINK("https://klasma.github.io/Logging_0581/klagomål/A 1077-2023 FSC-klagomål.docx", "A 1077-2023")</f>
        <v/>
      </c>
      <c r="AB154">
        <f>HYPERLINK("https://klasma.github.io/Logging_0581/klagomålsmail/A 1077-2023 FSC-klagomål mail.docx", "A 1077-2023")</f>
        <v/>
      </c>
      <c r="AC154">
        <f>HYPERLINK("https://klasma.github.io/Logging_0581/tillsyn/A 1077-2023 tillsynsbegäran.docx", "A 1077-2023")</f>
        <v/>
      </c>
      <c r="AD154">
        <f>HYPERLINK("https://klasma.github.io/Logging_0581/tillsynsmail/A 1077-2023 tillsynsbegäran mail.docx", "A 1077-2023")</f>
        <v/>
      </c>
    </row>
    <row r="155" ht="15" customHeight="1">
      <c r="A155" t="inlineStr">
        <is>
          <t>A 58318-2023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46250</v>
      </c>
      <c r="F155" t="inlineStr">
        <is>
          <t>ÖSTERGÖTLANDS LÄN</t>
        </is>
      </c>
      <c r="G155" t="inlineStr">
        <is>
          <t>NORRKÖPING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Havsörn</t>
        </is>
      </c>
      <c r="W155">
        <f>HYPERLINK("https://klasma.github.io/Logging_0581/artfynd/A 58318-2023 artfynd.xlsx", "A 58318-2023")</f>
        <v/>
      </c>
      <c r="X155">
        <f>HYPERLINK("https://klasma.github.io/Logging_0581/kartor/A 58318-2023 karta.png", "A 58318-2023")</f>
        <v/>
      </c>
      <c r="Y155">
        <f>HYPERLINK("https://klasma.github.io/Logging_0581/kartor_geotiff/A 58318-2023 georefererad karta.tif", "A 58318-2023")</f>
        <v/>
      </c>
      <c r="AA155">
        <f>HYPERLINK("https://klasma.github.io/Logging_0581/klagomål/A 58318-2023 FSC-klagomål.docx", "A 58318-2023")</f>
        <v/>
      </c>
      <c r="AB155">
        <f>HYPERLINK("https://klasma.github.io/Logging_0581/klagomålsmail/A 58318-2023 FSC-klagomål mail.docx", "A 58318-2023")</f>
        <v/>
      </c>
      <c r="AC155">
        <f>HYPERLINK("https://klasma.github.io/Logging_0581/tillsyn/A 58318-2023 tillsynsbegäran.docx", "A 58318-2023")</f>
        <v/>
      </c>
      <c r="AD155">
        <f>HYPERLINK("https://klasma.github.io/Logging_0581/tillsynsmail/A 58318-2023 tillsynsbegäran mail.docx", "A 58318-2023")</f>
        <v/>
      </c>
      <c r="AE155">
        <f>HYPERLINK("https://klasma.github.io/Logging_0581/fåglar/A 58318-2023 prioriterade fågelarter.docx", "A 58318-2023")</f>
        <v/>
      </c>
    </row>
    <row r="156" ht="15" customHeight="1">
      <c r="A156" t="inlineStr">
        <is>
          <t>A 15870-2024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46250</v>
      </c>
      <c r="F156" t="inlineStr">
        <is>
          <t>ÖSTERGÖTLANDS LÄN</t>
        </is>
      </c>
      <c r="G156" t="inlineStr">
        <is>
          <t>NORRKÖPING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Mörk dunört</t>
        </is>
      </c>
      <c r="W156">
        <f>HYPERLINK("https://klasma.github.io/Logging_0581/artfynd/A 15870-2024 artfynd.xlsx", "A 15870-2024")</f>
        <v/>
      </c>
      <c r="X156">
        <f>HYPERLINK("https://klasma.github.io/Logging_0581/kartor/A 15870-2024 karta.png", "A 15870-2024")</f>
        <v/>
      </c>
      <c r="Y156">
        <f>HYPERLINK("https://klasma.github.io/Logging_0581/kartor_geotiff/A 15870-2024 georefererad karta.tif", "A 15870-2024")</f>
        <v/>
      </c>
      <c r="AA156">
        <f>HYPERLINK("https://klasma.github.io/Logging_0581/klagomål/A 15870-2024 FSC-klagomål.docx", "A 15870-2024")</f>
        <v/>
      </c>
      <c r="AB156">
        <f>HYPERLINK("https://klasma.github.io/Logging_0581/klagomålsmail/A 15870-2024 FSC-klagomål mail.docx", "A 15870-2024")</f>
        <v/>
      </c>
      <c r="AC156">
        <f>HYPERLINK("https://klasma.github.io/Logging_0581/tillsyn/A 15870-2024 tillsynsbegäran.docx", "A 15870-2024")</f>
        <v/>
      </c>
      <c r="AD156">
        <f>HYPERLINK("https://klasma.github.io/Logging_0581/tillsynsmail/A 15870-2024 tillsynsbegäran mail.docx", "A 15870-2024")</f>
        <v/>
      </c>
    </row>
    <row r="157" ht="15" customHeight="1">
      <c r="A157" t="inlineStr">
        <is>
          <t>A 16610-2024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46250</v>
      </c>
      <c r="F157" t="inlineStr">
        <is>
          <t>ÖSTERGÖTLANDS LÄN</t>
        </is>
      </c>
      <c r="G157" t="inlineStr">
        <is>
          <t>NORRKÖPING</t>
        </is>
      </c>
      <c r="I157" t="n">
        <v>5.8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3</v>
      </c>
      <c r="U157" t="n">
        <v>3</v>
      </c>
      <c r="V157" s="2" t="inlineStr">
        <is>
          <t>Knärot</t>
        </is>
      </c>
      <c r="W157">
        <f>HYPERLINK("https://klasma.github.io/Logging_0581/artfynd/A 16610-2024 artfynd.xlsx", "A 16610-2024")</f>
        <v/>
      </c>
      <c r="X157">
        <f>HYPERLINK("https://klasma.github.io/Logging_0581/kartor/A 16610-2024 karta.png", "A 16610-2024")</f>
        <v/>
      </c>
      <c r="Y157">
        <f>HYPERLINK("https://klasma.github.io/Logging_0581/kartor_geotiff/A 16610-2024 georefererad karta.tif", "A 16610-2024")</f>
        <v/>
      </c>
      <c r="Z157">
        <f>HYPERLINK("https://klasma.github.io/Logging_0581/knärot/A 16610-2024 karta knärot.png", "A 16610-2024")</f>
        <v/>
      </c>
      <c r="AA157">
        <f>HYPERLINK("https://klasma.github.io/Logging_0581/klagomål/A 16610-2024 FSC-klagomål.docx", "A 16610-2024")</f>
        <v/>
      </c>
      <c r="AB157">
        <f>HYPERLINK("https://klasma.github.io/Logging_0581/klagomålsmail/A 16610-2024 FSC-klagomål mail.docx", "A 16610-2024")</f>
        <v/>
      </c>
      <c r="AC157">
        <f>HYPERLINK("https://klasma.github.io/Logging_0581/tillsyn/A 16610-2024 tillsynsbegäran.docx", "A 16610-2024")</f>
        <v/>
      </c>
      <c r="AD157">
        <f>HYPERLINK("https://klasma.github.io/Logging_0581/tillsynsmail/A 16610-2024 tillsynsbegäran mail.docx", "A 16610-2024")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46250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11520-2025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46250</v>
      </c>
      <c r="F159" t="inlineStr">
        <is>
          <t>ÖSTERGÖTLANDS LÄN</t>
        </is>
      </c>
      <c r="G159" t="inlineStr">
        <is>
          <t>NORRKÖPING</t>
        </is>
      </c>
      <c r="I159" t="n">
        <v>1.7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Myskbock</t>
        </is>
      </c>
      <c r="W159">
        <f>HYPERLINK("https://klasma.github.io/Logging_0581/artfynd/A 11520-2025 artfynd.xlsx", "A 11520-2025")</f>
        <v/>
      </c>
      <c r="X159">
        <f>HYPERLINK("https://klasma.github.io/Logging_0581/kartor/A 11520-2025 karta.png", "A 11520-2025")</f>
        <v/>
      </c>
      <c r="Y159">
        <f>HYPERLINK("https://klasma.github.io/Logging_0581/kartor_geotiff/A 11520-2025 georefererad karta.tif", "A 11520-2025")</f>
        <v/>
      </c>
      <c r="AA159">
        <f>HYPERLINK("https://klasma.github.io/Logging_0581/klagomål/A 11520-2025 FSC-klagomål.docx", "A 11520-2025")</f>
        <v/>
      </c>
      <c r="AB159">
        <f>HYPERLINK("https://klasma.github.io/Logging_0581/klagomålsmail/A 11520-2025 FSC-klagomål mail.docx", "A 11520-2025")</f>
        <v/>
      </c>
      <c r="AC159">
        <f>HYPERLINK("https://klasma.github.io/Logging_0581/tillsyn/A 11520-2025 tillsynsbegäran.docx", "A 11520-2025")</f>
        <v/>
      </c>
      <c r="AD159">
        <f>HYPERLINK("https://klasma.github.io/Logging_0581/tillsynsmail/A 11520-2025 tillsynsbegäran mail.docx", "A 11520-2025")</f>
        <v/>
      </c>
    </row>
    <row r="160" ht="15" customHeight="1">
      <c r="A160" t="inlineStr">
        <is>
          <t>A 12145-2024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46250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Gullgröppa</t>
        </is>
      </c>
      <c r="W160">
        <f>HYPERLINK("https://klasma.github.io/Logging_0581/artfynd/A 12145-2024 artfynd.xlsx", "A 12145-2024")</f>
        <v/>
      </c>
      <c r="X160">
        <f>HYPERLINK("https://klasma.github.io/Logging_0581/kartor/A 12145-2024 karta.png", "A 12145-2024")</f>
        <v/>
      </c>
      <c r="Y160">
        <f>HYPERLINK("https://klasma.github.io/Logging_0581/kartor_geotiff/A 12145-2024 georefererad karta.tif", "A 12145-2024")</f>
        <v/>
      </c>
      <c r="AA160">
        <f>HYPERLINK("https://klasma.github.io/Logging_0581/klagomål/A 12145-2024 FSC-klagomål.docx", "A 12145-2024")</f>
        <v/>
      </c>
      <c r="AB160">
        <f>HYPERLINK("https://klasma.github.io/Logging_0581/klagomålsmail/A 12145-2024 FSC-klagomål mail.docx", "A 12145-2024")</f>
        <v/>
      </c>
      <c r="AC160">
        <f>HYPERLINK("https://klasma.github.io/Logging_0581/tillsyn/A 12145-2024 tillsynsbegäran.docx", "A 12145-2024")</f>
        <v/>
      </c>
      <c r="AD160">
        <f>HYPERLINK("https://klasma.github.io/Logging_0581/tillsynsmail/A 12145-2024 tillsynsbegäran mail.docx", "A 12145-2024")</f>
        <v/>
      </c>
    </row>
    <row r="161" ht="15" customHeight="1">
      <c r="A161" t="inlineStr">
        <is>
          <t>A 9790-2024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46250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Mattlummer</t>
        </is>
      </c>
      <c r="W161">
        <f>HYPERLINK("https://klasma.github.io/Logging_0581/artfynd/A 9790-2024 artfynd.xlsx", "A 9790-2024")</f>
        <v/>
      </c>
      <c r="X161">
        <f>HYPERLINK("https://klasma.github.io/Logging_0581/kartor/A 9790-2024 karta.png", "A 9790-2024")</f>
        <v/>
      </c>
      <c r="Y161">
        <f>HYPERLINK("https://klasma.github.io/Logging_0581/kartor_geotiff/A 9790-2024 georefererad karta.tif", "A 9790-2024")</f>
        <v/>
      </c>
      <c r="AA161">
        <f>HYPERLINK("https://klasma.github.io/Logging_0581/klagomål/A 9790-2024 FSC-klagomål.docx", "A 9790-2024")</f>
        <v/>
      </c>
      <c r="AB161">
        <f>HYPERLINK("https://klasma.github.io/Logging_0581/klagomålsmail/A 9790-2024 FSC-klagomål mail.docx", "A 9790-2024")</f>
        <v/>
      </c>
      <c r="AC161">
        <f>HYPERLINK("https://klasma.github.io/Logging_0581/tillsyn/A 9790-2024 tillsynsbegäran.docx", "A 9790-2024")</f>
        <v/>
      </c>
      <c r="AD161">
        <f>HYPERLINK("https://klasma.github.io/Logging_0581/tillsynsmail/A 9790-2024 tillsynsbegäran mail.docx", "A 9790-2024")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46250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46250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31325-2026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46250</v>
      </c>
      <c r="F164" t="inlineStr">
        <is>
          <t>ÖSTERGÖTLANDS LÄN</t>
        </is>
      </c>
      <c r="G164" t="inlineStr">
        <is>
          <t>NORRKÖPING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Bergsslok</t>
        </is>
      </c>
      <c r="W164">
        <f>HYPERLINK("https://klasma.github.io/Logging_0581/artfynd/A 31325-2026 artfynd.xlsx", "A 31325-2026")</f>
        <v/>
      </c>
      <c r="X164">
        <f>HYPERLINK("https://klasma.github.io/Logging_0581/kartor/A 31325-2026 karta.png", "A 31325-2026")</f>
        <v/>
      </c>
      <c r="Y164">
        <f>HYPERLINK("https://klasma.github.io/Logging_0581/kartor_geotiff/A 31325-2026 georefererad karta.tif", "A 31325-2026")</f>
        <v/>
      </c>
      <c r="AA164">
        <f>HYPERLINK("https://klasma.github.io/Logging_0581/klagomål/A 31325-2026 FSC-klagomål.docx", "A 31325-2026")</f>
        <v/>
      </c>
      <c r="AB164">
        <f>HYPERLINK("https://klasma.github.io/Logging_0581/klagomålsmail/A 31325-2026 FSC-klagomål mail.docx", "A 31325-2026")</f>
        <v/>
      </c>
      <c r="AC164">
        <f>HYPERLINK("https://klasma.github.io/Logging_0581/tillsyn/A 31325-2026 tillsynsbegäran.docx", "A 31325-2026")</f>
        <v/>
      </c>
      <c r="AD164">
        <f>HYPERLINK("https://klasma.github.io/Logging_0581/tillsynsmail/A 31325-2026 tillsynsbegäran mail.docx", "A 31325-2026")</f>
        <v/>
      </c>
    </row>
    <row r="165" ht="15" customHeight="1">
      <c r="A165" t="inlineStr">
        <is>
          <t>A 25707-2026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46250</v>
      </c>
      <c r="F165" t="inlineStr">
        <is>
          <t>ÖSTERGÖTLANDS LÄN</t>
        </is>
      </c>
      <c r="G165" t="inlineStr">
        <is>
          <t>NORRKÖPING</t>
        </is>
      </c>
      <c r="I165" t="n">
        <v>0.5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Tallticka</t>
        </is>
      </c>
      <c r="W165">
        <f>HYPERLINK("https://klasma.github.io/Logging_0581/artfynd/A 25707-2026 artfynd.xlsx", "A 25707-2026")</f>
        <v/>
      </c>
      <c r="X165">
        <f>HYPERLINK("https://klasma.github.io/Logging_0581/kartor/A 25707-2026 karta.png", "A 25707-2026")</f>
        <v/>
      </c>
      <c r="Y165">
        <f>HYPERLINK("https://klasma.github.io/Logging_0581/kartor_geotiff/A 25707-2026 georefererad karta.tif", "A 25707-2026")</f>
        <v/>
      </c>
      <c r="AA165">
        <f>HYPERLINK("https://klasma.github.io/Logging_0581/klagomål/A 25707-2026 FSC-klagomål.docx", "A 25707-2026")</f>
        <v/>
      </c>
      <c r="AB165">
        <f>HYPERLINK("https://klasma.github.io/Logging_0581/klagomålsmail/A 25707-2026 FSC-klagomål mail.docx", "A 25707-2026")</f>
        <v/>
      </c>
      <c r="AC165">
        <f>HYPERLINK("https://klasma.github.io/Logging_0581/tillsyn/A 25707-2026 tillsynsbegäran.docx", "A 25707-2026")</f>
        <v/>
      </c>
      <c r="AD165">
        <f>HYPERLINK("https://klasma.github.io/Logging_0581/tillsynsmail/A 25707-2026 tillsynsbegäran mail.docx", "A 25707-2026")</f>
        <v/>
      </c>
    </row>
    <row r="166" ht="15" customHeight="1">
      <c r="A166" t="inlineStr">
        <is>
          <t>A 46957-2023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46250</v>
      </c>
      <c r="F166" t="inlineStr">
        <is>
          <t>ÖSTERGÖTLANDS LÄN</t>
        </is>
      </c>
      <c r="G166" t="inlineStr">
        <is>
          <t>NORRKÖPING</t>
        </is>
      </c>
      <c r="I166" t="n">
        <v>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Vedskivlav</t>
        </is>
      </c>
      <c r="W166">
        <f>HYPERLINK("https://klasma.github.io/Logging_0581/artfynd/A 46957-2023 artfynd.xlsx", "A 46957-2023")</f>
        <v/>
      </c>
      <c r="X166">
        <f>HYPERLINK("https://klasma.github.io/Logging_0581/kartor/A 46957-2023 karta.png", "A 46957-2023")</f>
        <v/>
      </c>
      <c r="Y166">
        <f>HYPERLINK("https://klasma.github.io/Logging_0581/kartor_geotiff/A 46957-2023 georefererad karta.tif", "A 46957-2023")</f>
        <v/>
      </c>
      <c r="AA166">
        <f>HYPERLINK("https://klasma.github.io/Logging_0581/klagomål/A 46957-2023 FSC-klagomål.docx", "A 46957-2023")</f>
        <v/>
      </c>
      <c r="AB166">
        <f>HYPERLINK("https://klasma.github.io/Logging_0581/klagomålsmail/A 46957-2023 FSC-klagomål mail.docx", "A 46957-2023")</f>
        <v/>
      </c>
      <c r="AC166">
        <f>HYPERLINK("https://klasma.github.io/Logging_0581/tillsyn/A 46957-2023 tillsynsbegäran.docx", "A 46957-2023")</f>
        <v/>
      </c>
      <c r="AD166">
        <f>HYPERLINK("https://klasma.github.io/Logging_0581/tillsynsmail/A 46957-2023 tillsynsbegäran mail.docx", "A 46957-2023")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46250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46671-2024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46250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Kattfotslav</t>
        </is>
      </c>
      <c r="W168">
        <f>HYPERLINK("https://klasma.github.io/Logging_0581/artfynd/A 46671-2024 artfynd.xlsx", "A 46671-2024")</f>
        <v/>
      </c>
      <c r="X168">
        <f>HYPERLINK("https://klasma.github.io/Logging_0581/kartor/A 46671-2024 karta.png", "A 46671-2024")</f>
        <v/>
      </c>
      <c r="Y168">
        <f>HYPERLINK("https://klasma.github.io/Logging_0581/kartor_geotiff/A 46671-2024 georefererad karta.tif", "A 46671-2024")</f>
        <v/>
      </c>
      <c r="AA168">
        <f>HYPERLINK("https://klasma.github.io/Logging_0581/klagomål/A 46671-2024 FSC-klagomål.docx", "A 46671-2024")</f>
        <v/>
      </c>
      <c r="AB168">
        <f>HYPERLINK("https://klasma.github.io/Logging_0581/klagomålsmail/A 46671-2024 FSC-klagomål mail.docx", "A 46671-2024")</f>
        <v/>
      </c>
      <c r="AC168">
        <f>HYPERLINK("https://klasma.github.io/Logging_0581/tillsyn/A 46671-2024 tillsynsbegäran.docx", "A 46671-2024")</f>
        <v/>
      </c>
      <c r="AD168">
        <f>HYPERLINK("https://klasma.github.io/Logging_0581/tillsynsmail/A 46671-2024 tillsynsbegäran mail.docx", "A 46671-2024")</f>
        <v/>
      </c>
    </row>
    <row r="169" ht="15" customHeight="1">
      <c r="A169" t="inlineStr">
        <is>
          <t>A 27107-2023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46250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0.5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Svartvit flugsnappare</t>
        </is>
      </c>
      <c r="W169">
        <f>HYPERLINK("https://klasma.github.io/Logging_0581/artfynd/A 27107-2023 artfynd.xlsx", "A 27107-2023")</f>
        <v/>
      </c>
      <c r="X169">
        <f>HYPERLINK("https://klasma.github.io/Logging_0581/kartor/A 27107-2023 karta.png", "A 27107-2023")</f>
        <v/>
      </c>
      <c r="Y169">
        <f>HYPERLINK("https://klasma.github.io/Logging_0581/kartor_geotiff/A 27107-2023 georefererad karta.tif", "A 27107-2023")</f>
        <v/>
      </c>
      <c r="AA169">
        <f>HYPERLINK("https://klasma.github.io/Logging_0581/klagomål/A 27107-2023 FSC-klagomål.docx", "A 27107-2023")</f>
        <v/>
      </c>
      <c r="AB169">
        <f>HYPERLINK("https://klasma.github.io/Logging_0581/klagomålsmail/A 27107-2023 FSC-klagomål mail.docx", "A 27107-2023")</f>
        <v/>
      </c>
      <c r="AC169">
        <f>HYPERLINK("https://klasma.github.io/Logging_0581/tillsyn/A 27107-2023 tillsynsbegäran.docx", "A 27107-2023")</f>
        <v/>
      </c>
      <c r="AD169">
        <f>HYPERLINK("https://klasma.github.io/Logging_0581/tillsynsmail/A 27107-2023 tillsynsbegäran mail.docx", "A 27107-2023")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46250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46250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46250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46250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46250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A 32815-2026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46250</v>
      </c>
      <c r="F175" t="inlineStr">
        <is>
          <t>ÖSTERGÖTLANDS LÄN</t>
        </is>
      </c>
      <c r="G175" t="inlineStr">
        <is>
          <t>NORRKÖPING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Ärtsångare</t>
        </is>
      </c>
      <c r="W175">
        <f>HYPERLINK("https://klasma.github.io/Logging_0581/artfynd/A 32815-2026 artfynd.xlsx", "A 32815-2026")</f>
        <v/>
      </c>
      <c r="X175">
        <f>HYPERLINK("https://klasma.github.io/Logging_0581/kartor/A 32815-2026 karta.png", "A 32815-2026")</f>
        <v/>
      </c>
      <c r="Y175">
        <f>HYPERLINK("https://klasma.github.io/Logging_0581/kartor_geotiff/A 32815-2026 georefererad karta.tif", "A 32815-2026")</f>
        <v/>
      </c>
      <c r="AA175">
        <f>HYPERLINK("https://klasma.github.io/Logging_0581/klagomål/A 32815-2026 FSC-klagomål.docx", "A 32815-2026")</f>
        <v/>
      </c>
      <c r="AB175">
        <f>HYPERLINK("https://klasma.github.io/Logging_0581/klagomålsmail/A 32815-2026 FSC-klagomål mail.docx", "A 32815-2026")</f>
        <v/>
      </c>
      <c r="AC175">
        <f>HYPERLINK("https://klasma.github.io/Logging_0581/tillsyn/A 32815-2026 tillsynsbegäran.docx", "A 32815-2026")</f>
        <v/>
      </c>
      <c r="AD175">
        <f>HYPERLINK("https://klasma.github.io/Logging_0581/tillsynsmail/A 32815-2026 tillsynsbegäran mail.docx", "A 32815-2026")</f>
        <v/>
      </c>
    </row>
    <row r="176" ht="15" customHeight="1">
      <c r="A176" t="inlineStr">
        <is>
          <t>A 29202-2026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46250</v>
      </c>
      <c r="F176" t="inlineStr">
        <is>
          <t>ÖSTERGÖTLANDS LÄN</t>
        </is>
      </c>
      <c r="G176" t="inlineStr">
        <is>
          <t>NORRKÖPING</t>
        </is>
      </c>
      <c r="I176" t="n">
        <v>2.5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HYPERLINK("https://klasma.github.io/Logging_0581/artfynd/A 29202-2026 artfynd.xlsx", "A 29202-2026")</f>
        <v/>
      </c>
      <c r="X176">
        <f>HYPERLINK("https://klasma.github.io/Logging_0581/kartor/A 29202-2026 karta.png", "A 29202-2026")</f>
        <v/>
      </c>
      <c r="Y176">
        <f>HYPERLINK("https://klasma.github.io/Logging_0581/kartor_geotiff/A 29202-2026 georefererad karta.tif", "A 29202-2026")</f>
        <v/>
      </c>
      <c r="AA176">
        <f>HYPERLINK("https://klasma.github.io/Logging_0581/klagomål/A 29202-2026 FSC-klagomål.docx", "A 29202-2026")</f>
        <v/>
      </c>
      <c r="AB176">
        <f>HYPERLINK("https://klasma.github.io/Logging_0581/klagomålsmail/A 29202-2026 FSC-klagomål mail.docx", "A 29202-2026")</f>
        <v/>
      </c>
      <c r="AC176">
        <f>HYPERLINK("https://klasma.github.io/Logging_0581/tillsyn/A 29202-2026 tillsynsbegäran.docx", "A 29202-2026")</f>
        <v/>
      </c>
      <c r="AD176">
        <f>HYPERLINK("https://klasma.github.io/Logging_0581/tillsynsmail/A 29202-2026 tillsynsbegäran mail.docx", "A 29202-2026")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46250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46250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46250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46250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46250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46250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46250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46250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46250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46250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46250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46250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46250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46250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46250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46250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46250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46250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46250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46250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46250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46250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46250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46250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46250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46250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46250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46250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46250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46250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46250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46250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46250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46250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46250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46250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46250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46250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46250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46250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46250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46250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46250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46250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46250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46250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46250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46250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46250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46250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46250</v>
      </c>
      <c r="F231" t="inlineStr">
        <is>
          <t>ÖSTERGÖTLANDS LÄN</t>
        </is>
      </c>
      <c r="G231" t="inlineStr">
        <is>
          <t>NORRKÖPING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46250</v>
      </c>
      <c r="F232" t="inlineStr">
        <is>
          <t>ÖSTERGÖTLANDS LÄN</t>
        </is>
      </c>
      <c r="G232" t="inlineStr">
        <is>
          <t>NORRKÖPING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36954-2022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46250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46250</v>
      </c>
      <c r="F234" t="inlineStr">
        <is>
          <t>ÖSTERGÖTLANDS LÄN</t>
        </is>
      </c>
      <c r="G234" t="inlineStr">
        <is>
          <t>NORRKÖPING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46250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46250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46250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46250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46250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46250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45723</v>
      </c>
      <c r="E241" s="1" t="n">
        <v>46250</v>
      </c>
      <c r="F241" t="inlineStr">
        <is>
          <t>ÖSTERGÖTLANDS LÄN</t>
        </is>
      </c>
      <c r="G241" t="inlineStr">
        <is>
          <t>NORRKÖPING</t>
        </is>
      </c>
      <c r="I241" t="n">
        <v>13.9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46250</v>
      </c>
      <c r="F242" t="inlineStr">
        <is>
          <t>ÖSTERGÖTLANDS LÄN</t>
        </is>
      </c>
      <c r="G242" t="inlineStr">
        <is>
          <t>NORRKÖPING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53500-2022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44874</v>
      </c>
      <c r="E243" s="1" t="n">
        <v>46250</v>
      </c>
      <c r="F243" t="inlineStr">
        <is>
          <t>ÖSTERGÖTLANDS LÄN</t>
        </is>
      </c>
      <c r="G243" t="inlineStr">
        <is>
          <t>NORRKÖPING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46250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44726</v>
      </c>
      <c r="E245" s="1" t="n">
        <v>46250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Allmännings- och besparingsskogar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44860</v>
      </c>
      <c r="E246" s="1" t="n">
        <v>46250</v>
      </c>
      <c r="F246" t="inlineStr">
        <is>
          <t>ÖSTERGÖTLANDS LÄN</t>
        </is>
      </c>
      <c r="G246" t="inlineStr">
        <is>
          <t>NORRKÖPING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46250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44487</v>
      </c>
      <c r="E248" s="1" t="n">
        <v>46250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46250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Naturvårdsverket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46250</v>
      </c>
      <c r="F250" t="inlineStr">
        <is>
          <t>ÖSTERGÖTLANDS LÄN</t>
        </is>
      </c>
      <c r="G250" t="inlineStr">
        <is>
          <t>NORRKÖPING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46250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44452</v>
      </c>
      <c r="E252" s="1" t="n">
        <v>46250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44596</v>
      </c>
      <c r="E253" s="1" t="n">
        <v>46250</v>
      </c>
      <c r="F253" t="inlineStr">
        <is>
          <t>ÖSTERGÖTLANDS LÄN</t>
        </is>
      </c>
      <c r="G253" t="inlineStr">
        <is>
          <t>NORRKÖPING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45401</v>
      </c>
      <c r="E254" s="1" t="n">
        <v>46250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53444-2021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44468</v>
      </c>
      <c r="E255" s="1" t="n">
        <v>46250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51877-2021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44462</v>
      </c>
      <c r="E256" s="1" t="n">
        <v>46250</v>
      </c>
      <c r="F256" t="inlineStr">
        <is>
          <t>ÖSTERGÖTLANDS LÄN</t>
        </is>
      </c>
      <c r="G256" t="inlineStr">
        <is>
          <t>NORRKÖPING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63417-2023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46250</v>
      </c>
      <c r="F257" t="inlineStr">
        <is>
          <t>ÖSTERGÖTLANDS LÄN</t>
        </is>
      </c>
      <c r="G257" t="inlineStr">
        <is>
          <t>NORRKÖPING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44433</v>
      </c>
      <c r="E258" s="1" t="n">
        <v>46250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46250</v>
      </c>
      <c r="F259" t="inlineStr">
        <is>
          <t>ÖSTERGÖTLANDS LÄN</t>
        </is>
      </c>
      <c r="G259" t="inlineStr">
        <is>
          <t>NORRKÖPING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46250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46250</v>
      </c>
      <c r="F261" t="inlineStr">
        <is>
          <t>ÖSTERGÖTLANDS LÄN</t>
        </is>
      </c>
      <c r="G261" t="inlineStr">
        <is>
          <t>NORRKÖPING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46250</v>
      </c>
      <c r="F262" t="inlineStr">
        <is>
          <t>ÖSTERGÖTLANDS LÄN</t>
        </is>
      </c>
      <c r="G262" t="inlineStr">
        <is>
          <t>NORRKÖPING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45881</v>
      </c>
      <c r="E263" s="1" t="n">
        <v>46250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49456-2022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46250</v>
      </c>
      <c r="F264" t="inlineStr">
        <is>
          <t>ÖSTERGÖTLANDS LÄN</t>
        </is>
      </c>
      <c r="G264" t="inlineStr">
        <is>
          <t>NORRKÖPING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45425</v>
      </c>
      <c r="E265" s="1" t="n">
        <v>46250</v>
      </c>
      <c r="F265" t="inlineStr">
        <is>
          <t>ÖSTERGÖTLANDS LÄN</t>
        </is>
      </c>
      <c r="G265" t="inlineStr">
        <is>
          <t>NORRKÖPING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46250</v>
      </c>
      <c r="F266" t="inlineStr">
        <is>
          <t>ÖSTERGÖTLANDS LÄN</t>
        </is>
      </c>
      <c r="G266" t="inlineStr">
        <is>
          <t>NORRKÖPING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46250</v>
      </c>
      <c r="F267" t="inlineStr">
        <is>
          <t>ÖSTERGÖTLANDS LÄN</t>
        </is>
      </c>
      <c r="G267" t="inlineStr">
        <is>
          <t>NORRKÖPING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46250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46250</v>
      </c>
      <c r="F269" t="inlineStr">
        <is>
          <t>ÖSTERGÖTLANDS LÄN</t>
        </is>
      </c>
      <c r="G269" t="inlineStr">
        <is>
          <t>NORRKÖPING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45317</v>
      </c>
      <c r="E270" s="1" t="n">
        <v>46250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46250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46250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46250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46250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Allmännings- och besparingsskogar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45362-2021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44439</v>
      </c>
      <c r="E275" s="1" t="n">
        <v>46250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44939</v>
      </c>
      <c r="E276" s="1" t="n">
        <v>46250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Naturvårdsverket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46250</v>
      </c>
      <c r="F277" t="inlineStr">
        <is>
          <t>ÖSTERGÖTLANDS LÄN</t>
        </is>
      </c>
      <c r="G277" t="inlineStr">
        <is>
          <t>NORRKÖPING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44858</v>
      </c>
      <c r="E278" s="1" t="n">
        <v>46250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46250</v>
      </c>
      <c r="F279" t="inlineStr">
        <is>
          <t>ÖSTERGÖTLANDS LÄN</t>
        </is>
      </c>
      <c r="G279" t="inlineStr">
        <is>
          <t>NORRKÖPING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44445</v>
      </c>
      <c r="E280" s="1" t="n">
        <v>46250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46250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46250</v>
      </c>
      <c r="F282" t="inlineStr">
        <is>
          <t>ÖSTERGÖTLANDS LÄN</t>
        </is>
      </c>
      <c r="G282" t="inlineStr">
        <is>
          <t>NORRKÖPING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49882-2021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44455</v>
      </c>
      <c r="E283" s="1" t="n">
        <v>46250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46250</v>
      </c>
      <c r="F284" t="inlineStr">
        <is>
          <t>ÖSTERGÖTLANDS LÄN</t>
        </is>
      </c>
      <c r="G284" t="inlineStr">
        <is>
          <t>NORRKÖPING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44956</v>
      </c>
      <c r="E285" s="1" t="n">
        <v>46250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44956</v>
      </c>
      <c r="E286" s="1" t="n">
        <v>46250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46250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46250</v>
      </c>
      <c r="F288" t="inlineStr">
        <is>
          <t>ÖSTERGÖTLANDS LÄN</t>
        </is>
      </c>
      <c r="G288" t="inlineStr">
        <is>
          <t>NORRKÖPING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46250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51419-2022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44869</v>
      </c>
      <c r="E290" s="1" t="n">
        <v>46250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46250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45709</v>
      </c>
      <c r="E292" s="1" t="n">
        <v>46250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46250</v>
      </c>
      <c r="F293" t="inlineStr">
        <is>
          <t>ÖSTERGÖTLANDS LÄN</t>
        </is>
      </c>
      <c r="G293" t="inlineStr">
        <is>
          <t>NORRKÖPING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46250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15869-2024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45405</v>
      </c>
      <c r="E295" s="1" t="n">
        <v>46250</v>
      </c>
      <c r="F295" t="inlineStr">
        <is>
          <t>ÖSTERGÖTLANDS LÄN</t>
        </is>
      </c>
      <c r="G295" t="inlineStr">
        <is>
          <t>NORRKÖPING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46250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46250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46250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45268</v>
      </c>
      <c r="E299" s="1" t="n">
        <v>46250</v>
      </c>
      <c r="F299" t="inlineStr">
        <is>
          <t>ÖSTERGÖTLANDS LÄN</t>
        </is>
      </c>
      <c r="G299" t="inlineStr">
        <is>
          <t>NORRKÖPING</t>
        </is>
      </c>
      <c r="I299" t="n">
        <v>12.5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45043</v>
      </c>
      <c r="E300" s="1" t="n">
        <v>46250</v>
      </c>
      <c r="F300" t="inlineStr">
        <is>
          <t>ÖSTERGÖTLANDS LÄN</t>
        </is>
      </c>
      <c r="G300" t="inlineStr">
        <is>
          <t>NORRKÖPING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46250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46250</v>
      </c>
      <c r="F302" t="inlineStr">
        <is>
          <t>ÖSTERGÖTLANDS LÄN</t>
        </is>
      </c>
      <c r="G302" t="inlineStr">
        <is>
          <t>NORRKÖPING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46250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45490</v>
      </c>
      <c r="E304" s="1" t="n">
        <v>46250</v>
      </c>
      <c r="F304" t="inlineStr">
        <is>
          <t>ÖSTERGÖTLANDS LÄN</t>
        </is>
      </c>
      <c r="G304" t="inlineStr">
        <is>
          <t>NORRKÖPING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46250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50157-2022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44865</v>
      </c>
      <c r="E306" s="1" t="n">
        <v>46250</v>
      </c>
      <c r="F306" t="inlineStr">
        <is>
          <t>ÖSTERGÖTLANDS LÄN</t>
        </is>
      </c>
      <c r="G306" t="inlineStr">
        <is>
          <t>NORRKÖPING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44930</v>
      </c>
      <c r="E307" s="1" t="n">
        <v>46250</v>
      </c>
      <c r="F307" t="inlineStr">
        <is>
          <t>ÖSTERGÖTLANDS LÄN</t>
        </is>
      </c>
      <c r="G307" t="inlineStr">
        <is>
          <t>NORRKÖPING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46250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44862</v>
      </c>
      <c r="E309" s="1" t="n">
        <v>46250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46250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46250</v>
      </c>
      <c r="F311" t="inlineStr">
        <is>
          <t>ÖSTERGÖTLANDS LÄN</t>
        </is>
      </c>
      <c r="G311" t="inlineStr">
        <is>
          <t>NORRKÖPING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45896</v>
      </c>
      <c r="E312" s="1" t="n">
        <v>46250</v>
      </c>
      <c r="F312" t="inlineStr">
        <is>
          <t>ÖSTERGÖTLANDS LÄN</t>
        </is>
      </c>
      <c r="G312" t="inlineStr">
        <is>
          <t>NORRKÖPING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44936</v>
      </c>
      <c r="E313" s="1" t="n">
        <v>46250</v>
      </c>
      <c r="F313" t="inlineStr">
        <is>
          <t>ÖSTERGÖTLANDS LÄN</t>
        </is>
      </c>
      <c r="G313" t="inlineStr">
        <is>
          <t>NORRKÖPING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46250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46250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46250</v>
      </c>
      <c r="F316" t="inlineStr">
        <is>
          <t>ÖSTERGÖTLANDS LÄN</t>
        </is>
      </c>
      <c r="G316" t="inlineStr">
        <is>
          <t>NORRKÖPING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46250</v>
      </c>
      <c r="F317" t="inlineStr">
        <is>
          <t>ÖSTERGÖTLANDS LÄN</t>
        </is>
      </c>
      <c r="G317" t="inlineStr">
        <is>
          <t>NORRKÖPING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46250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46250</v>
      </c>
      <c r="F319" t="inlineStr">
        <is>
          <t>ÖSTERGÖTLANDS LÄN</t>
        </is>
      </c>
      <c r="G319" t="inlineStr">
        <is>
          <t>NORRKÖPING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35701-2024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45532</v>
      </c>
      <c r="E320" s="1" t="n">
        <v>46250</v>
      </c>
      <c r="F320" t="inlineStr">
        <is>
          <t>ÖSTERGÖTLANDS LÄN</t>
        </is>
      </c>
      <c r="G320" t="inlineStr">
        <is>
          <t>NORRKÖPING</t>
        </is>
      </c>
      <c r="I320" t="n">
        <v>11.7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45903</v>
      </c>
      <c r="E321" s="1" t="n">
        <v>46250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46250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46250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46250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42766-2025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46250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45414</v>
      </c>
      <c r="E326" s="1" t="n">
        <v>46250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46250</v>
      </c>
      <c r="F327" t="inlineStr">
        <is>
          <t>ÖSTERGÖTLANDS LÄN</t>
        </is>
      </c>
      <c r="G327" t="inlineStr">
        <is>
          <t>NORRKÖPING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46250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46250</v>
      </c>
      <c r="F329" t="inlineStr">
        <is>
          <t>ÖSTERGÖTLANDS LÄN</t>
        </is>
      </c>
      <c r="G329" t="inlineStr">
        <is>
          <t>NORRKÖPING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46250</v>
      </c>
      <c r="F330" t="inlineStr">
        <is>
          <t>ÖSTERGÖTLANDS LÄN</t>
        </is>
      </c>
      <c r="G330" t="inlineStr">
        <is>
          <t>NORRKÖPING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46250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46250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46250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46250</v>
      </c>
      <c r="F334" t="inlineStr">
        <is>
          <t>ÖSTERGÖTLANDS LÄN</t>
        </is>
      </c>
      <c r="G334" t="inlineStr">
        <is>
          <t>NORRKÖPING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46746-2025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45926</v>
      </c>
      <c r="E335" s="1" t="n">
        <v>46250</v>
      </c>
      <c r="F335" t="inlineStr">
        <is>
          <t>ÖSTERGÖTLANDS LÄN</t>
        </is>
      </c>
      <c r="G335" t="inlineStr">
        <is>
          <t>NORRKÖPING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46250</v>
      </c>
      <c r="F336" t="inlineStr">
        <is>
          <t>ÖSTERGÖTLANDS LÄN</t>
        </is>
      </c>
      <c r="G336" t="inlineStr">
        <is>
          <t>NORRKÖPING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11693-2026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46250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45399</v>
      </c>
      <c r="E338" s="1" t="n">
        <v>46250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46250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47345-2023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46250</v>
      </c>
      <c r="F340" t="inlineStr">
        <is>
          <t>ÖSTERGÖTLANDS LÄN</t>
        </is>
      </c>
      <c r="G340" t="inlineStr">
        <is>
          <t>NORRKÖPING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10393-2024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45365</v>
      </c>
      <c r="E341" s="1" t="n">
        <v>46250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44862</v>
      </c>
      <c r="E342" s="1" t="n">
        <v>46250</v>
      </c>
      <c r="F342" t="inlineStr">
        <is>
          <t>ÖSTERGÖTLANDS LÄN</t>
        </is>
      </c>
      <c r="G342" t="inlineStr">
        <is>
          <t>NORRKÖPING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46250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46250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9696-2025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46250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46250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45873</v>
      </c>
      <c r="E347" s="1" t="n">
        <v>46250</v>
      </c>
      <c r="F347" t="inlineStr">
        <is>
          <t>ÖSTERGÖTLANDS LÄN</t>
        </is>
      </c>
      <c r="G347" t="inlineStr">
        <is>
          <t>NORRKÖPING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44859</v>
      </c>
      <c r="E348" s="1" t="n">
        <v>46250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44936</v>
      </c>
      <c r="E349" s="1" t="n">
        <v>46250</v>
      </c>
      <c r="F349" t="inlineStr">
        <is>
          <t>ÖSTERGÖTLANDS LÄN</t>
        </is>
      </c>
      <c r="G349" t="inlineStr">
        <is>
          <t>NORRKÖPING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53899-2021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44469</v>
      </c>
      <c r="E350" s="1" t="n">
        <v>46250</v>
      </c>
      <c r="F350" t="inlineStr">
        <is>
          <t>ÖSTERGÖTLANDS LÄN</t>
        </is>
      </c>
      <c r="G350" t="inlineStr">
        <is>
          <t>NORRKÖPING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46250</v>
      </c>
      <c r="F351" t="inlineStr">
        <is>
          <t>ÖSTERGÖTLANDS LÄN</t>
        </is>
      </c>
      <c r="G351" t="inlineStr">
        <is>
          <t>NORRKÖPING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46250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44851</v>
      </c>
      <c r="E353" s="1" t="n">
        <v>46250</v>
      </c>
      <c r="F353" t="inlineStr">
        <is>
          <t>ÖSTERGÖTLANDS LÄN</t>
        </is>
      </c>
      <c r="G353" t="inlineStr">
        <is>
          <t>NORRKÖPING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45106</v>
      </c>
      <c r="E354" s="1" t="n">
        <v>46250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45763</v>
      </c>
      <c r="E355" s="1" t="n">
        <v>46250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46250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16689-2023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45030</v>
      </c>
      <c r="E357" s="1" t="n">
        <v>46250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9806-2026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46250</v>
      </c>
      <c r="F358" t="inlineStr">
        <is>
          <t>ÖSTERGÖTLANDS LÄN</t>
        </is>
      </c>
      <c r="G358" t="inlineStr">
        <is>
          <t>NORRKÖPING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46250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44889</v>
      </c>
      <c r="E360" s="1" t="n">
        <v>46250</v>
      </c>
      <c r="F360" t="inlineStr">
        <is>
          <t>ÖSTERGÖTLANDS LÄN</t>
        </is>
      </c>
      <c r="G360" t="inlineStr">
        <is>
          <t>NORRKÖPING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46250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46250</v>
      </c>
      <c r="F362" t="inlineStr">
        <is>
          <t>ÖSTERGÖTLANDS LÄN</t>
        </is>
      </c>
      <c r="G362" t="inlineStr">
        <is>
          <t>NORRKÖPING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46250</v>
      </c>
      <c r="F363" t="inlineStr">
        <is>
          <t>ÖSTERGÖTLANDS LÄN</t>
        </is>
      </c>
      <c r="G363" t="inlineStr">
        <is>
          <t>NORRKÖPING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46250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44767</v>
      </c>
      <c r="E365" s="1" t="n">
        <v>46250</v>
      </c>
      <c r="F365" t="inlineStr">
        <is>
          <t>ÖSTERGÖTLANDS LÄN</t>
        </is>
      </c>
      <c r="G365" t="inlineStr">
        <is>
          <t>NORRKÖPING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46250</v>
      </c>
      <c r="F366" t="inlineStr">
        <is>
          <t>ÖSTERGÖTLANDS LÄN</t>
        </is>
      </c>
      <c r="G366" t="inlineStr">
        <is>
          <t>NORRKÖPING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46250</v>
      </c>
      <c r="F367" t="inlineStr">
        <is>
          <t>ÖSTERGÖTLANDS LÄN</t>
        </is>
      </c>
      <c r="G367" t="inlineStr">
        <is>
          <t>NORRKÖPING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46250</v>
      </c>
      <c r="F368" t="inlineStr">
        <is>
          <t>ÖSTERGÖTLANDS LÄN</t>
        </is>
      </c>
      <c r="G368" t="inlineStr">
        <is>
          <t>NORRKÖPING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60233-2022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44910</v>
      </c>
      <c r="E369" s="1" t="n">
        <v>46250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46250</v>
      </c>
      <c r="F370" t="inlineStr">
        <is>
          <t>ÖSTERGÖTLANDS LÄN</t>
        </is>
      </c>
      <c r="G370" t="inlineStr">
        <is>
          <t>NORRKÖPING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46250</v>
      </c>
      <c r="F371" t="inlineStr">
        <is>
          <t>ÖSTERGÖTLANDS LÄN</t>
        </is>
      </c>
      <c r="G371" t="inlineStr">
        <is>
          <t>NORRKÖPING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45268</v>
      </c>
      <c r="E372" s="1" t="n">
        <v>46250</v>
      </c>
      <c r="F372" t="inlineStr">
        <is>
          <t>ÖSTERGÖTLANDS LÄN</t>
        </is>
      </c>
      <c r="G372" t="inlineStr">
        <is>
          <t>NORRKÖPING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46250</v>
      </c>
      <c r="F373" t="inlineStr">
        <is>
          <t>ÖSTERGÖTLANDS LÄN</t>
        </is>
      </c>
      <c r="G373" t="inlineStr">
        <is>
          <t>NORRKÖPING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46250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46250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46250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44597</v>
      </c>
      <c r="E377" s="1" t="n">
        <v>46250</v>
      </c>
      <c r="F377" t="inlineStr">
        <is>
          <t>ÖSTERGÖTLANDS LÄN</t>
        </is>
      </c>
      <c r="G377" t="inlineStr">
        <is>
          <t>NORRKÖPING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46250</v>
      </c>
      <c r="F378" t="inlineStr">
        <is>
          <t>ÖSTERGÖTLANDS LÄN</t>
        </is>
      </c>
      <c r="G378" t="inlineStr">
        <is>
          <t>NORRKÖPING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44754</v>
      </c>
      <c r="E379" s="1" t="n">
        <v>46250</v>
      </c>
      <c r="F379" t="inlineStr">
        <is>
          <t>ÖSTERGÖTLANDS LÄN</t>
        </is>
      </c>
      <c r="G379" t="inlineStr">
        <is>
          <t>NORRKÖPING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44739</v>
      </c>
      <c r="E380" s="1" t="n">
        <v>46250</v>
      </c>
      <c r="F380" t="inlineStr">
        <is>
          <t>ÖSTERGÖTLANDS LÄN</t>
        </is>
      </c>
      <c r="G380" t="inlineStr">
        <is>
          <t>NORRKÖPING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46250</v>
      </c>
      <c r="F381" t="inlineStr">
        <is>
          <t>ÖSTERGÖTLANDS LÄN</t>
        </is>
      </c>
      <c r="G381" t="inlineStr">
        <is>
          <t>NORRKÖPING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46250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14674-2026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46250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46250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45201</v>
      </c>
      <c r="E385" s="1" t="n">
        <v>46250</v>
      </c>
      <c r="F385" t="inlineStr">
        <is>
          <t>ÖSTERGÖTLANDS LÄN</t>
        </is>
      </c>
      <c r="G385" t="inlineStr">
        <is>
          <t>NORRKÖPING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45215</v>
      </c>
      <c r="E386" s="1" t="n">
        <v>46250</v>
      </c>
      <c r="F386" t="inlineStr">
        <is>
          <t>ÖSTERGÖTLANDS LÄN</t>
        </is>
      </c>
      <c r="G386" t="inlineStr">
        <is>
          <t>NORRKÖPING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46250</v>
      </c>
      <c r="F387" t="inlineStr">
        <is>
          <t>ÖSTERGÖTLANDS LÄN</t>
        </is>
      </c>
      <c r="G387" t="inlineStr">
        <is>
          <t>NORRKÖPING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42390-2021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44427</v>
      </c>
      <c r="E388" s="1" t="n">
        <v>46250</v>
      </c>
      <c r="F388" t="inlineStr">
        <is>
          <t>ÖSTERGÖTLANDS LÄN</t>
        </is>
      </c>
      <c r="G388" t="inlineStr">
        <is>
          <t>NORRKÖPING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45369</v>
      </c>
      <c r="E389" s="1" t="n">
        <v>46250</v>
      </c>
      <c r="F389" t="inlineStr">
        <is>
          <t>ÖSTERGÖTLANDS LÄN</t>
        </is>
      </c>
      <c r="G389" t="inlineStr">
        <is>
          <t>NORRKÖPING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50112-2023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46250</v>
      </c>
      <c r="F390" t="inlineStr">
        <is>
          <t>ÖSTERGÖTLANDS LÄN</t>
        </is>
      </c>
      <c r="G390" t="inlineStr">
        <is>
          <t>NORRKÖPING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45678</v>
      </c>
      <c r="E391" s="1" t="n">
        <v>46250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44936</v>
      </c>
      <c r="E392" s="1" t="n">
        <v>46250</v>
      </c>
      <c r="F392" t="inlineStr">
        <is>
          <t>ÖSTERGÖTLANDS LÄN</t>
        </is>
      </c>
      <c r="G392" t="inlineStr">
        <is>
          <t>NORRKÖPING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46250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45053</v>
      </c>
      <c r="E394" s="1" t="n">
        <v>46250</v>
      </c>
      <c r="F394" t="inlineStr">
        <is>
          <t>ÖSTERGÖTLANDS LÄN</t>
        </is>
      </c>
      <c r="G394" t="inlineStr">
        <is>
          <t>NORRKÖPING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53694-2025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46250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46250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46250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45961</v>
      </c>
      <c r="E398" s="1" t="n">
        <v>46250</v>
      </c>
      <c r="F398" t="inlineStr">
        <is>
          <t>ÖSTERGÖTLANDS LÄN</t>
        </is>
      </c>
      <c r="G398" t="inlineStr">
        <is>
          <t>NORRKÖPING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46250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45043</v>
      </c>
      <c r="E400" s="1" t="n">
        <v>46250</v>
      </c>
      <c r="F400" t="inlineStr">
        <is>
          <t>ÖSTERGÖTLANDS LÄN</t>
        </is>
      </c>
      <c r="G400" t="inlineStr">
        <is>
          <t>NORRKÖPING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45174</v>
      </c>
      <c r="E401" s="1" t="n">
        <v>46250</v>
      </c>
      <c r="F401" t="inlineStr">
        <is>
          <t>ÖSTERGÖTLANDS LÄN</t>
        </is>
      </c>
      <c r="G401" t="inlineStr">
        <is>
          <t>NORRKÖPING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41382-2023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45174</v>
      </c>
      <c r="E402" s="1" t="n">
        <v>46250</v>
      </c>
      <c r="F402" t="inlineStr">
        <is>
          <t>ÖSTERGÖTLANDS LÄN</t>
        </is>
      </c>
      <c r="G402" t="inlineStr">
        <is>
          <t>NORRKÖPING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47895-2021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44448</v>
      </c>
      <c r="E403" s="1" t="n">
        <v>46250</v>
      </c>
      <c r="F403" t="inlineStr">
        <is>
          <t>ÖSTERGÖTLANDS LÄN</t>
        </is>
      </c>
      <c r="G403" t="inlineStr">
        <is>
          <t>NORRKÖPING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46250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46250</v>
      </c>
      <c r="F405" t="inlineStr">
        <is>
          <t>ÖSTERGÖTLANDS LÄN</t>
        </is>
      </c>
      <c r="G405" t="inlineStr">
        <is>
          <t>NORRKÖPING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45453</v>
      </c>
      <c r="E406" s="1" t="n">
        <v>46250</v>
      </c>
      <c r="F406" t="inlineStr">
        <is>
          <t>ÖSTERGÖTLANDS LÄN</t>
        </is>
      </c>
      <c r="G406" t="inlineStr">
        <is>
          <t>NORRKÖPING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46250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16682-2026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46250</v>
      </c>
      <c r="F408" t="inlineStr">
        <is>
          <t>ÖSTERGÖTLANDS LÄN</t>
        </is>
      </c>
      <c r="G408" t="inlineStr">
        <is>
          <t>NORRKÖPING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46250</v>
      </c>
      <c r="F409" t="inlineStr">
        <is>
          <t>ÖSTERGÖTLANDS LÄN</t>
        </is>
      </c>
      <c r="G409" t="inlineStr">
        <is>
          <t>NORRKÖPING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46250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46250</v>
      </c>
      <c r="F411" t="inlineStr">
        <is>
          <t>ÖSTERGÖTLANDS LÄN</t>
        </is>
      </c>
      <c r="G411" t="inlineStr">
        <is>
          <t>NORRKÖPING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45043</v>
      </c>
      <c r="E412" s="1" t="n">
        <v>46250</v>
      </c>
      <c r="F412" t="inlineStr">
        <is>
          <t>ÖSTERGÖTLANDS LÄN</t>
        </is>
      </c>
      <c r="G412" t="inlineStr">
        <is>
          <t>NORRKÖPING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44861</v>
      </c>
      <c r="E413" s="1" t="n">
        <v>46250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46250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Allmännings- och besparingsskogar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45008</v>
      </c>
      <c r="E415" s="1" t="n">
        <v>46250</v>
      </c>
      <c r="F415" t="inlineStr">
        <is>
          <t>ÖSTERGÖTLANDS LÄN</t>
        </is>
      </c>
      <c r="G415" t="inlineStr">
        <is>
          <t>NORRKÖPING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45112</v>
      </c>
      <c r="E416" s="1" t="n">
        <v>46250</v>
      </c>
      <c r="F416" t="inlineStr">
        <is>
          <t>ÖSTERGÖTLANDS LÄN</t>
        </is>
      </c>
      <c r="G416" t="inlineStr">
        <is>
          <t>NORRKÖPING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44936</v>
      </c>
      <c r="E417" s="1" t="n">
        <v>46250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44936</v>
      </c>
      <c r="E418" s="1" t="n">
        <v>46250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45030</v>
      </c>
      <c r="E419" s="1" t="n">
        <v>46250</v>
      </c>
      <c r="F419" t="inlineStr">
        <is>
          <t>ÖSTERGÖTLANDS LÄN</t>
        </is>
      </c>
      <c r="G419" t="inlineStr">
        <is>
          <t>NORRKÖPING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46250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46250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17138-2022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44677</v>
      </c>
      <c r="E422" s="1" t="n">
        <v>46250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46250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46250</v>
      </c>
      <c r="F424" t="inlineStr">
        <is>
          <t>ÖSTERGÖTLANDS LÄN</t>
        </is>
      </c>
      <c r="G424" t="inlineStr">
        <is>
          <t>NORRKÖPING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43322-2022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46250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46250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46250</v>
      </c>
      <c r="F427" t="inlineStr">
        <is>
          <t>ÖSTERGÖTLANDS LÄN</t>
        </is>
      </c>
      <c r="G427" t="inlineStr">
        <is>
          <t>NORRKÖPING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46250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46250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45985</v>
      </c>
      <c r="E430" s="1" t="n">
        <v>46250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46250</v>
      </c>
      <c r="F431" t="inlineStr">
        <is>
          <t>ÖSTERGÖTLANDS LÄN</t>
        </is>
      </c>
      <c r="G431" t="inlineStr">
        <is>
          <t>NORRKÖPING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45174</v>
      </c>
      <c r="E432" s="1" t="n">
        <v>46250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41375-2023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45174</v>
      </c>
      <c r="E433" s="1" t="n">
        <v>46250</v>
      </c>
      <c r="F433" t="inlineStr">
        <is>
          <t>ÖSTERGÖTLANDS LÄN</t>
        </is>
      </c>
      <c r="G433" t="inlineStr">
        <is>
          <t>NORRKÖPING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11261-2023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44992</v>
      </c>
      <c r="E434" s="1" t="n">
        <v>46250</v>
      </c>
      <c r="F434" t="inlineStr">
        <is>
          <t>ÖSTERGÖTLANDS LÄN</t>
        </is>
      </c>
      <c r="G434" t="inlineStr">
        <is>
          <t>NORRKÖPING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46250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46250</v>
      </c>
      <c r="F436" t="inlineStr">
        <is>
          <t>ÖSTERGÖTLANDS LÄN</t>
        </is>
      </c>
      <c r="G436" t="inlineStr">
        <is>
          <t>NORRKÖPING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44956</v>
      </c>
      <c r="E437" s="1" t="n">
        <v>46250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45014</v>
      </c>
      <c r="E438" s="1" t="n">
        <v>46250</v>
      </c>
      <c r="F438" t="inlineStr">
        <is>
          <t>ÖSTERGÖTLANDS LÄN</t>
        </is>
      </c>
      <c r="G438" t="inlineStr">
        <is>
          <t>NORRKÖPING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8805-2024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45356</v>
      </c>
      <c r="E439" s="1" t="n">
        <v>46250</v>
      </c>
      <c r="F439" t="inlineStr">
        <is>
          <t>ÖSTERGÖTLANDS LÄN</t>
        </is>
      </c>
      <c r="G439" t="inlineStr">
        <is>
          <t>NORRKÖPING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58889-2024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46250</v>
      </c>
      <c r="F440" t="inlineStr">
        <is>
          <t>ÖSTERGÖTLANDS LÄN</t>
        </is>
      </c>
      <c r="G440" t="inlineStr">
        <is>
          <t>NORRKÖPING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57495-2023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46250</v>
      </c>
      <c r="F441" t="inlineStr">
        <is>
          <t>ÖSTERGÖTLANDS LÄN</t>
        </is>
      </c>
      <c r="G441" t="inlineStr">
        <is>
          <t>NORRKÖPING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44719</v>
      </c>
      <c r="E442" s="1" t="n">
        <v>46250</v>
      </c>
      <c r="F442" t="inlineStr">
        <is>
          <t>ÖSTERGÖTLANDS LÄN</t>
        </is>
      </c>
      <c r="G442" t="inlineStr">
        <is>
          <t>NORRKÖPING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46270-2024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45581</v>
      </c>
      <c r="E443" s="1" t="n">
        <v>46250</v>
      </c>
      <c r="F443" t="inlineStr">
        <is>
          <t>ÖSTERGÖTLANDS LÄN</t>
        </is>
      </c>
      <c r="G443" t="inlineStr">
        <is>
          <t>NORRKÖPING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44573</v>
      </c>
      <c r="E444" s="1" t="n">
        <v>46250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46250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46250</v>
      </c>
      <c r="F446" t="inlineStr">
        <is>
          <t>ÖSTERGÖTLANDS LÄN</t>
        </is>
      </c>
      <c r="G446" t="inlineStr">
        <is>
          <t>NORRKÖPING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46250</v>
      </c>
      <c r="F447" t="inlineStr">
        <is>
          <t>ÖSTERGÖTLANDS LÄN</t>
        </is>
      </c>
      <c r="G447" t="inlineStr">
        <is>
          <t>NORRKÖPING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44998</v>
      </c>
      <c r="E448" s="1" t="n">
        <v>46250</v>
      </c>
      <c r="F448" t="inlineStr">
        <is>
          <t>ÖSTERGÖTLANDS LÄN</t>
        </is>
      </c>
      <c r="G448" t="inlineStr">
        <is>
          <t>NORRKÖPING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64898-2021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44512</v>
      </c>
      <c r="E449" s="1" t="n">
        <v>46250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46250</v>
      </c>
      <c r="F450" t="inlineStr">
        <is>
          <t>ÖSTERGÖTLANDS LÄN</t>
        </is>
      </c>
      <c r="G450" t="inlineStr">
        <is>
          <t>NORRKÖPING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18812-2026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46250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46250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25981-2023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45090</v>
      </c>
      <c r="E453" s="1" t="n">
        <v>46250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45386</v>
      </c>
      <c r="E454" s="1" t="n">
        <v>46250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46250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32574-2022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44783</v>
      </c>
      <c r="E456" s="1" t="n">
        <v>46250</v>
      </c>
      <c r="F456" t="inlineStr">
        <is>
          <t>ÖSTERGÖTLANDS LÄN</t>
        </is>
      </c>
      <c r="G456" t="inlineStr">
        <is>
          <t>NORRKÖPING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46250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46250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46250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62370-2025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46250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46250</v>
      </c>
      <c r="F461" t="inlineStr">
        <is>
          <t>ÖSTERGÖTLANDS LÄN</t>
        </is>
      </c>
      <c r="G461" t="inlineStr">
        <is>
          <t>NORRKÖPING</t>
        </is>
      </c>
      <c r="I461" t="n">
        <v>11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46250</v>
      </c>
      <c r="F462" t="inlineStr">
        <is>
          <t>ÖSTERGÖTLANDS LÄN</t>
        </is>
      </c>
      <c r="G462" t="inlineStr">
        <is>
          <t>NORRKÖPING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46250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8815-2024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46250</v>
      </c>
      <c r="F464" t="inlineStr">
        <is>
          <t>ÖSTERGÖTLANDS LÄN</t>
        </is>
      </c>
      <c r="G464" t="inlineStr">
        <is>
          <t>NORRKÖPING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18664-2023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46250</v>
      </c>
      <c r="F465" t="inlineStr">
        <is>
          <t>ÖSTERGÖTLANDS LÄN</t>
        </is>
      </c>
      <c r="G465" t="inlineStr">
        <is>
          <t>NORRKÖPING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46250</v>
      </c>
      <c r="F466" t="inlineStr">
        <is>
          <t>ÖSTERGÖTLANDS LÄN</t>
        </is>
      </c>
      <c r="G466" t="inlineStr">
        <is>
          <t>NORRKÖPING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45836</v>
      </c>
      <c r="E467" s="1" t="n">
        <v>46250</v>
      </c>
      <c r="F467" t="inlineStr">
        <is>
          <t>ÖSTERGÖTLANDS LÄN</t>
        </is>
      </c>
      <c r="G467" t="inlineStr">
        <is>
          <t>NORRKÖPING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46250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46250</v>
      </c>
      <c r="F469" t="inlineStr">
        <is>
          <t>ÖSTERGÖTLANDS LÄN</t>
        </is>
      </c>
      <c r="G469" t="inlineStr">
        <is>
          <t>NORRKÖPING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46250</v>
      </c>
      <c r="F470" t="inlineStr">
        <is>
          <t>ÖSTERGÖTLANDS LÄN</t>
        </is>
      </c>
      <c r="G470" t="inlineStr">
        <is>
          <t>NORRKÖPING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46250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39224-2025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45889</v>
      </c>
      <c r="E472" s="1" t="n">
        <v>46250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46205-2025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46250</v>
      </c>
      <c r="F473" t="inlineStr">
        <is>
          <t>ÖSTERGÖTLANDS LÄN</t>
        </is>
      </c>
      <c r="G473" t="inlineStr">
        <is>
          <t>NORRKÖPING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20001-2026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46135</v>
      </c>
      <c r="E474" s="1" t="n">
        <v>46250</v>
      </c>
      <c r="F474" t="inlineStr">
        <is>
          <t>ÖSTERGÖTLANDS LÄN</t>
        </is>
      </c>
      <c r="G474" t="inlineStr">
        <is>
          <t>NORRKÖPING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46250</v>
      </c>
      <c r="F475" t="inlineStr">
        <is>
          <t>ÖSTERGÖTLANDS LÄN</t>
        </is>
      </c>
      <c r="G475" t="inlineStr">
        <is>
          <t>NORRKÖPING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27735-2023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46250</v>
      </c>
      <c r="F476" t="inlineStr">
        <is>
          <t>ÖSTERGÖTLANDS LÄN</t>
        </is>
      </c>
      <c r="G476" t="inlineStr">
        <is>
          <t>NORRKÖPING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44805</v>
      </c>
      <c r="E477" s="1" t="n">
        <v>46250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46250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31653-2023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45117</v>
      </c>
      <c r="E479" s="1" t="n">
        <v>46250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45657</v>
      </c>
      <c r="E480" s="1" t="n">
        <v>46250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46610-2024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45582</v>
      </c>
      <c r="E481" s="1" t="n">
        <v>46250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46250</v>
      </c>
      <c r="F482" t="inlineStr">
        <is>
          <t>ÖSTERGÖTLANDS LÄN</t>
        </is>
      </c>
      <c r="G482" t="inlineStr">
        <is>
          <t>NORRKÖPING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46250</v>
      </c>
      <c r="F483" t="inlineStr">
        <is>
          <t>ÖSTERGÖTLANDS LÄN</t>
        </is>
      </c>
      <c r="G483" t="inlineStr">
        <is>
          <t>NORRKÖPING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46250</v>
      </c>
      <c r="F484" t="inlineStr">
        <is>
          <t>ÖSTERGÖTLANDS LÄN</t>
        </is>
      </c>
      <c r="G484" t="inlineStr">
        <is>
          <t>NORRKÖPING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46250</v>
      </c>
      <c r="F485" t="inlineStr">
        <is>
          <t>ÖSTERGÖTLANDS LÄN</t>
        </is>
      </c>
      <c r="G485" t="inlineStr">
        <is>
          <t>NORRKÖPING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45726</v>
      </c>
      <c r="E486" s="1" t="n">
        <v>46250</v>
      </c>
      <c r="F486" t="inlineStr">
        <is>
          <t>ÖSTERGÖTLANDS LÄN</t>
        </is>
      </c>
      <c r="G486" t="inlineStr">
        <is>
          <t>NORRKÖPING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22470-2022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44713</v>
      </c>
      <c r="E487" s="1" t="n">
        <v>46250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45435</v>
      </c>
      <c r="E488" s="1" t="n">
        <v>46250</v>
      </c>
      <c r="F488" t="inlineStr">
        <is>
          <t>ÖSTERGÖTLANDS LÄN</t>
        </is>
      </c>
      <c r="G488" t="inlineStr">
        <is>
          <t>NORRKÖPING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45121</v>
      </c>
      <c r="E489" s="1" t="n">
        <v>46250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63944-2025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46250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46030</v>
      </c>
      <c r="E491" s="1" t="n">
        <v>46250</v>
      </c>
      <c r="F491" t="inlineStr">
        <is>
          <t>ÖSTERGÖTLANDS LÄN</t>
        </is>
      </c>
      <c r="G491" t="inlineStr">
        <is>
          <t>NORRKÖPING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46250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54851-2025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45966</v>
      </c>
      <c r="E493" s="1" t="n">
        <v>46250</v>
      </c>
      <c r="F493" t="inlineStr">
        <is>
          <t>ÖSTERGÖTLANDS LÄN</t>
        </is>
      </c>
      <c r="G493" t="inlineStr">
        <is>
          <t>NORRKÖPING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46250</v>
      </c>
      <c r="F494" t="inlineStr">
        <is>
          <t>ÖSTERGÖTLANDS LÄN</t>
        </is>
      </c>
      <c r="G494" t="inlineStr">
        <is>
          <t>NORRKÖPING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45747</v>
      </c>
      <c r="E495" s="1" t="n">
        <v>46250</v>
      </c>
      <c r="F495" t="inlineStr">
        <is>
          <t>ÖSTERGÖTLANDS LÄN</t>
        </is>
      </c>
      <c r="G495" t="inlineStr">
        <is>
          <t>NORRKÖPING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47051-2023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46250</v>
      </c>
      <c r="F496" t="inlineStr">
        <is>
          <t>ÖSTERGÖTLANDS LÄN</t>
        </is>
      </c>
      <c r="G496" t="inlineStr">
        <is>
          <t>NORRKÖPING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46250</v>
      </c>
      <c r="F497" t="inlineStr">
        <is>
          <t>ÖSTERGÖTLANDS LÄN</t>
        </is>
      </c>
      <c r="G497" t="inlineStr">
        <is>
          <t>NORRKÖPING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46250</v>
      </c>
      <c r="F498" t="inlineStr">
        <is>
          <t>ÖSTERGÖTLANDS LÄN</t>
        </is>
      </c>
      <c r="G498" t="inlineStr">
        <is>
          <t>NORRKÖPING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45678</v>
      </c>
      <c r="E499" s="1" t="n">
        <v>46250</v>
      </c>
      <c r="F499" t="inlineStr">
        <is>
          <t>ÖSTERGÖTLANDS LÄN</t>
        </is>
      </c>
      <c r="G499" t="inlineStr">
        <is>
          <t>NORRKÖPING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47477-2022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44853</v>
      </c>
      <c r="E500" s="1" t="n">
        <v>46250</v>
      </c>
      <c r="F500" t="inlineStr">
        <is>
          <t>ÖSTERGÖTLANDS LÄN</t>
        </is>
      </c>
      <c r="G500" t="inlineStr">
        <is>
          <t>NORRKÖPING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19931-2026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46250</v>
      </c>
      <c r="F501" t="inlineStr">
        <is>
          <t>ÖSTERGÖTLANDS LÄN</t>
        </is>
      </c>
      <c r="G501" t="inlineStr">
        <is>
          <t>NORRKÖPING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46250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58884-2024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45636</v>
      </c>
      <c r="E503" s="1" t="n">
        <v>46250</v>
      </c>
      <c r="F503" t="inlineStr">
        <is>
          <t>ÖSTERGÖTLANDS LÄN</t>
        </is>
      </c>
      <c r="G503" t="inlineStr">
        <is>
          <t>NORRKÖPING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45891</v>
      </c>
      <c r="E504" s="1" t="n">
        <v>46250</v>
      </c>
      <c r="F504" t="inlineStr">
        <is>
          <t>ÖSTERGÖTLANDS LÄN</t>
        </is>
      </c>
      <c r="G504" t="inlineStr">
        <is>
          <t>NORRKÖPING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46250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46250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Allmännings- och besparingsskogar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33703-2024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45520</v>
      </c>
      <c r="E507" s="1" t="n">
        <v>46250</v>
      </c>
      <c r="F507" t="inlineStr">
        <is>
          <t>ÖSTERGÖTLANDS LÄN</t>
        </is>
      </c>
      <c r="G507" t="inlineStr">
        <is>
          <t>NORRKÖPING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45110</v>
      </c>
      <c r="E508" s="1" t="n">
        <v>46250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46250</v>
      </c>
      <c r="F509" t="inlineStr">
        <is>
          <t>ÖSTERGÖTLANDS LÄN</t>
        </is>
      </c>
      <c r="G509" t="inlineStr">
        <is>
          <t>NORRKÖPING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41223-2022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44826</v>
      </c>
      <c r="E510" s="1" t="n">
        <v>46250</v>
      </c>
      <c r="F510" t="inlineStr">
        <is>
          <t>ÖSTERGÖTLANDS LÄN</t>
        </is>
      </c>
      <c r="G510" t="inlineStr">
        <is>
          <t>NORRKÖPING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45442</v>
      </c>
      <c r="E511" s="1" t="n">
        <v>46250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46250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12.3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46250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Allmännings- och besparingsskogar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45442</v>
      </c>
      <c r="E514" s="1" t="n">
        <v>46250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20340-2026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46250</v>
      </c>
      <c r="F515" t="inlineStr">
        <is>
          <t>ÖSTERGÖTLANDS LÄN</t>
        </is>
      </c>
      <c r="G515" t="inlineStr">
        <is>
          <t>NORRKÖPING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38719-2025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45886</v>
      </c>
      <c r="E516" s="1" t="n">
        <v>46250</v>
      </c>
      <c r="F516" t="inlineStr">
        <is>
          <t>ÖSTERGÖTLANDS LÄN</t>
        </is>
      </c>
      <c r="G516" t="inlineStr">
        <is>
          <t>NORRKÖPING</t>
        </is>
      </c>
      <c r="I516" t="n">
        <v>14.3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46250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46250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46250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46250</v>
      </c>
      <c r="F520" t="inlineStr">
        <is>
          <t>ÖSTERGÖTLANDS LÄN</t>
        </is>
      </c>
      <c r="G520" t="inlineStr">
        <is>
          <t>NORRKÖPING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14031-2023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46250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44980</v>
      </c>
      <c r="E522" s="1" t="n">
        <v>46250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45093</v>
      </c>
      <c r="E523" s="1" t="n">
        <v>46250</v>
      </c>
      <c r="F523" t="inlineStr">
        <is>
          <t>ÖSTERGÖTLANDS LÄN</t>
        </is>
      </c>
      <c r="G523" t="inlineStr">
        <is>
          <t>NORRKÖPING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44980</v>
      </c>
      <c r="E524" s="1" t="n">
        <v>46250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46250</v>
      </c>
      <c r="F525" t="inlineStr">
        <is>
          <t>ÖSTERGÖTLANDS LÄN</t>
        </is>
      </c>
      <c r="G525" t="inlineStr">
        <is>
          <t>NORRKÖPING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44966</v>
      </c>
      <c r="E526" s="1" t="n">
        <v>46250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46250</v>
      </c>
      <c r="F527" t="inlineStr">
        <is>
          <t>ÖSTERGÖTLANDS LÄN</t>
        </is>
      </c>
      <c r="G527" t="inlineStr">
        <is>
          <t>NORRKÖPING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45013</v>
      </c>
      <c r="E528" s="1" t="n">
        <v>46250</v>
      </c>
      <c r="F528" t="inlineStr">
        <is>
          <t>ÖSTERGÖTLANDS LÄN</t>
        </is>
      </c>
      <c r="G528" t="inlineStr">
        <is>
          <t>NORRKÖPING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45478</v>
      </c>
      <c r="E529" s="1" t="n">
        <v>46250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45178</v>
      </c>
      <c r="E530" s="1" t="n">
        <v>46250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46250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44977</v>
      </c>
      <c r="E532" s="1" t="n">
        <v>46250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46250</v>
      </c>
      <c r="F533" t="inlineStr">
        <is>
          <t>ÖSTERGÖTLANDS LÄN</t>
        </is>
      </c>
      <c r="G533" t="inlineStr">
        <is>
          <t>NORRKÖPING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46250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46250</v>
      </c>
      <c r="F535" t="inlineStr">
        <is>
          <t>ÖSTERGÖTLANDS LÄN</t>
        </is>
      </c>
      <c r="G535" t="inlineStr">
        <is>
          <t>NORRKÖPING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43559-2021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44433</v>
      </c>
      <c r="E536" s="1" t="n">
        <v>46250</v>
      </c>
      <c r="F536" t="inlineStr">
        <is>
          <t>ÖSTERGÖTLANDS LÄN</t>
        </is>
      </c>
      <c r="G536" t="inlineStr">
        <is>
          <t>NORRKÖPING</t>
        </is>
      </c>
      <c r="I536" t="n">
        <v>11.1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46250</v>
      </c>
      <c r="F537" t="inlineStr">
        <is>
          <t>ÖSTERGÖTLANDS LÄN</t>
        </is>
      </c>
      <c r="G537" t="inlineStr">
        <is>
          <t>NORRKÖPING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46250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46250</v>
      </c>
      <c r="F539" t="inlineStr">
        <is>
          <t>ÖSTERGÖTLANDS LÄN</t>
        </is>
      </c>
      <c r="G539" t="inlineStr">
        <is>
          <t>NORRKÖPING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46043</v>
      </c>
      <c r="E540" s="1" t="n">
        <v>46250</v>
      </c>
      <c r="F540" t="inlineStr">
        <is>
          <t>ÖSTERGÖTLANDS LÄN</t>
        </is>
      </c>
      <c r="G540" t="inlineStr">
        <is>
          <t>NORRKÖPING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13173-2022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44644</v>
      </c>
      <c r="E541" s="1" t="n">
        <v>46250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46043</v>
      </c>
      <c r="E542" s="1" t="n">
        <v>46250</v>
      </c>
      <c r="F542" t="inlineStr">
        <is>
          <t>ÖSTERGÖTLANDS LÄN</t>
        </is>
      </c>
      <c r="G542" t="inlineStr">
        <is>
          <t>NORRKÖPING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46250</v>
      </c>
      <c r="F543" t="inlineStr">
        <is>
          <t>ÖSTERGÖTLANDS LÄN</t>
        </is>
      </c>
      <c r="G543" t="inlineStr">
        <is>
          <t>NORRKÖPING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14485-2023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45012</v>
      </c>
      <c r="E544" s="1" t="n">
        <v>46250</v>
      </c>
      <c r="F544" t="inlineStr">
        <is>
          <t>ÖSTERGÖTLANDS LÄN</t>
        </is>
      </c>
      <c r="G544" t="inlineStr">
        <is>
          <t>NORRKÖPING</t>
        </is>
      </c>
      <c r="I544" t="n">
        <v>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46250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46250</v>
      </c>
      <c r="F546" t="inlineStr">
        <is>
          <t>ÖSTERGÖTLANDS LÄN</t>
        </is>
      </c>
      <c r="G546" t="inlineStr">
        <is>
          <t>NORRKÖPING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46046</v>
      </c>
      <c r="E547" s="1" t="n">
        <v>46250</v>
      </c>
      <c r="F547" t="inlineStr">
        <is>
          <t>ÖSTERGÖTLANDS LÄN</t>
        </is>
      </c>
      <c r="G547" t="inlineStr">
        <is>
          <t>NORRKÖPING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46250</v>
      </c>
      <c r="F548" t="inlineStr">
        <is>
          <t>ÖSTERGÖTLANDS LÄN</t>
        </is>
      </c>
      <c r="G548" t="inlineStr">
        <is>
          <t>NORRKÖPING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46250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46250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46046</v>
      </c>
      <c r="E551" s="1" t="n">
        <v>46250</v>
      </c>
      <c r="F551" t="inlineStr">
        <is>
          <t>ÖSTERGÖTLANDS LÄN</t>
        </is>
      </c>
      <c r="G551" t="inlineStr">
        <is>
          <t>NORRKÖPING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46250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46045</v>
      </c>
      <c r="E553" s="1" t="n">
        <v>46250</v>
      </c>
      <c r="F553" t="inlineStr">
        <is>
          <t>ÖSTERGÖTLANDS LÄN</t>
        </is>
      </c>
      <c r="G553" t="inlineStr">
        <is>
          <t>NORRKÖPING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4770-2023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46250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2923-2023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44945</v>
      </c>
      <c r="E555" s="1" t="n">
        <v>46250</v>
      </c>
      <c r="F555" t="inlineStr">
        <is>
          <t>ÖSTERGÖTLANDS LÄN</t>
        </is>
      </c>
      <c r="G555" t="inlineStr">
        <is>
          <t>NORRKÖPING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45093</v>
      </c>
      <c r="E556" s="1" t="n">
        <v>46250</v>
      </c>
      <c r="F556" t="inlineStr">
        <is>
          <t>ÖSTERGÖTLANDS LÄN</t>
        </is>
      </c>
      <c r="G556" t="inlineStr">
        <is>
          <t>NORRKÖPING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45110</v>
      </c>
      <c r="E557" s="1" t="n">
        <v>46250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63349-2023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45274</v>
      </c>
      <c r="E558" s="1" t="n">
        <v>46250</v>
      </c>
      <c r="F558" t="inlineStr">
        <is>
          <t>ÖSTERGÖTLANDS LÄN</t>
        </is>
      </c>
      <c r="G558" t="inlineStr">
        <is>
          <t>NORRKÖPING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46250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46250</v>
      </c>
      <c r="F560" t="inlineStr">
        <is>
          <t>ÖSTERGÖTLANDS LÄN</t>
        </is>
      </c>
      <c r="G560" t="inlineStr">
        <is>
          <t>NORRKÖPING</t>
        </is>
      </c>
      <c r="I560" t="n">
        <v>10.1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46052</v>
      </c>
      <c r="E561" s="1" t="n">
        <v>46250</v>
      </c>
      <c r="F561" t="inlineStr">
        <is>
          <t>ÖSTERGÖTLANDS LÄN</t>
        </is>
      </c>
      <c r="G561" t="inlineStr">
        <is>
          <t>NORRKÖPING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46052</v>
      </c>
      <c r="E562" s="1" t="n">
        <v>46250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46250</v>
      </c>
      <c r="F563" t="inlineStr">
        <is>
          <t>ÖSTERGÖTLANDS LÄN</t>
        </is>
      </c>
      <c r="G563" t="inlineStr">
        <is>
          <t>NORRKÖPING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46250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46250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19114-2023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45048</v>
      </c>
      <c r="E566" s="1" t="n">
        <v>46250</v>
      </c>
      <c r="F566" t="inlineStr">
        <is>
          <t>ÖSTERGÖTLANDS LÄN</t>
        </is>
      </c>
      <c r="G566" t="inlineStr">
        <is>
          <t>NORRKÖPING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46250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45077</v>
      </c>
      <c r="E568" s="1" t="n">
        <v>46250</v>
      </c>
      <c r="F568" t="inlineStr">
        <is>
          <t>ÖSTERGÖTLANDS LÄN</t>
        </is>
      </c>
      <c r="G568" t="inlineStr">
        <is>
          <t>NORRKÖPING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46250</v>
      </c>
      <c r="F569" t="inlineStr">
        <is>
          <t>ÖSTERGÖTLANDS LÄN</t>
        </is>
      </c>
      <c r="G569" t="inlineStr">
        <is>
          <t>NORRKÖPING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46250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45796</v>
      </c>
      <c r="E571" s="1" t="n">
        <v>46250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45183</v>
      </c>
      <c r="E572" s="1" t="n">
        <v>46250</v>
      </c>
      <c r="F572" t="inlineStr">
        <is>
          <t>ÖSTERGÖTLANDS LÄN</t>
        </is>
      </c>
      <c r="G572" t="inlineStr">
        <is>
          <t>NORRKÖPING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45049</v>
      </c>
      <c r="E573" s="1" t="n">
        <v>46250</v>
      </c>
      <c r="F573" t="inlineStr">
        <is>
          <t>ÖSTERGÖTLANDS LÄN</t>
        </is>
      </c>
      <c r="G573" t="inlineStr">
        <is>
          <t>NORRKÖPING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19260-2023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45049</v>
      </c>
      <c r="E574" s="1" t="n">
        <v>46250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2021-2023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44939</v>
      </c>
      <c r="E575" s="1" t="n">
        <v>46250</v>
      </c>
      <c r="F575" t="inlineStr">
        <is>
          <t>ÖSTERGÖTLANDS LÄN</t>
        </is>
      </c>
      <c r="G575" t="inlineStr">
        <is>
          <t>NORRKÖPING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44803</v>
      </c>
      <c r="E576" s="1" t="n">
        <v>46250</v>
      </c>
      <c r="F576" t="inlineStr">
        <is>
          <t>ÖSTERGÖTLANDS LÄN</t>
        </is>
      </c>
      <c r="G576" t="inlineStr">
        <is>
          <t>NORRKÖPING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14503-2023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46250</v>
      </c>
      <c r="F577" t="inlineStr">
        <is>
          <t>ÖSTERGÖTLANDS LÄN</t>
        </is>
      </c>
      <c r="G577" t="inlineStr">
        <is>
          <t>NORRKÖPING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45237</v>
      </c>
      <c r="E578" s="1" t="n">
        <v>46250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Kyrkan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19230-2025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46250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45769</v>
      </c>
      <c r="E580" s="1" t="n">
        <v>46250</v>
      </c>
      <c r="F580" t="inlineStr">
        <is>
          <t>ÖSTERGÖTLANDS LÄN</t>
        </is>
      </c>
      <c r="G580" t="inlineStr">
        <is>
          <t>NORRKÖPING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45769</v>
      </c>
      <c r="E581" s="1" t="n">
        <v>46250</v>
      </c>
      <c r="F581" t="inlineStr">
        <is>
          <t>ÖSTERGÖTLANDS LÄN</t>
        </is>
      </c>
      <c r="G581" t="inlineStr">
        <is>
          <t>NORRKÖPING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19191-2025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45769</v>
      </c>
      <c r="E582" s="1" t="n">
        <v>46250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49452-2021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44454</v>
      </c>
      <c r="E583" s="1" t="n">
        <v>46250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46250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56876-2024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46250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45436</v>
      </c>
      <c r="E586" s="1" t="n">
        <v>46250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12674-2025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46250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45758</v>
      </c>
      <c r="E588" s="1" t="n">
        <v>46250</v>
      </c>
      <c r="F588" t="inlineStr">
        <is>
          <t>ÖSTERGÖTLANDS LÄN</t>
        </is>
      </c>
      <c r="G588" t="inlineStr">
        <is>
          <t>NORRKÖPING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20352-2026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46139</v>
      </c>
      <c r="E589" s="1" t="n">
        <v>46250</v>
      </c>
      <c r="F589" t="inlineStr">
        <is>
          <t>ÖSTERGÖTLANDS LÄN</t>
        </is>
      </c>
      <c r="G589" t="inlineStr">
        <is>
          <t>NORRKÖPING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45867</v>
      </c>
      <c r="E590" s="1" t="n">
        <v>46250</v>
      </c>
      <c r="F590" t="inlineStr">
        <is>
          <t>ÖSTERGÖTLANDS LÄN</t>
        </is>
      </c>
      <c r="G590" t="inlineStr">
        <is>
          <t>NORRKÖPING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49060-2022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44860</v>
      </c>
      <c r="E591" s="1" t="n">
        <v>46250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14441-2025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46250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45362-2021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44439</v>
      </c>
      <c r="E593" s="1" t="n">
        <v>46250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46250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46250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Kyrkan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46250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36412-2024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45535</v>
      </c>
      <c r="E597" s="1" t="n">
        <v>46250</v>
      </c>
      <c r="F597" t="inlineStr">
        <is>
          <t>ÖSTERGÖTLANDS LÄN</t>
        </is>
      </c>
      <c r="G597" t="inlineStr">
        <is>
          <t>NORRKÖPING</t>
        </is>
      </c>
      <c r="I597" t="n">
        <v>12.8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46250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45373</v>
      </c>
      <c r="E599" s="1" t="n">
        <v>46250</v>
      </c>
      <c r="F599" t="inlineStr">
        <is>
          <t>ÖSTERGÖTLANDS LÄN</t>
        </is>
      </c>
      <c r="G599" t="inlineStr">
        <is>
          <t>NORRKÖPING</t>
        </is>
      </c>
      <c r="I599" t="n">
        <v>8.6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57979-2022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46250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46250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51124-2023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45219</v>
      </c>
      <c r="E602" s="1" t="n">
        <v>46250</v>
      </c>
      <c r="F602" t="inlineStr">
        <is>
          <t>ÖSTERGÖTLANDS LÄN</t>
        </is>
      </c>
      <c r="G602" t="inlineStr">
        <is>
          <t>NORRKÖPING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46250</v>
      </c>
      <c r="F603" t="inlineStr">
        <is>
          <t>ÖSTERGÖTLANDS LÄN</t>
        </is>
      </c>
      <c r="G603" t="inlineStr">
        <is>
          <t>NORRKÖPING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10375-2026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46250</v>
      </c>
      <c r="F604" t="inlineStr">
        <is>
          <t>ÖSTERGÖTLANDS LÄN</t>
        </is>
      </c>
      <c r="G604" t="inlineStr">
        <is>
          <t>NORRKÖPING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46250</v>
      </c>
      <c r="F605" t="inlineStr">
        <is>
          <t>ÖSTERGÖTLANDS LÄN</t>
        </is>
      </c>
      <c r="G605" t="inlineStr">
        <is>
          <t>NORRKÖPING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13133-2024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45386</v>
      </c>
      <c r="E606" s="1" t="n">
        <v>46250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10377-2026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46076</v>
      </c>
      <c r="E607" s="1" t="n">
        <v>46250</v>
      </c>
      <c r="F607" t="inlineStr">
        <is>
          <t>ÖSTERGÖTLANDS LÄN</t>
        </is>
      </c>
      <c r="G607" t="inlineStr">
        <is>
          <t>NORRKÖPING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19324-2025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46250</v>
      </c>
      <c r="F608" t="inlineStr">
        <is>
          <t>ÖSTERGÖTLANDS LÄN</t>
        </is>
      </c>
      <c r="G608" t="inlineStr">
        <is>
          <t>NORRKÖPING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57733-2022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46250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46250</v>
      </c>
      <c r="F610" t="inlineStr">
        <is>
          <t>ÖSTERGÖTLANDS LÄN</t>
        </is>
      </c>
      <c r="G610" t="inlineStr">
        <is>
          <t>NORRKÖPING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46250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11144-2025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46250</v>
      </c>
      <c r="F612" t="inlineStr">
        <is>
          <t>ÖSTERGÖTLANDS LÄN</t>
        </is>
      </c>
      <c r="G612" t="inlineStr">
        <is>
          <t>NORRKÖPING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62376-2022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44923</v>
      </c>
      <c r="E613" s="1" t="n">
        <v>46250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46250</v>
      </c>
      <c r="F614" t="inlineStr">
        <is>
          <t>ÖSTERGÖTLANDS LÄN</t>
        </is>
      </c>
      <c r="G614" t="inlineStr">
        <is>
          <t>NORRKÖPING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46250</v>
      </c>
      <c r="F615" t="inlineStr">
        <is>
          <t>ÖSTERGÖTLANDS LÄN</t>
        </is>
      </c>
      <c r="G615" t="inlineStr">
        <is>
          <t>NORRKÖPING</t>
        </is>
      </c>
      <c r="I615" t="n">
        <v>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46250</v>
      </c>
      <c r="F616" t="inlineStr">
        <is>
          <t>ÖSTERGÖTLANDS LÄN</t>
        </is>
      </c>
      <c r="G616" t="inlineStr">
        <is>
          <t>NORRKÖPING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45373</v>
      </c>
      <c r="E617" s="1" t="n">
        <v>46250</v>
      </c>
      <c r="F617" t="inlineStr">
        <is>
          <t>ÖSTERGÖTLANDS LÄN</t>
        </is>
      </c>
      <c r="G617" t="inlineStr">
        <is>
          <t>NORRKÖPING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40816-2024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45558</v>
      </c>
      <c r="E618" s="1" t="n">
        <v>46250</v>
      </c>
      <c r="F618" t="inlineStr">
        <is>
          <t>ÖSTERGÖTLANDS LÄN</t>
        </is>
      </c>
      <c r="G618" t="inlineStr">
        <is>
          <t>NORRKÖPING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44935</v>
      </c>
      <c r="E619" s="1" t="n">
        <v>46250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28663-2024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45478</v>
      </c>
      <c r="E620" s="1" t="n">
        <v>46250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21147-2026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46250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45118</v>
      </c>
      <c r="E622" s="1" t="n">
        <v>46250</v>
      </c>
      <c r="F622" t="inlineStr">
        <is>
          <t>ÖSTERGÖTLANDS LÄN</t>
        </is>
      </c>
      <c r="G622" t="inlineStr">
        <is>
          <t>NORRKÖPING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59586-2022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44907</v>
      </c>
      <c r="E623" s="1" t="n">
        <v>46250</v>
      </c>
      <c r="F623" t="inlineStr">
        <is>
          <t>ÖSTERGÖTLANDS LÄN</t>
        </is>
      </c>
      <c r="G623" t="inlineStr">
        <is>
          <t>NORRKÖPING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46250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9201-2023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44980</v>
      </c>
      <c r="E625" s="1" t="n">
        <v>46250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46250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8569-2023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44977</v>
      </c>
      <c r="E627" s="1" t="n">
        <v>46250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45436</v>
      </c>
      <c r="E628" s="1" t="n">
        <v>46250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45678</v>
      </c>
      <c r="E629" s="1" t="n">
        <v>46250</v>
      </c>
      <c r="F629" t="inlineStr">
        <is>
          <t>ÖSTERGÖTLANDS LÄN</t>
        </is>
      </c>
      <c r="G629" t="inlineStr">
        <is>
          <t>NORRKÖPING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46250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51112-2024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46250</v>
      </c>
      <c r="F631" t="inlineStr">
        <is>
          <t>ÖSTERGÖTLANDS LÄN</t>
        </is>
      </c>
      <c r="G631" t="inlineStr">
        <is>
          <t>NORRKÖPING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32630-2022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44783</v>
      </c>
      <c r="E632" s="1" t="n">
        <v>46250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46250</v>
      </c>
      <c r="F633" t="inlineStr">
        <is>
          <t>ÖSTERGÖTLANDS LÄN</t>
        </is>
      </c>
      <c r="G633" t="inlineStr">
        <is>
          <t>NORRKÖPING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45742</v>
      </c>
      <c r="E634" s="1" t="n">
        <v>46250</v>
      </c>
      <c r="F634" t="inlineStr">
        <is>
          <t>ÖSTERGÖTLANDS LÄN</t>
        </is>
      </c>
      <c r="G634" t="inlineStr">
        <is>
          <t>NORRKÖPING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45153</v>
      </c>
      <c r="E635" s="1" t="n">
        <v>46250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46250</v>
      </c>
      <c r="F636" t="inlineStr">
        <is>
          <t>ÖSTERGÖTLANDS LÄN</t>
        </is>
      </c>
      <c r="G636" t="inlineStr">
        <is>
          <t>NORRKÖPING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59580-2022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44907</v>
      </c>
      <c r="E637" s="1" t="n">
        <v>46250</v>
      </c>
      <c r="F637" t="inlineStr">
        <is>
          <t>ÖSTERGÖTLANDS LÄN</t>
        </is>
      </c>
      <c r="G637" t="inlineStr">
        <is>
          <t>NORRKÖPING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46250</v>
      </c>
      <c r="F638" t="inlineStr">
        <is>
          <t>ÖSTERGÖTLANDS LÄN</t>
        </is>
      </c>
      <c r="G638" t="inlineStr">
        <is>
          <t>NORRKÖPING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1939-2023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44936</v>
      </c>
      <c r="E639" s="1" t="n">
        <v>46250</v>
      </c>
      <c r="F639" t="inlineStr">
        <is>
          <t>ÖSTERGÖTLANDS LÄN</t>
        </is>
      </c>
      <c r="G639" t="inlineStr">
        <is>
          <t>NORRKÖPING</t>
        </is>
      </c>
      <c r="I639" t="n">
        <v>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15177-2023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46250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45129</v>
      </c>
      <c r="E641" s="1" t="n">
        <v>46250</v>
      </c>
      <c r="F641" t="inlineStr">
        <is>
          <t>ÖSTERGÖTLANDS LÄN</t>
        </is>
      </c>
      <c r="G641" t="inlineStr">
        <is>
          <t>NORRKÖPING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31838-2023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46250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12538-2024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45379</v>
      </c>
      <c r="E643" s="1" t="n">
        <v>46250</v>
      </c>
      <c r="F643" t="inlineStr">
        <is>
          <t>ÖSTERGÖTLANDS LÄN</t>
        </is>
      </c>
      <c r="G643" t="inlineStr">
        <is>
          <t>NORRKÖPING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24354-2024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45457</v>
      </c>
      <c r="E644" s="1" t="n">
        <v>46250</v>
      </c>
      <c r="F644" t="inlineStr">
        <is>
          <t>ÖSTERGÖTLANDS LÄN</t>
        </is>
      </c>
      <c r="G644" t="inlineStr">
        <is>
          <t>NORRKÖPING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56210-2023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45240</v>
      </c>
      <c r="E645" s="1" t="n">
        <v>46250</v>
      </c>
      <c r="F645" t="inlineStr">
        <is>
          <t>ÖSTERGÖTLANDS LÄN</t>
        </is>
      </c>
      <c r="G645" t="inlineStr">
        <is>
          <t>NORRKÖPING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30865-2024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45497</v>
      </c>
      <c r="E646" s="1" t="n">
        <v>46250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7763-2025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45706</v>
      </c>
      <c r="E647" s="1" t="n">
        <v>46250</v>
      </c>
      <c r="F647" t="inlineStr">
        <is>
          <t>ÖSTERGÖTLANDS LÄN</t>
        </is>
      </c>
      <c r="G647" t="inlineStr">
        <is>
          <t>NORRKÖPING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46250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45742</v>
      </c>
      <c r="E649" s="1" t="n">
        <v>46250</v>
      </c>
      <c r="F649" t="inlineStr">
        <is>
          <t>ÖSTERGÖTLANDS LÄN</t>
        </is>
      </c>
      <c r="G649" t="inlineStr">
        <is>
          <t>NORRKÖPING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17813-2025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45758</v>
      </c>
      <c r="E650" s="1" t="n">
        <v>46250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45339</v>
      </c>
      <c r="E651" s="1" t="n">
        <v>46250</v>
      </c>
      <c r="F651" t="inlineStr">
        <is>
          <t>ÖSTERGÖTLANDS LÄN</t>
        </is>
      </c>
      <c r="G651" t="inlineStr">
        <is>
          <t>NORRKÖPING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16590-2024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46250</v>
      </c>
      <c r="F652" t="inlineStr">
        <is>
          <t>ÖSTERGÖTLANDS LÄN</t>
        </is>
      </c>
      <c r="G652" t="inlineStr">
        <is>
          <t>NORRKÖPING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59520-2023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45254</v>
      </c>
      <c r="E653" s="1" t="n">
        <v>46250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BillerudKorsnäs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46250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57405-2024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45629</v>
      </c>
      <c r="E655" s="1" t="n">
        <v>46250</v>
      </c>
      <c r="F655" t="inlineStr">
        <is>
          <t>ÖSTERGÖTLANDS LÄN</t>
        </is>
      </c>
      <c r="G655" t="inlineStr">
        <is>
          <t>NORRKÖPING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7709-2022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44607</v>
      </c>
      <c r="E656" s="1" t="n">
        <v>46250</v>
      </c>
      <c r="F656" t="inlineStr">
        <is>
          <t>ÖSTERGÖTLANDS LÄN</t>
        </is>
      </c>
      <c r="G656" t="inlineStr">
        <is>
          <t>NORRKÖPING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45369</v>
      </c>
      <c r="E657" s="1" t="n">
        <v>46250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46250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26391-2023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45092</v>
      </c>
      <c r="E659" s="1" t="n">
        <v>46250</v>
      </c>
      <c r="F659" t="inlineStr">
        <is>
          <t>ÖSTERGÖTLANDS LÄN</t>
        </is>
      </c>
      <c r="G659" t="inlineStr">
        <is>
          <t>NORRKÖPING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45006</v>
      </c>
      <c r="E660" s="1" t="n">
        <v>46250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45777</v>
      </c>
      <c r="E661" s="1" t="n">
        <v>46250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45030</v>
      </c>
      <c r="E662" s="1" t="n">
        <v>46250</v>
      </c>
      <c r="F662" t="inlineStr">
        <is>
          <t>ÖSTERGÖTLANDS LÄN</t>
        </is>
      </c>
      <c r="G662" t="inlineStr">
        <is>
          <t>NORRKÖPING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45030</v>
      </c>
      <c r="E663" s="1" t="n">
        <v>46250</v>
      </c>
      <c r="F663" t="inlineStr">
        <is>
          <t>ÖSTERGÖTLANDS LÄN</t>
        </is>
      </c>
      <c r="G663" t="inlineStr">
        <is>
          <t>NORRKÖPING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44994</v>
      </c>
      <c r="E664" s="1" t="n">
        <v>46250</v>
      </c>
      <c r="F664" t="inlineStr">
        <is>
          <t>ÖSTERGÖTLANDS LÄN</t>
        </is>
      </c>
      <c r="G664" t="inlineStr">
        <is>
          <t>NORRKÖPING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21542-2025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45782</v>
      </c>
      <c r="E665" s="1" t="n">
        <v>46250</v>
      </c>
      <c r="F665" t="inlineStr">
        <is>
          <t>ÖSTERGÖTLANDS LÄN</t>
        </is>
      </c>
      <c r="G665" t="inlineStr">
        <is>
          <t>NORRKÖPING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46250</v>
      </c>
      <c r="F666" t="inlineStr">
        <is>
          <t>ÖSTERGÖTLANDS LÄN</t>
        </is>
      </c>
      <c r="G666" t="inlineStr">
        <is>
          <t>NORRKÖPING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45110</v>
      </c>
      <c r="E667" s="1" t="n">
        <v>46250</v>
      </c>
      <c r="F667" t="inlineStr">
        <is>
          <t>ÖSTERGÖTLANDS LÄN</t>
        </is>
      </c>
      <c r="G667" t="inlineStr">
        <is>
          <t>NORRKÖPING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45110</v>
      </c>
      <c r="E668" s="1" t="n">
        <v>46250</v>
      </c>
      <c r="F668" t="inlineStr">
        <is>
          <t>ÖSTERGÖTLANDS LÄN</t>
        </is>
      </c>
      <c r="G668" t="inlineStr">
        <is>
          <t>NORRKÖPING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21770-2025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46250</v>
      </c>
      <c r="F669" t="inlineStr">
        <is>
          <t>ÖSTERGÖTLANDS LÄN</t>
        </is>
      </c>
      <c r="G669" t="inlineStr">
        <is>
          <t>NORRKÖPING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21909-2025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45784</v>
      </c>
      <c r="E670" s="1" t="n">
        <v>46250</v>
      </c>
      <c r="F670" t="inlineStr">
        <is>
          <t>ÖSTERGÖTLANDS LÄN</t>
        </is>
      </c>
      <c r="G670" t="inlineStr">
        <is>
          <t>NORRKÖPING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57380-2024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45629</v>
      </c>
      <c r="E671" s="1" t="n">
        <v>46250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21967-2025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46250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34393-2023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45132</v>
      </c>
      <c r="E673" s="1" t="n">
        <v>46250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46061</v>
      </c>
      <c r="E674" s="1" t="n">
        <v>46250</v>
      </c>
      <c r="F674" t="inlineStr">
        <is>
          <t>ÖSTERGÖTLANDS LÄN</t>
        </is>
      </c>
      <c r="G674" t="inlineStr">
        <is>
          <t>NORRKÖPING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28600-2024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45478</v>
      </c>
      <c r="E675" s="1" t="n">
        <v>46250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10989-2024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46250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44957</v>
      </c>
      <c r="E677" s="1" t="n">
        <v>46250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59768-2021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44494</v>
      </c>
      <c r="E678" s="1" t="n">
        <v>46250</v>
      </c>
      <c r="F678" t="inlineStr">
        <is>
          <t>ÖSTERGÖTLANDS LÄN</t>
        </is>
      </c>
      <c r="G678" t="inlineStr">
        <is>
          <t>NORRKÖPING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8220-2023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44974</v>
      </c>
      <c r="E679" s="1" t="n">
        <v>46250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26398-2023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46250</v>
      </c>
      <c r="F680" t="inlineStr">
        <is>
          <t>ÖSTERGÖTLANDS LÄN</t>
        </is>
      </c>
      <c r="G680" t="inlineStr">
        <is>
          <t>NORRKÖPING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45771</v>
      </c>
      <c r="E681" s="1" t="n">
        <v>46250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45432</v>
      </c>
      <c r="E682" s="1" t="n">
        <v>46250</v>
      </c>
      <c r="F682" t="inlineStr">
        <is>
          <t>ÖSTERGÖTLANDS LÄN</t>
        </is>
      </c>
      <c r="G682" t="inlineStr">
        <is>
          <t>NORRKÖPING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22307-2025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45786</v>
      </c>
      <c r="E683" s="1" t="n">
        <v>46250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1884-2025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45671</v>
      </c>
      <c r="E684" s="1" t="n">
        <v>46250</v>
      </c>
      <c r="F684" t="inlineStr">
        <is>
          <t>ÖSTERGÖTLANDS LÄN</t>
        </is>
      </c>
      <c r="G684" t="inlineStr">
        <is>
          <t>NORRKÖPING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59221-2024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45637</v>
      </c>
      <c r="E685" s="1" t="n">
        <v>46250</v>
      </c>
      <c r="F685" t="inlineStr">
        <is>
          <t>ÖSTERGÖTLANDS LÄN</t>
        </is>
      </c>
      <c r="G685" t="inlineStr">
        <is>
          <t>NORRKÖPING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48758-2024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45593</v>
      </c>
      <c r="E686" s="1" t="n">
        <v>46250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33170-2023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45126</v>
      </c>
      <c r="E687" s="1" t="n">
        <v>46250</v>
      </c>
      <c r="F687" t="inlineStr">
        <is>
          <t>ÖSTERGÖTLANDS LÄN</t>
        </is>
      </c>
      <c r="G687" t="inlineStr">
        <is>
          <t>NORRKÖPING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45126</v>
      </c>
      <c r="E688" s="1" t="n">
        <v>46250</v>
      </c>
      <c r="F688" t="inlineStr">
        <is>
          <t>ÖSTERGÖTLANDS LÄN</t>
        </is>
      </c>
      <c r="G688" t="inlineStr">
        <is>
          <t>NORRKÖPING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45453</v>
      </c>
      <c r="E689" s="1" t="n">
        <v>46250</v>
      </c>
      <c r="F689" t="inlineStr">
        <is>
          <t>ÖSTERGÖTLANDS LÄN</t>
        </is>
      </c>
      <c r="G689" t="inlineStr">
        <is>
          <t>NORRKÖPING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23368-2024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45453</v>
      </c>
      <c r="E690" s="1" t="n">
        <v>46250</v>
      </c>
      <c r="F690" t="inlineStr">
        <is>
          <t>ÖSTERGÖTLANDS LÄN</t>
        </is>
      </c>
      <c r="G690" t="inlineStr">
        <is>
          <t>NORRKÖPING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45889</v>
      </c>
      <c r="E691" s="1" t="n">
        <v>46250</v>
      </c>
      <c r="F691" t="inlineStr">
        <is>
          <t>ÖSTERGÖTLANDS LÄN</t>
        </is>
      </c>
      <c r="G691" t="inlineStr">
        <is>
          <t>NORRKÖPING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22439-2025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45786</v>
      </c>
      <c r="E692" s="1" t="n">
        <v>46250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Naturvårdsverket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34977-2023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46250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44565</v>
      </c>
      <c r="E694" s="1" t="n">
        <v>46250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45310</v>
      </c>
      <c r="E695" s="1" t="n">
        <v>46250</v>
      </c>
      <c r="F695" t="inlineStr">
        <is>
          <t>ÖSTERGÖTLANDS LÄN</t>
        </is>
      </c>
      <c r="G695" t="inlineStr">
        <is>
          <t>NORRKÖPING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46250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22881-2025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45790</v>
      </c>
      <c r="E697" s="1" t="n">
        <v>46250</v>
      </c>
      <c r="F697" t="inlineStr">
        <is>
          <t>ÖSTERGÖTLANDS LÄN</t>
        </is>
      </c>
      <c r="G697" t="inlineStr">
        <is>
          <t>NORRKÖPING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46250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15190-2024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45400</v>
      </c>
      <c r="E699" s="1" t="n">
        <v>46250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45678</v>
      </c>
      <c r="E700" s="1" t="n">
        <v>46250</v>
      </c>
      <c r="F700" t="inlineStr">
        <is>
          <t>ÖSTERGÖTLANDS LÄN</t>
        </is>
      </c>
      <c r="G700" t="inlineStr">
        <is>
          <t>NORRKÖPING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46250</v>
      </c>
      <c r="F701" t="inlineStr">
        <is>
          <t>ÖSTERGÖTLANDS LÄN</t>
        </is>
      </c>
      <c r="G701" t="inlineStr">
        <is>
          <t>NORRKÖPING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30905-2026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46213</v>
      </c>
      <c r="E702" s="1" t="n">
        <v>46250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15640-2024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45403</v>
      </c>
      <c r="E703" s="1" t="n">
        <v>46250</v>
      </c>
      <c r="F703" t="inlineStr">
        <is>
          <t>ÖSTERGÖTLANDS LÄN</t>
        </is>
      </c>
      <c r="G703" t="inlineStr">
        <is>
          <t>NORRKÖPING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30911-2026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46213</v>
      </c>
      <c r="E704" s="1" t="n">
        <v>46250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46250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31078-2026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46216</v>
      </c>
      <c r="E706" s="1" t="n">
        <v>46250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45796</v>
      </c>
      <c r="E707" s="1" t="n">
        <v>46250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31359-2023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45114</v>
      </c>
      <c r="E708" s="1" t="n">
        <v>46250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31361-2023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45114</v>
      </c>
      <c r="E709" s="1" t="n">
        <v>46250</v>
      </c>
      <c r="F709" t="inlineStr">
        <is>
          <t>ÖSTERGÖTLANDS LÄN</t>
        </is>
      </c>
      <c r="G709" t="inlineStr">
        <is>
          <t>NORRKÖPING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7742-2025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45706</v>
      </c>
      <c r="E710" s="1" t="n">
        <v>46250</v>
      </c>
      <c r="F710" t="inlineStr">
        <is>
          <t>ÖSTERGÖTLANDS LÄN</t>
        </is>
      </c>
      <c r="G710" t="inlineStr">
        <is>
          <t>NORRKÖPING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45259</v>
      </c>
      <c r="E711" s="1" t="n">
        <v>46250</v>
      </c>
      <c r="F711" t="inlineStr">
        <is>
          <t>ÖSTERGÖTLANDS LÄN</t>
        </is>
      </c>
      <c r="G711" t="inlineStr">
        <is>
          <t>NORRKÖPING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46250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46218</v>
      </c>
      <c r="E713" s="1" t="n">
        <v>46250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24684-2025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45798</v>
      </c>
      <c r="E714" s="1" t="n">
        <v>46250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46218</v>
      </c>
      <c r="E715" s="1" t="n">
        <v>46250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38441-2024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46250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8806-2024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45356</v>
      </c>
      <c r="E717" s="1" t="n">
        <v>46250</v>
      </c>
      <c r="F717" t="inlineStr">
        <is>
          <t>ÖSTERGÖTLANDS LÄN</t>
        </is>
      </c>
      <c r="G717" t="inlineStr">
        <is>
          <t>NORRKÖPING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45797</v>
      </c>
      <c r="E718" s="1" t="n">
        <v>46250</v>
      </c>
      <c r="F718" t="inlineStr">
        <is>
          <t>ÖSTERGÖTLANDS LÄN</t>
        </is>
      </c>
      <c r="G718" t="inlineStr">
        <is>
          <t>NORRKÖPING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45798</v>
      </c>
      <c r="E719" s="1" t="n">
        <v>46250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46250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31225-2026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46250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62049-2023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45266</v>
      </c>
      <c r="E722" s="1" t="n">
        <v>46250</v>
      </c>
      <c r="F722" t="inlineStr">
        <is>
          <t>ÖSTERGÖTLANDS LÄN</t>
        </is>
      </c>
      <c r="G722" t="inlineStr">
        <is>
          <t>NORRKÖPING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46250</v>
      </c>
      <c r="F723" t="inlineStr">
        <is>
          <t>ÖSTERGÖTLANDS LÄN</t>
        </is>
      </c>
      <c r="G723" t="inlineStr">
        <is>
          <t>NORRKÖPING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45408</v>
      </c>
      <c r="E724" s="1" t="n">
        <v>46250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46250</v>
      </c>
      <c r="F725" t="inlineStr">
        <is>
          <t>ÖSTERGÖTLANDS LÄN</t>
        </is>
      </c>
      <c r="G725" t="inlineStr">
        <is>
          <t>NORRKÖPING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45722</v>
      </c>
      <c r="E726" s="1" t="n">
        <v>46250</v>
      </c>
      <c r="F726" t="inlineStr">
        <is>
          <t>ÖSTERGÖTLANDS LÄN</t>
        </is>
      </c>
      <c r="G726" t="inlineStr">
        <is>
          <t>NORRKÖPING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16949-2023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45033</v>
      </c>
      <c r="E727" s="1" t="n">
        <v>46250</v>
      </c>
      <c r="F727" t="inlineStr">
        <is>
          <t>ÖSTERGÖTLANDS LÄN</t>
        </is>
      </c>
      <c r="G727" t="inlineStr">
        <is>
          <t>NORRKÖPING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70378-2021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44536</v>
      </c>
      <c r="E728" s="1" t="n">
        <v>46250</v>
      </c>
      <c r="F728" t="inlineStr">
        <is>
          <t>ÖSTERGÖTLANDS LÄN</t>
        </is>
      </c>
      <c r="G728" t="inlineStr">
        <is>
          <t>NORRKÖPING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25176-2026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46250</v>
      </c>
      <c r="F729" t="inlineStr">
        <is>
          <t>ÖSTERGÖTLANDS LÄN</t>
        </is>
      </c>
      <c r="G729" t="inlineStr">
        <is>
          <t>NORRKÖPING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5868-2022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44596</v>
      </c>
      <c r="E730" s="1" t="n">
        <v>46250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44573</v>
      </c>
      <c r="E731" s="1" t="n">
        <v>46250</v>
      </c>
      <c r="F731" t="inlineStr">
        <is>
          <t>ÖSTERGÖTLANDS LÄN</t>
        </is>
      </c>
      <c r="G731" t="inlineStr">
        <is>
          <t>NORRKÖPING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25546-2025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45803</v>
      </c>
      <c r="E732" s="1" t="n">
        <v>46250</v>
      </c>
      <c r="F732" t="inlineStr">
        <is>
          <t>ÖSTERGÖTLANDS LÄN</t>
        </is>
      </c>
      <c r="G732" t="inlineStr">
        <is>
          <t>NORRKÖPING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25949-2025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45804</v>
      </c>
      <c r="E733" s="1" t="n">
        <v>46250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Kommuner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45762</v>
      </c>
      <c r="E734" s="1" t="n">
        <v>46250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31373-2026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46250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11136-2025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45723</v>
      </c>
      <c r="E736" s="1" t="n">
        <v>46250</v>
      </c>
      <c r="F736" t="inlineStr">
        <is>
          <t>ÖSTERGÖTLANDS LÄN</t>
        </is>
      </c>
      <c r="G736" t="inlineStr">
        <is>
          <t>NORRKÖPING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45550</v>
      </c>
      <c r="E737" s="1" t="n">
        <v>46250</v>
      </c>
      <c r="F737" t="inlineStr">
        <is>
          <t>ÖSTERGÖTLANDS LÄN</t>
        </is>
      </c>
      <c r="G737" t="inlineStr">
        <is>
          <t>NORRKÖPING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25687-2026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46250</v>
      </c>
      <c r="F738" t="inlineStr">
        <is>
          <t>ÖSTERGÖTLANDS LÄN</t>
        </is>
      </c>
      <c r="G738" t="inlineStr">
        <is>
          <t>NORRKÖPING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25693-2026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46250</v>
      </c>
      <c r="F739" t="inlineStr">
        <is>
          <t>ÖSTERGÖTLANDS LÄN</t>
        </is>
      </c>
      <c r="G739" t="inlineStr">
        <is>
          <t>NORRKÖPING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25711-2026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46250</v>
      </c>
      <c r="F740" t="inlineStr">
        <is>
          <t>ÖSTERGÖTLANDS LÄN</t>
        </is>
      </c>
      <c r="G740" t="inlineStr">
        <is>
          <t>NORRKÖPING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25719-2026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46250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10834-2024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45369</v>
      </c>
      <c r="E742" s="1" t="n">
        <v>46250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46250</v>
      </c>
      <c r="F743" t="inlineStr">
        <is>
          <t>ÖSTERGÖTLANDS LÄN</t>
        </is>
      </c>
      <c r="G743" t="inlineStr">
        <is>
          <t>NORRKÖPING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46250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5.7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45159</v>
      </c>
      <c r="E745" s="1" t="n">
        <v>46250</v>
      </c>
      <c r="F745" t="inlineStr">
        <is>
          <t>ÖSTERGÖTLANDS LÄN</t>
        </is>
      </c>
      <c r="G745" t="inlineStr">
        <is>
          <t>NORRKÖPING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25690-2026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46250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46250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25700-2026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46250</v>
      </c>
      <c r="F748" t="inlineStr">
        <is>
          <t>ÖSTERGÖTLANDS LÄN</t>
        </is>
      </c>
      <c r="G748" t="inlineStr">
        <is>
          <t>NORRKÖPING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25715-2026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46250</v>
      </c>
      <c r="F749" t="inlineStr">
        <is>
          <t>ÖSTERGÖTLANDS LÄN</t>
        </is>
      </c>
      <c r="G749" t="inlineStr">
        <is>
          <t>NORRKÖPING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19702-2024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45432</v>
      </c>
      <c r="E750" s="1" t="n">
        <v>46250</v>
      </c>
      <c r="F750" t="inlineStr">
        <is>
          <t>ÖSTERGÖTLANDS LÄN</t>
        </is>
      </c>
      <c r="G750" t="inlineStr">
        <is>
          <t>NORRKÖPING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46182</v>
      </c>
      <c r="E751" s="1" t="n">
        <v>46250</v>
      </c>
      <c r="F751" t="inlineStr">
        <is>
          <t>ÖSTERGÖTLANDS LÄN</t>
        </is>
      </c>
      <c r="G751" t="inlineStr">
        <is>
          <t>NORRKÖPING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26349-2026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46250</v>
      </c>
      <c r="F752" t="inlineStr">
        <is>
          <t>ÖSTERGÖTLANDS LÄN</t>
        </is>
      </c>
      <c r="G752" t="inlineStr">
        <is>
          <t>NORRKÖPING</t>
        </is>
      </c>
      <c r="I752" t="n">
        <v>5.9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18705-2023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46250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46182</v>
      </c>
      <c r="E754" s="1" t="n">
        <v>46250</v>
      </c>
      <c r="F754" t="inlineStr">
        <is>
          <t>ÖSTERGÖTLANDS LÄN</t>
        </is>
      </c>
      <c r="G754" t="inlineStr">
        <is>
          <t>NORRKÖPING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31661-2026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46225</v>
      </c>
      <c r="E755" s="1" t="n">
        <v>46250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43344-2023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46250</v>
      </c>
      <c r="F756" t="inlineStr">
        <is>
          <t>ÖSTERGÖTLANDS LÄN</t>
        </is>
      </c>
      <c r="G756" t="inlineStr">
        <is>
          <t>NORRKÖPING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43346-2023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45183</v>
      </c>
      <c r="E757" s="1" t="n">
        <v>46250</v>
      </c>
      <c r="F757" t="inlineStr">
        <is>
          <t>ÖSTERGÖTLANDS LÄN</t>
        </is>
      </c>
      <c r="G757" t="inlineStr">
        <is>
          <t>NORRKÖPING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45817</v>
      </c>
      <c r="E758" s="1" t="n">
        <v>46250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2287-2025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45673</v>
      </c>
      <c r="E759" s="1" t="n">
        <v>46250</v>
      </c>
      <c r="F759" t="inlineStr">
        <is>
          <t>ÖSTERGÖTLANDS LÄN</t>
        </is>
      </c>
      <c r="G759" t="inlineStr">
        <is>
          <t>NORRKÖPING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46250</v>
      </c>
      <c r="F760" t="inlineStr">
        <is>
          <t>ÖSTERGÖTLANDS LÄN</t>
        </is>
      </c>
      <c r="G760" t="inlineStr">
        <is>
          <t>NORRKÖPING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19844-2023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45053</v>
      </c>
      <c r="E761" s="1" t="n">
        <v>46250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46250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45820</v>
      </c>
      <c r="E763" s="1" t="n">
        <v>46250</v>
      </c>
      <c r="F763" t="inlineStr">
        <is>
          <t>ÖSTERGÖTLANDS LÄN</t>
        </is>
      </c>
      <c r="G763" t="inlineStr">
        <is>
          <t>NORRKÖPING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50678-2023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46250</v>
      </c>
      <c r="F764" t="inlineStr">
        <is>
          <t>ÖSTERGÖTLANDS LÄN</t>
        </is>
      </c>
      <c r="G764" t="inlineStr">
        <is>
          <t>NORRKÖPING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46250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46250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45820</v>
      </c>
      <c r="E767" s="1" t="n">
        <v>46250</v>
      </c>
      <c r="F767" t="inlineStr">
        <is>
          <t>ÖSTERGÖTLANDS LÄN</t>
        </is>
      </c>
      <c r="G767" t="inlineStr">
        <is>
          <t>NORRKÖPING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45313</v>
      </c>
      <c r="E768" s="1" t="n">
        <v>46250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29220-2025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45824</v>
      </c>
      <c r="E769" s="1" t="n">
        <v>46250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45121</v>
      </c>
      <c r="E770" s="1" t="n">
        <v>46250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46231</v>
      </c>
      <c r="E771" s="1" t="n">
        <v>46250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48091-2023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45205</v>
      </c>
      <c r="E772" s="1" t="n">
        <v>46250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46250</v>
      </c>
      <c r="F773" t="inlineStr">
        <is>
          <t>ÖSTERGÖTLANDS LÄN</t>
        </is>
      </c>
      <c r="G773" t="inlineStr">
        <is>
          <t>NORRKÖPING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46250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46250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17503-2022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46250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Allmännings- och besparingsskogar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45832</v>
      </c>
      <c r="E777" s="1" t="n">
        <v>46250</v>
      </c>
      <c r="F777" t="inlineStr">
        <is>
          <t>ÖSTERGÖTLANDS LÄN</t>
        </is>
      </c>
      <c r="G777" t="inlineStr">
        <is>
          <t>NORRKÖPING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32068-2026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46233</v>
      </c>
      <c r="E778" s="1" t="n">
        <v>46250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45761</v>
      </c>
      <c r="E779" s="1" t="n">
        <v>46250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31564-2025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45833</v>
      </c>
      <c r="E780" s="1" t="n">
        <v>46250</v>
      </c>
      <c r="F780" t="inlineStr">
        <is>
          <t>ÖSTERGÖTLANDS LÄN</t>
        </is>
      </c>
      <c r="G780" t="inlineStr">
        <is>
          <t>NORRKÖPING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11344-2022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44630</v>
      </c>
      <c r="E781" s="1" t="n">
        <v>46250</v>
      </c>
      <c r="F781" t="inlineStr">
        <is>
          <t>ÖSTERGÖTLANDS LÄN</t>
        </is>
      </c>
      <c r="G781" t="inlineStr">
        <is>
          <t>NORRKÖPING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46250</v>
      </c>
      <c r="F782" t="inlineStr">
        <is>
          <t>ÖSTERGÖTLANDS LÄN</t>
        </is>
      </c>
      <c r="G782" t="inlineStr">
        <is>
          <t>NORRKÖPING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46250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46250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46250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46250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46250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46250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46250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46233</v>
      </c>
      <c r="E790" s="1" t="n">
        <v>46250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46250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46250</v>
      </c>
      <c r="F792" t="inlineStr">
        <is>
          <t>ÖSTERGÖTLANDS LÄN</t>
        </is>
      </c>
      <c r="G792" t="inlineStr">
        <is>
          <t>NORRKÖPING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14138-2022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44651</v>
      </c>
      <c r="E793" s="1" t="n">
        <v>46250</v>
      </c>
      <c r="F793" t="inlineStr">
        <is>
          <t>ÖSTERGÖTLANDS LÄN</t>
        </is>
      </c>
      <c r="G793" t="inlineStr">
        <is>
          <t>NORRKÖPING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26085-2026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46181</v>
      </c>
      <c r="E794" s="1" t="n">
        <v>46250</v>
      </c>
      <c r="F794" t="inlineStr">
        <is>
          <t>ÖSTERGÖTLANDS LÄN</t>
        </is>
      </c>
      <c r="G794" t="inlineStr">
        <is>
          <t>NORRKÖPING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22319-2024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45446</v>
      </c>
      <c r="E795" s="1" t="n">
        <v>46250</v>
      </c>
      <c r="F795" t="inlineStr">
        <is>
          <t>ÖSTERGÖTLANDS LÄN</t>
        </is>
      </c>
      <c r="G795" t="inlineStr">
        <is>
          <t>NORRKÖPING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22322-2024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45446</v>
      </c>
      <c r="E796" s="1" t="n">
        <v>46250</v>
      </c>
      <c r="F796" t="inlineStr">
        <is>
          <t>ÖSTERGÖTLANDS LÄN</t>
        </is>
      </c>
      <c r="G796" t="inlineStr">
        <is>
          <t>NORRKÖPING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45678</v>
      </c>
      <c r="E797" s="1" t="n">
        <v>46250</v>
      </c>
      <c r="F797" t="inlineStr">
        <is>
          <t>ÖSTERGÖTLANDS LÄN</t>
        </is>
      </c>
      <c r="G797" t="inlineStr">
        <is>
          <t>NORRKÖPING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34231-2025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45845</v>
      </c>
      <c r="E798" s="1" t="n">
        <v>46250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24018-2025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45796</v>
      </c>
      <c r="E799" s="1" t="n">
        <v>46250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8.6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46250</v>
      </c>
      <c r="F800" t="inlineStr">
        <is>
          <t>ÖSTERGÖTLANDS LÄN</t>
        </is>
      </c>
      <c r="G800" t="inlineStr">
        <is>
          <t>NORRKÖPING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13419-2025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45736</v>
      </c>
      <c r="E801" s="1" t="n">
        <v>46250</v>
      </c>
      <c r="F801" t="inlineStr">
        <is>
          <t>ÖSTERGÖTLANDS LÄN</t>
        </is>
      </c>
      <c r="G801" t="inlineStr">
        <is>
          <t>NORRKÖPING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46197</v>
      </c>
      <c r="E802" s="1" t="n">
        <v>46250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Allmännings- och besparingsskogar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28255-2026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46250</v>
      </c>
      <c r="F803" t="inlineStr">
        <is>
          <t>ÖSTERGÖTLANDS LÄN</t>
        </is>
      </c>
      <c r="G803" t="inlineStr">
        <is>
          <t>NORRKÖPING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28258-2026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46250</v>
      </c>
      <c r="F804" t="inlineStr">
        <is>
          <t>ÖSTERGÖTLANDS LÄN</t>
        </is>
      </c>
      <c r="G804" t="inlineStr">
        <is>
          <t>NORRKÖPING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28271-2026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46250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28259-2026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46250</v>
      </c>
      <c r="F806" t="inlineStr">
        <is>
          <t>ÖSTERGÖTLANDS LÄN</t>
        </is>
      </c>
      <c r="G806" t="inlineStr">
        <is>
          <t>NORRKÖPING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46250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Allmännings- och besparingsskogar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46250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7762-2025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45706</v>
      </c>
      <c r="E809" s="1" t="n">
        <v>46250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29033-2026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46199</v>
      </c>
      <c r="E810" s="1" t="n">
        <v>46250</v>
      </c>
      <c r="F810" t="inlineStr">
        <is>
          <t>ÖSTERGÖTLANDS LÄN</t>
        </is>
      </c>
      <c r="G810" t="inlineStr">
        <is>
          <t>NORRKÖPING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46250</v>
      </c>
      <c r="F811" t="inlineStr">
        <is>
          <t>ÖSTERGÖTLANDS LÄN</t>
        </is>
      </c>
      <c r="G811" t="inlineStr">
        <is>
          <t>NORRKÖPING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46250</v>
      </c>
      <c r="F812" t="inlineStr">
        <is>
          <t>ÖSTERGÖTLANDS LÄN</t>
        </is>
      </c>
      <c r="G812" t="inlineStr">
        <is>
          <t>NORRKÖPING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46250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32814-2026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46241</v>
      </c>
      <c r="E814" s="1" t="n">
        <v>46250</v>
      </c>
      <c r="F814" t="inlineStr">
        <is>
          <t>ÖSTERGÖTLANDS LÄN</t>
        </is>
      </c>
      <c r="G814" t="inlineStr">
        <is>
          <t>NORRKÖPING</t>
        </is>
      </c>
      <c r="I814" t="n">
        <v>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32880-2026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46250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28902-2026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46199</v>
      </c>
      <c r="E816" s="1" t="n">
        <v>46250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46241</v>
      </c>
      <c r="E817" s="1" t="n">
        <v>46250</v>
      </c>
      <c r="F817" t="inlineStr">
        <is>
          <t>ÖSTERGÖTLANDS LÄN</t>
        </is>
      </c>
      <c r="G817" t="inlineStr">
        <is>
          <t>NORRKÖPING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29030-2026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46199</v>
      </c>
      <c r="E818" s="1" t="n">
        <v>46250</v>
      </c>
      <c r="F818" t="inlineStr">
        <is>
          <t>ÖSTERGÖTLANDS LÄN</t>
        </is>
      </c>
      <c r="G818" t="inlineStr">
        <is>
          <t>NORRKÖPING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32885-2026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46244</v>
      </c>
      <c r="E819" s="1" t="n">
        <v>46250</v>
      </c>
      <c r="F819" t="inlineStr">
        <is>
          <t>ÖSTERGÖTLANDS LÄN</t>
        </is>
      </c>
      <c r="G819" t="inlineStr">
        <is>
          <t>NORRKÖPING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32926-2026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46244</v>
      </c>
      <c r="E820" s="1" t="n">
        <v>46250</v>
      </c>
      <c r="F820" t="inlineStr">
        <is>
          <t>ÖSTERGÖTLANDS LÄN</t>
        </is>
      </c>
      <c r="G820" t="inlineStr">
        <is>
          <t>NORRKÖPING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32967-2026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46244</v>
      </c>
      <c r="E821" s="1" t="n">
        <v>46250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6040-2026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46250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Allmännings- och besparingsskogar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12727-2022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44641</v>
      </c>
      <c r="E823" s="1" t="n">
        <v>46250</v>
      </c>
      <c r="F823" t="inlineStr">
        <is>
          <t>ÖSTERGÖTLANDS LÄN</t>
        </is>
      </c>
      <c r="G823" t="inlineStr">
        <is>
          <t>NORRKÖPING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29180-2026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46202</v>
      </c>
      <c r="E824" s="1" t="n">
        <v>46250</v>
      </c>
      <c r="F824" t="inlineStr">
        <is>
          <t>ÖSTERGÖTLANDS LÄN</t>
        </is>
      </c>
      <c r="G824" t="inlineStr">
        <is>
          <t>NORRKÖPING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33075-2026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46245</v>
      </c>
      <c r="E825" s="1" t="n">
        <v>46250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46245</v>
      </c>
      <c r="E826" s="1" t="n">
        <v>46250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46245</v>
      </c>
      <c r="E827" s="1" t="n">
        <v>46250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29416-2026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46203</v>
      </c>
      <c r="E828" s="1" t="n">
        <v>46250</v>
      </c>
      <c r="F828" t="inlineStr">
        <is>
          <t>ÖSTERGÖTLANDS LÄN</t>
        </is>
      </c>
      <c r="G828" t="inlineStr">
        <is>
          <t>NORRKÖPING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30485-2026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46204</v>
      </c>
      <c r="E829" s="1" t="n">
        <v>46250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Allmännings- och besparingsskogar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30164-2026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46250</v>
      </c>
      <c r="F830" t="inlineStr">
        <is>
          <t>ÖSTERGÖTLANDS LÄN</t>
        </is>
      </c>
      <c r="G830" t="inlineStr">
        <is>
          <t>NORRKÖPING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32623-2026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46250</v>
      </c>
      <c r="F831" t="inlineStr">
        <is>
          <t>ÖSTERGÖTLANDS LÄN</t>
        </is>
      </c>
      <c r="G831" t="inlineStr">
        <is>
          <t>NORRKÖPING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45798</v>
      </c>
      <c r="E832" s="1" t="n">
        <v>46250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46206</v>
      </c>
      <c r="E833" s="1" t="n">
        <v>46250</v>
      </c>
      <c r="F833" t="inlineStr">
        <is>
          <t>ÖSTERGÖTLANDS LÄN</t>
        </is>
      </c>
      <c r="G833" t="inlineStr">
        <is>
          <t>NORRKÖPING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1519-2021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44313</v>
      </c>
      <c r="E834" s="1" t="n">
        <v>46250</v>
      </c>
      <c r="F834" t="inlineStr">
        <is>
          <t>ÖSTERGÖTLANDS LÄN</t>
        </is>
      </c>
      <c r="G834" t="inlineStr">
        <is>
          <t>NORRKÖPING</t>
        </is>
      </c>
      <c r="I834" t="n">
        <v>0.1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2289-2020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44130</v>
      </c>
      <c r="E835" s="1" t="n">
        <v>46250</v>
      </c>
      <c r="F835" t="inlineStr">
        <is>
          <t>ÖSTERGÖTLANDS LÄN</t>
        </is>
      </c>
      <c r="G835" t="inlineStr">
        <is>
          <t>NORRKÖPING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44230</v>
      </c>
      <c r="E836" s="1" t="n">
        <v>46250</v>
      </c>
      <c r="F836" t="inlineStr">
        <is>
          <t>ÖSTERGÖTLANDS LÄN</t>
        </is>
      </c>
      <c r="G836" t="inlineStr">
        <is>
          <t>NORRKÖPING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1484-2022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44638</v>
      </c>
      <c r="E837" s="1" t="n">
        <v>46250</v>
      </c>
      <c r="F837" t="inlineStr">
        <is>
          <t>ÖSTERGÖTLANDS LÄN</t>
        </is>
      </c>
      <c r="G837" t="inlineStr">
        <is>
          <t>NORRKÖPING</t>
        </is>
      </c>
      <c r="H837" t="inlineStr">
        <is>
          <t>Holmen skog AB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1678-2022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44649</v>
      </c>
      <c r="E838" s="1" t="n">
        <v>46250</v>
      </c>
      <c r="F838" t="inlineStr">
        <is>
          <t>ÖSTERGÖTLANDS LÄN</t>
        </is>
      </c>
      <c r="G838" t="inlineStr">
        <is>
          <t>NORRKÖPING</t>
        </is>
      </c>
      <c r="H838" t="inlineStr">
        <is>
          <t>Holmen skog AB</t>
        </is>
      </c>
      <c r="I838" t="n">
        <v>11.1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10364-2021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44551</v>
      </c>
      <c r="E839" s="1" t="n">
        <v>46250</v>
      </c>
      <c r="F839" t="inlineStr">
        <is>
          <t>ÖSTERGÖTLANDS LÄN</t>
        </is>
      </c>
      <c r="G839" t="inlineStr">
        <is>
          <t>NORRKÖPING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2481-2022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44692</v>
      </c>
      <c r="E840" s="1" t="n">
        <v>46250</v>
      </c>
      <c r="F840" t="inlineStr">
        <is>
          <t>ÖSTERGÖTLANDS LÄN</t>
        </is>
      </c>
      <c r="G840" t="inlineStr">
        <is>
          <t>NORRKÖPING</t>
        </is>
      </c>
      <c r="I840" t="n">
        <v>0.1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211-2024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45316</v>
      </c>
      <c r="E841" s="1" t="n">
        <v>46250</v>
      </c>
      <c r="F841" t="inlineStr">
        <is>
          <t>ÖSTERGÖTLANDS LÄN</t>
        </is>
      </c>
      <c r="G841" t="inlineStr">
        <is>
          <t>NORRKÖPING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4973-2024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45629</v>
      </c>
      <c r="E842" s="1" t="n">
        <v>46250</v>
      </c>
      <c r="F842" t="inlineStr">
        <is>
          <t>ÖSTERGÖTLANDS LÄN</t>
        </is>
      </c>
      <c r="G842" t="inlineStr">
        <is>
          <t>NORRKÖPING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4011-2024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46250</v>
      </c>
      <c r="F843" t="inlineStr">
        <is>
          <t>ÖSTERGÖTLANDS LÄN</t>
        </is>
      </c>
      <c r="G843" t="inlineStr">
        <is>
          <t>NORRKÖPING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1663-2024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45432</v>
      </c>
      <c r="E844" s="1" t="n">
        <v>46250</v>
      </c>
      <c r="F844" t="inlineStr">
        <is>
          <t>ÖSTERGÖTLANDS LÄN</t>
        </is>
      </c>
      <c r="G844" t="inlineStr">
        <is>
          <t>NORRKÖPING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4012-2024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45571</v>
      </c>
      <c r="E845" s="1" t="n">
        <v>46250</v>
      </c>
      <c r="F845" t="inlineStr">
        <is>
          <t>ÖSTERGÖTLANDS LÄN</t>
        </is>
      </c>
      <c r="G845" t="inlineStr">
        <is>
          <t>NORRKÖPING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1486-2025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45789</v>
      </c>
      <c r="E846" s="1" t="n">
        <v>46250</v>
      </c>
      <c r="F846" t="inlineStr">
        <is>
          <t>ÖSTERGÖTLANDS LÄN</t>
        </is>
      </c>
      <c r="G846" t="inlineStr">
        <is>
          <t>NORRKÖPING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>
      <c r="A847" t="inlineStr">
        <is>
          <t>S 1433-2025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45784</v>
      </c>
      <c r="E847" s="1" t="n">
        <v>46250</v>
      </c>
      <c r="F847" t="inlineStr">
        <is>
          <t>ÖSTERGÖTLANDS LÄN</t>
        </is>
      </c>
      <c r="G847" t="inlineStr">
        <is>
          <t>NORRKÖPING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2026-08-16T01:41:59Z</dcterms:created>
  <dcterms:modified xmlns:dcterms="http://purl.org/dc/terms/" xmlns:xsi="http://www.w3.org/2001/XMLSchema-instance" xsi:type="dcterms:W3CDTF">2026-08-16T01:42:00Z</dcterms:modified>
</cp:coreProperties>
</file>