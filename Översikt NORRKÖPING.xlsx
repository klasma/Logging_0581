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46242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46242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46242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46242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46242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46242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46242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46242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45579</v>
      </c>
      <c r="E11" s="1" t="n">
        <v>46242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12.1</v>
      </c>
      <c r="J11" t="n">
        <v>1</v>
      </c>
      <c r="K11" t="n">
        <v>5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13</v>
      </c>
      <c r="T11" t="n">
        <v>86</v>
      </c>
      <c r="U11" t="n">
        <v>77</v>
      </c>
      <c r="V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1">
        <f>HYPERLINK("https://klasma.github.io/Logging_0581/artfynd/A 45701-2024 artfynd.xlsx", "A 45701-2024")</f>
        <v/>
      </c>
      <c r="X11">
        <f>HYPERLINK("https://klasma.github.io/Logging_0581/kartor/A 45701-2024 karta.png", "A 45701-2024")</f>
        <v/>
      </c>
      <c r="Y11">
        <f>HYPERLINK("https://klasma.github.io/Logging_0581/kartor_geotiff/A 45701-2024 georefererad karta.tif", "A 45701-2024")</f>
        <v/>
      </c>
      <c r="Z11">
        <f>HYPERLINK("https://klasma.github.io/Logging_0581/knärot/A 45701-2024 karta knärot.png", "A 45701-2024")</f>
        <v/>
      </c>
      <c r="AA11">
        <f>HYPERLINK("https://klasma.github.io/Logging_0581/klagomål/A 45701-2024 FSC-klagomål.docx", "A 45701-2024")</f>
        <v/>
      </c>
      <c r="AB11">
        <f>HYPERLINK("https://klasma.github.io/Logging_0581/klagomålsmail/A 45701-2024 FSC-klagomål mail.docx", "A 45701-2024")</f>
        <v/>
      </c>
      <c r="AC11">
        <f>HYPERLINK("https://klasma.github.io/Logging_0581/tillsyn/A 45701-2024 tillsynsbegäran.docx", "A 45701-2024")</f>
        <v/>
      </c>
      <c r="AD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46242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46242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46242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46242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46242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46242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46242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46242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46242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46242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46242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46242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46242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46242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46242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46242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46242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46242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46242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46242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46242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46242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46242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46242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46242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46242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42434-2025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46242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1.6</v>
      </c>
      <c r="J38" t="n">
        <v>0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Vedskivlav
Blåmossa
Grönpyrola
Guldlockmossa</t>
        </is>
      </c>
      <c r="W38">
        <f>HYPERLINK("https://klasma.github.io/Logging_0581/artfynd/A 42434-2025 artfynd.xlsx", "A 42434-2025")</f>
        <v/>
      </c>
      <c r="X38">
        <f>HYPERLINK("https://klasma.github.io/Logging_0581/kartor/A 42434-2025 karta.png", "A 42434-2025")</f>
        <v/>
      </c>
      <c r="Y38">
        <f>HYPERLINK("https://klasma.github.io/Logging_0581/kartor_geotiff/A 42434-2025 georefererad karta.tif", "A 42434-2025")</f>
        <v/>
      </c>
      <c r="AA38">
        <f>HYPERLINK("https://klasma.github.io/Logging_0581/klagomål/A 42434-2025 FSC-klagomål.docx", "A 42434-2025")</f>
        <v/>
      </c>
      <c r="AB38">
        <f>HYPERLINK("https://klasma.github.io/Logging_0581/klagomålsmail/A 42434-2025 FSC-klagomål mail.docx", "A 42434-2025")</f>
        <v/>
      </c>
      <c r="AC38">
        <f>HYPERLINK("https://klasma.github.io/Logging_0581/tillsyn/A 42434-2025 tillsynsbegäran.docx", "A 42434-2025")</f>
        <v/>
      </c>
      <c r="AD38">
        <f>HYPERLINK("https://klasma.github.io/Logging_0581/tillsynsmail/A 42434-2025 tillsynsbegäran mail.docx", "A 42434-2025")</f>
        <v/>
      </c>
    </row>
    <row r="39" ht="15" customHeight="1">
      <c r="A39" t="inlineStr">
        <is>
          <t>A 38599-2025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46242</v>
      </c>
      <c r="F39" t="inlineStr">
        <is>
          <t>ÖSTERGÖTLANDS LÄN</t>
        </is>
      </c>
      <c r="G39" t="inlineStr">
        <is>
          <t>NORRKÖPING</t>
        </is>
      </c>
      <c r="I39" t="n">
        <v>5.3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Kalkkärrsgrynsnäcka
Majviva
Grönvit nattviol
Ängsnycklar</t>
        </is>
      </c>
      <c r="W39">
        <f>HYPERLINK("https://klasma.github.io/Logging_0581/artfynd/A 38599-2025 artfynd.xlsx", "A 38599-2025")</f>
        <v/>
      </c>
      <c r="X39">
        <f>HYPERLINK("https://klasma.github.io/Logging_0581/kartor/A 38599-2025 karta.png", "A 38599-2025")</f>
        <v/>
      </c>
      <c r="Y39">
        <f>HYPERLINK("https://klasma.github.io/Logging_0581/kartor_geotiff/A 38599-2025 georefererad karta.tif", "A 38599-2025")</f>
        <v/>
      </c>
      <c r="AA39">
        <f>HYPERLINK("https://klasma.github.io/Logging_0581/klagomål/A 38599-2025 FSC-klagomål.docx", "A 38599-2025")</f>
        <v/>
      </c>
      <c r="AB39">
        <f>HYPERLINK("https://klasma.github.io/Logging_0581/klagomålsmail/A 38599-2025 FSC-klagomål mail.docx", "A 38599-2025")</f>
        <v/>
      </c>
      <c r="AC39">
        <f>HYPERLINK("https://klasma.github.io/Logging_0581/tillsyn/A 38599-2025 tillsynsbegäran.docx", "A 38599-2025")</f>
        <v/>
      </c>
      <c r="AD39">
        <f>HYPERLINK("https://klasma.github.io/Logging_0581/tillsynsmail/A 38599-2025 tillsynsbegäran mail.docx", "A 38599-2025")</f>
        <v/>
      </c>
    </row>
    <row r="40" ht="15" customHeight="1">
      <c r="A40" t="inlineStr">
        <is>
          <t>A 17465-2026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46242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1.9</v>
      </c>
      <c r="J40" t="n">
        <v>2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2</v>
      </c>
      <c r="V40" s="2" t="inlineStr">
        <is>
          <t>Knärot
Blåmossa
Grönpyrola
Spillkråka</t>
        </is>
      </c>
      <c r="W40">
        <f>HYPERLINK("https://klasma.github.io/Logging_0581/artfynd/A 17465-2026 artfynd.xlsx", "A 17465-2026")</f>
        <v/>
      </c>
      <c r="X40">
        <f>HYPERLINK("https://klasma.github.io/Logging_0581/kartor/A 17465-2026 karta.png", "A 17465-2026")</f>
        <v/>
      </c>
      <c r="Y40">
        <f>HYPERLINK("https://klasma.github.io/Logging_0581/kartor_geotiff/A 17465-2026 georefererad karta.tif", "A 17465-2026")</f>
        <v/>
      </c>
      <c r="Z40">
        <f>HYPERLINK("https://klasma.github.io/Logging_0581/knärot/A 17465-2026 karta knärot.png", "A 17465-2026")</f>
        <v/>
      </c>
      <c r="AA40">
        <f>HYPERLINK("https://klasma.github.io/Logging_0581/klagomål/A 17465-2026 FSC-klagomål.docx", "A 17465-2026")</f>
        <v/>
      </c>
      <c r="AB40">
        <f>HYPERLINK("https://klasma.github.io/Logging_0581/klagomålsmail/A 17465-2026 FSC-klagomål mail.docx", "A 17465-2026")</f>
        <v/>
      </c>
      <c r="AC40">
        <f>HYPERLINK("https://klasma.github.io/Logging_0581/tillsyn/A 17465-2026 tillsynsbegäran.docx", "A 17465-2026")</f>
        <v/>
      </c>
      <c r="AD40">
        <f>HYPERLINK("https://klasma.github.io/Logging_0581/tillsynsmail/A 17465-2026 tillsynsbegäran mail.docx", "A 17465-2026")</f>
        <v/>
      </c>
      <c r="AE40">
        <f>HYPERLINK("https://klasma.github.io/Logging_0581/fåglar/A 17465-2026 prioriterade fågelarter.docx", "A 17465-2026")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46242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21147-2026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46242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1.1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Vedskivlav
Fällmossa
Spillkråka
Tofsmes</t>
        </is>
      </c>
      <c r="W42">
        <f>HYPERLINK("https://klasma.github.io/Logging_0581/artfynd/A 21147-2026 artfynd.xlsx", "A 21147-2026")</f>
        <v/>
      </c>
      <c r="X42">
        <f>HYPERLINK("https://klasma.github.io/Logging_0581/kartor/A 21147-2026 karta.png", "A 21147-2026")</f>
        <v/>
      </c>
      <c r="Y42">
        <f>HYPERLINK("https://klasma.github.io/Logging_0581/kartor_geotiff/A 21147-2026 georefererad karta.tif", "A 21147-2026")</f>
        <v/>
      </c>
      <c r="AA42">
        <f>HYPERLINK("https://klasma.github.io/Logging_0581/klagomål/A 21147-2026 FSC-klagomål.docx", "A 21147-2026")</f>
        <v/>
      </c>
      <c r="AB42">
        <f>HYPERLINK("https://klasma.github.io/Logging_0581/klagomålsmail/A 21147-2026 FSC-klagomål mail.docx", "A 21147-2026")</f>
        <v/>
      </c>
      <c r="AC42">
        <f>HYPERLINK("https://klasma.github.io/Logging_0581/tillsyn/A 21147-2026 tillsynsbegäran.docx", "A 21147-2026")</f>
        <v/>
      </c>
      <c r="AD42">
        <f>HYPERLINK("https://klasma.github.io/Logging_0581/tillsynsmail/A 21147-2026 tillsynsbegäran mail.docx", "A 21147-2026")</f>
        <v/>
      </c>
      <c r="AE42">
        <f>HYPERLINK("https://klasma.github.io/Logging_0581/fåglar/A 21147-2026 prioriterade fågelarter.docx", "A 21147-2026")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46242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46242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46242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46242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45421</v>
      </c>
      <c r="E47" s="1" t="n">
        <v>46242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1.4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Mörk kolflarnlav
Gullgröppa
Tjäder
Fläcknycklar</t>
        </is>
      </c>
      <c r="W47">
        <f>HYPERLINK("https://klasma.github.io/Logging_0581/artfynd/A 18267-2024 artfynd.xlsx", "A 18267-2024")</f>
        <v/>
      </c>
      <c r="X47">
        <f>HYPERLINK("https://klasma.github.io/Logging_0581/kartor/A 18267-2024 karta.png", "A 18267-2024")</f>
        <v/>
      </c>
      <c r="Y47">
        <f>HYPERLINK("https://klasma.github.io/Logging_0581/kartor_geotiff/A 18267-2024 georefererad karta.tif", "A 18267-2024")</f>
        <v/>
      </c>
      <c r="AA47">
        <f>HYPERLINK("https://klasma.github.io/Logging_0581/klagomål/A 18267-2024 FSC-klagomål.docx", "A 18267-2024")</f>
        <v/>
      </c>
      <c r="AB47">
        <f>HYPERLINK("https://klasma.github.io/Logging_0581/klagomålsmail/A 18267-2024 FSC-klagomål mail.docx", "A 18267-2024")</f>
        <v/>
      </c>
      <c r="AC47">
        <f>HYPERLINK("https://klasma.github.io/Logging_0581/tillsyn/A 18267-2024 tillsynsbegäran.docx", "A 18267-2024")</f>
        <v/>
      </c>
      <c r="AD47">
        <f>HYPERLINK("https://klasma.github.io/Logging_0581/tillsynsmail/A 18267-2024 tillsynsbegäran mail.docx", "A 18267-2024")</f>
        <v/>
      </c>
      <c r="AE47">
        <f>HYPERLINK("https://klasma.github.io/Logging_0581/fåglar/A 18267-2024 prioriterade fågelarter.docx", "A 18267-2024")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46242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46242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10282-2022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44622</v>
      </c>
      <c r="E50" s="1" t="n">
        <v>46242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4.6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5</v>
      </c>
      <c r="U50" t="n">
        <v>1</v>
      </c>
      <c r="V50" s="2" t="inlineStr">
        <is>
          <t>Grönfink
Skogsklocka
Blåsippa</t>
        </is>
      </c>
      <c r="W50">
        <f>HYPERLINK("https://klasma.github.io/Logging_0581/artfynd/A 10282-2022 artfynd.xlsx", "A 10282-2022")</f>
        <v/>
      </c>
      <c r="X50">
        <f>HYPERLINK("https://klasma.github.io/Logging_0581/kartor/A 10282-2022 karta.png", "A 10282-2022")</f>
        <v/>
      </c>
      <c r="Y50">
        <f>HYPERLINK("https://klasma.github.io/Logging_0581/kartor_geotiff/A 10282-2022 georefererad karta.tif", "A 10282-2022")</f>
        <v/>
      </c>
      <c r="AA50">
        <f>HYPERLINK("https://klasma.github.io/Logging_0581/klagomål/A 10282-2022 FSC-klagomål.docx", "A 10282-2022")</f>
        <v/>
      </c>
      <c r="AB50">
        <f>HYPERLINK("https://klasma.github.io/Logging_0581/klagomålsmail/A 10282-2022 FSC-klagomål mail.docx", "A 10282-2022")</f>
        <v/>
      </c>
      <c r="AC50">
        <f>HYPERLINK("https://klasma.github.io/Logging_0581/tillsyn/A 10282-2022 tillsynsbegäran.docx", "A 10282-2022")</f>
        <v/>
      </c>
      <c r="AD50">
        <f>HYPERLINK("https://klasma.github.io/Logging_0581/tillsynsmail/A 10282-2022 tillsynsbegäran mail.docx", "A 10282-2022")</f>
        <v/>
      </c>
      <c r="AE50">
        <f>HYPERLINK("https://klasma.github.io/Logging_0581/fåglar/A 10282-2022 prioriterade fågelarter.docx", "A 10282-2022")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46242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12692-2025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46242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6.1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Dvärgbägarlav
Vedskivlav
Mattlummer</t>
        </is>
      </c>
      <c r="W52">
        <f>HYPERLINK("https://klasma.github.io/Logging_0581/artfynd/A 12692-2025 artfynd.xlsx", "A 12692-2025")</f>
        <v/>
      </c>
      <c r="X52">
        <f>HYPERLINK("https://klasma.github.io/Logging_0581/kartor/A 12692-2025 karta.png", "A 12692-2025")</f>
        <v/>
      </c>
      <c r="Y52">
        <f>HYPERLINK("https://klasma.github.io/Logging_0581/kartor_geotiff/A 12692-2025 georefererad karta.tif", "A 12692-2025")</f>
        <v/>
      </c>
      <c r="AA52">
        <f>HYPERLINK("https://klasma.github.io/Logging_0581/klagomål/A 12692-2025 FSC-klagomål.docx", "A 12692-2025")</f>
        <v/>
      </c>
      <c r="AB52">
        <f>HYPERLINK("https://klasma.github.io/Logging_0581/klagomålsmail/A 12692-2025 FSC-klagomål mail.docx", "A 12692-2025")</f>
        <v/>
      </c>
      <c r="AC52">
        <f>HYPERLINK("https://klasma.github.io/Logging_0581/tillsyn/A 12692-2025 tillsynsbegäran.docx", "A 12692-2025")</f>
        <v/>
      </c>
      <c r="AD52">
        <f>HYPERLINK("https://klasma.github.io/Logging_0581/tillsynsmail/A 12692-2025 tillsynsbegäran mail.docx", "A 12692-2025")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46242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46242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46242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19806-2026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46242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7.7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Blåmossa
Kungsfågel</t>
        </is>
      </c>
      <c r="W56">
        <f>HYPERLINK("https://klasma.github.io/Logging_0581/artfynd/A 19806-2026 artfynd.xlsx", "A 19806-2026")</f>
        <v/>
      </c>
      <c r="X56">
        <f>HYPERLINK("https://klasma.github.io/Logging_0581/kartor/A 19806-2026 karta.png", "A 19806-2026")</f>
        <v/>
      </c>
      <c r="Y56">
        <f>HYPERLINK("https://klasma.github.io/Logging_0581/kartor_geotiff/A 19806-2026 georefererad karta.tif", "A 19806-2026")</f>
        <v/>
      </c>
      <c r="AA56">
        <f>HYPERLINK("https://klasma.github.io/Logging_0581/klagomål/A 19806-2026 FSC-klagomål.docx", "A 19806-2026")</f>
        <v/>
      </c>
      <c r="AB56">
        <f>HYPERLINK("https://klasma.github.io/Logging_0581/klagomålsmail/A 19806-2026 FSC-klagomål mail.docx", "A 19806-2026")</f>
        <v/>
      </c>
      <c r="AC56">
        <f>HYPERLINK("https://klasma.github.io/Logging_0581/tillsyn/A 19806-2026 tillsynsbegäran.docx", "A 19806-2026")</f>
        <v/>
      </c>
      <c r="AD56">
        <f>HYPERLINK("https://klasma.github.io/Logging_0581/tillsynsmail/A 19806-2026 tillsynsbegäran mail.docx", "A 19806-2026")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46242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19989-2026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46136</v>
      </c>
      <c r="E58" s="1" t="n">
        <v>46242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4.6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Hasselticka
Spillkråka</t>
        </is>
      </c>
      <c r="W58">
        <f>HYPERLINK("https://klasma.github.io/Logging_0581/artfynd/A 19989-2026 artfynd.xlsx", "A 19989-2026")</f>
        <v/>
      </c>
      <c r="X58">
        <f>HYPERLINK("https://klasma.github.io/Logging_0581/kartor/A 19989-2026 karta.png", "A 19989-2026")</f>
        <v/>
      </c>
      <c r="Y58">
        <f>HYPERLINK("https://klasma.github.io/Logging_0581/kartor_geotiff/A 19989-2026 georefererad karta.tif", "A 19989-2026")</f>
        <v/>
      </c>
      <c r="AA58">
        <f>HYPERLINK("https://klasma.github.io/Logging_0581/klagomål/A 19989-2026 FSC-klagomål.docx", "A 19989-2026")</f>
        <v/>
      </c>
      <c r="AB58">
        <f>HYPERLINK("https://klasma.github.io/Logging_0581/klagomålsmail/A 19989-2026 FSC-klagomål mail.docx", "A 19989-2026")</f>
        <v/>
      </c>
      <c r="AC58">
        <f>HYPERLINK("https://klasma.github.io/Logging_0581/tillsyn/A 19989-2026 tillsynsbegäran.docx", "A 19989-2026")</f>
        <v/>
      </c>
      <c r="AD58">
        <f>HYPERLINK("https://klasma.github.io/Logging_0581/tillsynsmail/A 19989-2026 tillsynsbegäran mail.docx", "A 19989-2026")</f>
        <v/>
      </c>
      <c r="AE58">
        <f>HYPERLINK("https://klasma.github.io/Logging_0581/fåglar/A 19989-2026 prioriterade fågelarter.docx", "A 19989-2026")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46242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46242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35736-2025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45860</v>
      </c>
      <c r="E61" s="1" t="n">
        <v>46242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11.5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Vedskivlav
Tjäder</t>
        </is>
      </c>
      <c r="W61">
        <f>HYPERLINK("https://klasma.github.io/Logging_0581/artfynd/A 35736-2025 artfynd.xlsx", "A 35736-2025")</f>
        <v/>
      </c>
      <c r="X61">
        <f>HYPERLINK("https://klasma.github.io/Logging_0581/kartor/A 35736-2025 karta.png", "A 35736-2025")</f>
        <v/>
      </c>
      <c r="Y61">
        <f>HYPERLINK("https://klasma.github.io/Logging_0581/kartor_geotiff/A 35736-2025 georefererad karta.tif", "A 35736-2025")</f>
        <v/>
      </c>
      <c r="AA61">
        <f>HYPERLINK("https://klasma.github.io/Logging_0581/klagomål/A 35736-2025 FSC-klagomål.docx", "A 35736-2025")</f>
        <v/>
      </c>
      <c r="AB61">
        <f>HYPERLINK("https://klasma.github.io/Logging_0581/klagomålsmail/A 35736-2025 FSC-klagomål mail.docx", "A 35736-2025")</f>
        <v/>
      </c>
      <c r="AC61">
        <f>HYPERLINK("https://klasma.github.io/Logging_0581/tillsyn/A 35736-2025 tillsynsbegäran.docx", "A 35736-2025")</f>
        <v/>
      </c>
      <c r="AD61">
        <f>HYPERLINK("https://klasma.github.io/Logging_0581/tillsynsmail/A 35736-2025 tillsynsbegäran mail.docx", "A 35736-2025")</f>
        <v/>
      </c>
      <c r="AE61">
        <f>HYPERLINK("https://klasma.github.io/Logging_0581/fåglar/A 35736-2025 prioriterade fågelarter.docx", "A 35736-2025")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46242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46242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30829-2026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46212</v>
      </c>
      <c r="E64" s="1" t="n">
        <v>46242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Björksplintborre
Kornknutmossa
Stor aspticka</t>
        </is>
      </c>
      <c r="W64">
        <f>HYPERLINK("https://klasma.github.io/Logging_0581/artfynd/A 30829-2026 artfynd.xlsx", "A 30829-2026")</f>
        <v/>
      </c>
      <c r="X64">
        <f>HYPERLINK("https://klasma.github.io/Logging_0581/kartor/A 30829-2026 karta.png", "A 30829-2026")</f>
        <v/>
      </c>
      <c r="Y64">
        <f>HYPERLINK("https://klasma.github.io/Logging_0581/kartor_geotiff/A 30829-2026 georefererad karta.tif", "A 30829-2026")</f>
        <v/>
      </c>
      <c r="AA64">
        <f>HYPERLINK("https://klasma.github.io/Logging_0581/klagomål/A 30829-2026 FSC-klagomål.docx", "A 30829-2026")</f>
        <v/>
      </c>
      <c r="AB64">
        <f>HYPERLINK("https://klasma.github.io/Logging_0581/klagomålsmail/A 30829-2026 FSC-klagomål mail.docx", "A 30829-2026")</f>
        <v/>
      </c>
      <c r="AC64">
        <f>HYPERLINK("https://klasma.github.io/Logging_0581/tillsyn/A 30829-2026 tillsynsbegäran.docx", "A 30829-2026")</f>
        <v/>
      </c>
      <c r="AD64">
        <f>HYPERLINK("https://klasma.github.io/Logging_0581/tillsynsmail/A 30829-2026 tillsynsbegäran mail.docx", "A 30829-2026")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46242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60171-2023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45258</v>
      </c>
      <c r="E66" s="1" t="n">
        <v>46242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1.7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Tallticka
Blomkålssvamp
Kransmossa</t>
        </is>
      </c>
      <c r="W66">
        <f>HYPERLINK("https://klasma.github.io/Logging_0581/artfynd/A 60171-2023 artfynd.xlsx", "A 60171-2023")</f>
        <v/>
      </c>
      <c r="X66">
        <f>HYPERLINK("https://klasma.github.io/Logging_0581/kartor/A 60171-2023 karta.png", "A 60171-2023")</f>
        <v/>
      </c>
      <c r="Y66">
        <f>HYPERLINK("https://klasma.github.io/Logging_0581/kartor_geotiff/A 60171-2023 georefererad karta.tif", "A 60171-2023")</f>
        <v/>
      </c>
      <c r="AA66">
        <f>HYPERLINK("https://klasma.github.io/Logging_0581/klagomål/A 60171-2023 FSC-klagomål.docx", "A 60171-2023")</f>
        <v/>
      </c>
      <c r="AB66">
        <f>HYPERLINK("https://klasma.github.io/Logging_0581/klagomålsmail/A 60171-2023 FSC-klagomål mail.docx", "A 60171-2023")</f>
        <v/>
      </c>
      <c r="AC66">
        <f>HYPERLINK("https://klasma.github.io/Logging_0581/tillsyn/A 60171-2023 tillsynsbegäran.docx", "A 60171-2023")</f>
        <v/>
      </c>
      <c r="AD66">
        <f>HYPERLINK("https://klasma.github.io/Logging_0581/tillsynsmail/A 60171-2023 tillsynsbegäran mail.docx", "A 60171-2023")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46242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46242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46242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46242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46242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46242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46242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46242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46242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46242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46242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Grönfink
Kungsfågel</t>
        </is>
      </c>
      <c r="W77">
        <f>HYPERLINK("https://klasma.github.io/Logging_0581/artfynd/A 3815-2026 artfynd.xlsx", "A 3815-2026")</f>
        <v/>
      </c>
      <c r="X77">
        <f>HYPERLINK("https://klasma.github.io/Logging_0581/kartor/A 3815-2026 karta.png", "A 3815-2026")</f>
        <v/>
      </c>
      <c r="Y77">
        <f>HYPERLINK("https://klasma.github.io/Logging_0581/kartor_geotiff/A 3815-2026 georefererad karta.tif", "A 3815-2026")</f>
        <v/>
      </c>
      <c r="AA77">
        <f>HYPERLINK("https://klasma.github.io/Logging_0581/klagomål/A 3815-2026 FSC-klagomål.docx", "A 3815-2026")</f>
        <v/>
      </c>
      <c r="AB77">
        <f>HYPERLINK("https://klasma.github.io/Logging_0581/klagomålsmail/A 3815-2026 FSC-klagomål mail.docx", "A 3815-2026")</f>
        <v/>
      </c>
      <c r="AC77">
        <f>HYPERLINK("https://klasma.github.io/Logging_0581/tillsyn/A 3815-2026 tillsynsbegäran.docx", "A 3815-2026")</f>
        <v/>
      </c>
      <c r="AD77">
        <f>HYPERLINK("https://klasma.github.io/Logging_0581/tillsynsmail/A 3815-2026 tillsynsbegäran mail.docx", "A 3815-2026")</f>
        <v/>
      </c>
      <c r="AE77">
        <f>HYPERLINK("https://klasma.github.io/Logging_0581/fåglar/A 3815-2026 prioriterade fågelarter.docx", "A 3815-2026")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46242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46242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46242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Mattlummer
Trädlärka</t>
        </is>
      </c>
      <c r="W80">
        <f>HYPERLINK("https://klasma.github.io/Logging_0581/artfynd/A 11490-2023 artfynd.xlsx", "A 11490-2023")</f>
        <v/>
      </c>
      <c r="X80">
        <f>HYPERLINK("https://klasma.github.io/Logging_0581/kartor/A 11490-2023 karta.png", "A 11490-2023")</f>
        <v/>
      </c>
      <c r="Y80">
        <f>HYPERLINK("https://klasma.github.io/Logging_0581/kartor_geotiff/A 11490-2023 georefererad karta.tif", "A 11490-2023")</f>
        <v/>
      </c>
      <c r="AA80">
        <f>HYPERLINK("https://klasma.github.io/Logging_0581/klagomål/A 11490-2023 FSC-klagomål.docx", "A 11490-2023")</f>
        <v/>
      </c>
      <c r="AB80">
        <f>HYPERLINK("https://klasma.github.io/Logging_0581/klagomålsmail/A 11490-2023 FSC-klagomål mail.docx", "A 11490-2023")</f>
        <v/>
      </c>
      <c r="AC80">
        <f>HYPERLINK("https://klasma.github.io/Logging_0581/tillsyn/A 11490-2023 tillsynsbegäran.docx", "A 11490-2023")</f>
        <v/>
      </c>
      <c r="AD80">
        <f>HYPERLINK("https://klasma.github.io/Logging_0581/tillsynsmail/A 11490-2023 tillsynsbegäran mail.docx", "A 11490-2023")</f>
        <v/>
      </c>
      <c r="AE80">
        <f>HYPERLINK("https://klasma.github.io/Logging_0581/fåglar/A 11490-2023 prioriterade fågelarter.docx", "A 11490-2023")</f>
        <v/>
      </c>
    </row>
    <row r="81" ht="15" customHeight="1">
      <c r="A81" t="inlineStr">
        <is>
          <t>A 12188-2026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46242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Korallrot</t>
        </is>
      </c>
      <c r="W81">
        <f>HYPERLINK("https://klasma.github.io/Logging_0581/artfynd/A 12188-2026 artfynd.xlsx", "A 12188-2026")</f>
        <v/>
      </c>
      <c r="X81">
        <f>HYPERLINK("https://klasma.github.io/Logging_0581/kartor/A 12188-2026 karta.png", "A 12188-2026")</f>
        <v/>
      </c>
      <c r="Y81">
        <f>HYPERLINK("https://klasma.github.io/Logging_0581/kartor_geotiff/A 12188-2026 georefererad karta.tif", "A 12188-2026")</f>
        <v/>
      </c>
      <c r="AA81">
        <f>HYPERLINK("https://klasma.github.io/Logging_0581/klagomål/A 12188-2026 FSC-klagomål.docx", "A 12188-2026")</f>
        <v/>
      </c>
      <c r="AB81">
        <f>HYPERLINK("https://klasma.github.io/Logging_0581/klagomålsmail/A 12188-2026 FSC-klagomål mail.docx", "A 12188-2026")</f>
        <v/>
      </c>
      <c r="AC81">
        <f>HYPERLINK("https://klasma.github.io/Logging_0581/tillsyn/A 12188-2026 tillsynsbegäran.docx", "A 12188-2026")</f>
        <v/>
      </c>
      <c r="AD81">
        <f>HYPERLINK("https://klasma.github.io/Logging_0581/tillsynsmail/A 12188-2026 tillsynsbegäran mail.docx", "A 12188-2026")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46242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46242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46242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46242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46242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46242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46242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58380-2025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46242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10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Tallticka</t>
        </is>
      </c>
      <c r="W89">
        <f>HYPERLINK("https://klasma.github.io/Logging_0581/artfynd/A 58380-2025 artfynd.xlsx", "A 58380-2025")</f>
        <v/>
      </c>
      <c r="X89">
        <f>HYPERLINK("https://klasma.github.io/Logging_0581/kartor/A 58380-2025 karta.png", "A 58380-2025")</f>
        <v/>
      </c>
      <c r="Y89">
        <f>HYPERLINK("https://klasma.github.io/Logging_0581/kartor_geotiff/A 58380-2025 georefererad karta.tif", "A 58380-2025")</f>
        <v/>
      </c>
      <c r="Z89">
        <f>HYPERLINK("https://klasma.github.io/Logging_0581/knärot/A 58380-2025 karta knärot.png", "A 58380-2025")</f>
        <v/>
      </c>
      <c r="AA89">
        <f>HYPERLINK("https://klasma.github.io/Logging_0581/klagomål/A 58380-2025 FSC-klagomål.docx", "A 58380-2025")</f>
        <v/>
      </c>
      <c r="AB89">
        <f>HYPERLINK("https://klasma.github.io/Logging_0581/klagomålsmail/A 58380-2025 FSC-klagomål mail.docx", "A 58380-2025")</f>
        <v/>
      </c>
      <c r="AC89">
        <f>HYPERLINK("https://klasma.github.io/Logging_0581/tillsyn/A 58380-2025 tillsynsbegäran.docx", "A 58380-2025")</f>
        <v/>
      </c>
      <c r="AD89">
        <f>HYPERLINK("https://klasma.github.io/Logging_0581/tillsynsmail/A 58380-2025 tillsynsbegäran mail.docx", "A 58380-2025")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46242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46242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46242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46242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46242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10769-2024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46242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10769-2024 artfynd.xlsx", "A 10769-2024")</f>
        <v/>
      </c>
      <c r="X95">
        <f>HYPERLINK("https://klasma.github.io/Logging_0581/kartor/A 10769-2024 karta.png", "A 10769-2024")</f>
        <v/>
      </c>
      <c r="Y95">
        <f>HYPERLINK("https://klasma.github.io/Logging_0581/kartor_geotiff/A 10769-2024 georefererad karta.tif", "A 10769-2024")</f>
        <v/>
      </c>
      <c r="AA95">
        <f>HYPERLINK("https://klasma.github.io/Logging_0581/klagomål/A 10769-2024 FSC-klagomål.docx", "A 10769-2024")</f>
        <v/>
      </c>
      <c r="AB95">
        <f>HYPERLINK("https://klasma.github.io/Logging_0581/klagomålsmail/A 10769-2024 FSC-klagomål mail.docx", "A 10769-2024")</f>
        <v/>
      </c>
      <c r="AC95">
        <f>HYPERLINK("https://klasma.github.io/Logging_0581/tillsyn/A 10769-2024 tillsynsbegäran.docx", "A 10769-2024")</f>
        <v/>
      </c>
      <c r="AD95">
        <f>HYPERLINK("https://klasma.github.io/Logging_0581/tillsynsmail/A 10769-2024 tillsynsbegäran mail.docx", "A 10769-2024")</f>
        <v/>
      </c>
      <c r="AE95">
        <f>HYPERLINK("https://klasma.github.io/Logging_0581/fåglar/A 10769-2024 prioriterade fågelarter.docx", "A 10769-2024")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46242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55022-2022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46242</v>
      </c>
      <c r="F97" t="inlineStr">
        <is>
          <t>ÖSTERGÖTLANDS LÄN</t>
        </is>
      </c>
      <c r="G97" t="inlineStr">
        <is>
          <t>NORRKÖPING</t>
        </is>
      </c>
      <c r="I97" t="n">
        <v>1.4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Tallfingersvamp
Purpurknipprot</t>
        </is>
      </c>
      <c r="W97">
        <f>HYPERLINK("https://klasma.github.io/Logging_0581/artfynd/A 55022-2022 artfynd.xlsx", "A 55022-2022")</f>
        <v/>
      </c>
      <c r="X97">
        <f>HYPERLINK("https://klasma.github.io/Logging_0581/kartor/A 55022-2022 karta.png", "A 55022-2022")</f>
        <v/>
      </c>
      <c r="Y97">
        <f>HYPERLINK("https://klasma.github.io/Logging_0581/kartor_geotiff/A 55022-2022 georefererad karta.tif", "A 55022-2022")</f>
        <v/>
      </c>
      <c r="AA97">
        <f>HYPERLINK("https://klasma.github.io/Logging_0581/klagomål/A 55022-2022 FSC-klagomål.docx", "A 55022-2022")</f>
        <v/>
      </c>
      <c r="AB97">
        <f>HYPERLINK("https://klasma.github.io/Logging_0581/klagomålsmail/A 55022-2022 FSC-klagomål mail.docx", "A 55022-2022")</f>
        <v/>
      </c>
      <c r="AC97">
        <f>HYPERLINK("https://klasma.github.io/Logging_0581/tillsyn/A 55022-2022 tillsynsbegäran.docx", "A 55022-2022")</f>
        <v/>
      </c>
      <c r="AD97">
        <f>HYPERLINK("https://klasma.github.io/Logging_0581/tillsynsmail/A 55022-2022 tillsynsbegäran mail.docx", "A 55022-2022")</f>
        <v/>
      </c>
    </row>
    <row r="98" ht="15" customHeight="1">
      <c r="A98" t="inlineStr">
        <is>
          <t>A 31298-2026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46242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0.7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Blåmossa
Orre</t>
        </is>
      </c>
      <c r="W98">
        <f>HYPERLINK("https://klasma.github.io/Logging_0581/artfynd/A 31298-2026 artfynd.xlsx", "A 31298-2026")</f>
        <v/>
      </c>
      <c r="X98">
        <f>HYPERLINK("https://klasma.github.io/Logging_0581/kartor/A 31298-2026 karta.png", "A 31298-2026")</f>
        <v/>
      </c>
      <c r="Y98">
        <f>HYPERLINK("https://klasma.github.io/Logging_0581/kartor_geotiff/A 31298-2026 georefererad karta.tif", "A 31298-2026")</f>
        <v/>
      </c>
      <c r="AA98">
        <f>HYPERLINK("https://klasma.github.io/Logging_0581/klagomål/A 31298-2026 FSC-klagomål.docx", "A 31298-2026")</f>
        <v/>
      </c>
      <c r="AB98">
        <f>HYPERLINK("https://klasma.github.io/Logging_0581/klagomålsmail/A 31298-2026 FSC-klagomål mail.docx", "A 31298-2026")</f>
        <v/>
      </c>
      <c r="AC98">
        <f>HYPERLINK("https://klasma.github.io/Logging_0581/tillsyn/A 31298-2026 tillsynsbegäran.docx", "A 31298-2026")</f>
        <v/>
      </c>
      <c r="AD98">
        <f>HYPERLINK("https://klasma.github.io/Logging_0581/tillsynsmail/A 31298-2026 tillsynsbegäran mail.docx", "A 31298-2026")</f>
        <v/>
      </c>
      <c r="AE98">
        <f>HYPERLINK("https://klasma.github.io/Logging_0581/fåglar/A 31298-2026 prioriterade fågelarter.docx", "A 31298-2026")</f>
        <v/>
      </c>
    </row>
    <row r="99" ht="15" customHeight="1">
      <c r="A99" t="inlineStr">
        <is>
          <t>A 31335-2026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46242</v>
      </c>
      <c r="F99" t="inlineStr">
        <is>
          <t>ÖSTERGÖTLANDS LÄN</t>
        </is>
      </c>
      <c r="G99" t="inlineStr">
        <is>
          <t>NORRKÖPING</t>
        </is>
      </c>
      <c r="I99" t="n">
        <v>1.1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Bredbrämad bastardsvärmare
Älg</t>
        </is>
      </c>
      <c r="W99">
        <f>HYPERLINK("https://klasma.github.io/Logging_0581/artfynd/A 31335-2026 artfynd.xlsx", "A 31335-2026")</f>
        <v/>
      </c>
      <c r="X99">
        <f>HYPERLINK("https://klasma.github.io/Logging_0581/kartor/A 31335-2026 karta.png", "A 31335-2026")</f>
        <v/>
      </c>
      <c r="Y99">
        <f>HYPERLINK("https://klasma.github.io/Logging_0581/kartor_geotiff/A 31335-2026 georefererad karta.tif", "A 31335-2026")</f>
        <v/>
      </c>
      <c r="AA99">
        <f>HYPERLINK("https://klasma.github.io/Logging_0581/klagomål/A 31335-2026 FSC-klagomål.docx", "A 31335-2026")</f>
        <v/>
      </c>
      <c r="AB99">
        <f>HYPERLINK("https://klasma.github.io/Logging_0581/klagomålsmail/A 31335-2026 FSC-klagomål mail.docx", "A 31335-2026")</f>
        <v/>
      </c>
      <c r="AC99">
        <f>HYPERLINK("https://klasma.github.io/Logging_0581/tillsyn/A 31335-2026 tillsynsbegäran.docx", "A 31335-2026")</f>
        <v/>
      </c>
      <c r="AD99">
        <f>HYPERLINK("https://klasma.github.io/Logging_0581/tillsynsmail/A 31335-2026 tillsynsbegäran mail.docx", "A 31335-2026")</f>
        <v/>
      </c>
    </row>
    <row r="100" ht="15" customHeight="1">
      <c r="A100" t="inlineStr">
        <is>
          <t>A 31264-2026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46242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Vedskivlav
Fläcknycklar</t>
        </is>
      </c>
      <c r="W100">
        <f>HYPERLINK("https://klasma.github.io/Logging_0581/artfynd/A 31264-2026 artfynd.xlsx", "A 31264-2026")</f>
        <v/>
      </c>
      <c r="X100">
        <f>HYPERLINK("https://klasma.github.io/Logging_0581/kartor/A 31264-2026 karta.png", "A 31264-2026")</f>
        <v/>
      </c>
      <c r="Y100">
        <f>HYPERLINK("https://klasma.github.io/Logging_0581/kartor_geotiff/A 31264-2026 georefererad karta.tif", "A 31264-2026")</f>
        <v/>
      </c>
      <c r="AA100">
        <f>HYPERLINK("https://klasma.github.io/Logging_0581/klagomål/A 31264-2026 FSC-klagomål.docx", "A 31264-2026")</f>
        <v/>
      </c>
      <c r="AB100">
        <f>HYPERLINK("https://klasma.github.io/Logging_0581/klagomålsmail/A 31264-2026 FSC-klagomål mail.docx", "A 31264-2026")</f>
        <v/>
      </c>
      <c r="AC100">
        <f>HYPERLINK("https://klasma.github.io/Logging_0581/tillsyn/A 31264-2026 tillsynsbegäran.docx", "A 31264-2026")</f>
        <v/>
      </c>
      <c r="AD100">
        <f>HYPERLINK("https://klasma.github.io/Logging_0581/tillsynsmail/A 31264-2026 tillsynsbegäran mail.docx", "A 31264-2026")</f>
        <v/>
      </c>
    </row>
    <row r="101" ht="15" customHeight="1">
      <c r="A101" t="inlineStr">
        <is>
          <t>A 24233-2025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46242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5.4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Tallticka
Granbarkgnagare</t>
        </is>
      </c>
      <c r="W101">
        <f>HYPERLINK("https://klasma.github.io/Logging_0581/artfynd/A 24233-2025 artfynd.xlsx", "A 24233-2025")</f>
        <v/>
      </c>
      <c r="X101">
        <f>HYPERLINK("https://klasma.github.io/Logging_0581/kartor/A 24233-2025 karta.png", "A 24233-2025")</f>
        <v/>
      </c>
      <c r="Y101">
        <f>HYPERLINK("https://klasma.github.io/Logging_0581/kartor_geotiff/A 24233-2025 georefererad karta.tif", "A 24233-2025")</f>
        <v/>
      </c>
      <c r="AA101">
        <f>HYPERLINK("https://klasma.github.io/Logging_0581/klagomål/A 24233-2025 FSC-klagomål.docx", "A 24233-2025")</f>
        <v/>
      </c>
      <c r="AB101">
        <f>HYPERLINK("https://klasma.github.io/Logging_0581/klagomålsmail/A 24233-2025 FSC-klagomål mail.docx", "A 24233-2025")</f>
        <v/>
      </c>
      <c r="AC101">
        <f>HYPERLINK("https://klasma.github.io/Logging_0581/tillsyn/A 24233-2025 tillsynsbegäran.docx", "A 24233-2025")</f>
        <v/>
      </c>
      <c r="AD101">
        <f>HYPERLINK("https://klasma.github.io/Logging_0581/tillsynsmail/A 24233-2025 tillsynsbegäran mail.docx", "A 24233-2025")</f>
        <v/>
      </c>
    </row>
    <row r="102" ht="15" customHeight="1">
      <c r="A102" t="inlineStr">
        <is>
          <t>A 20377-2023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46242</v>
      </c>
      <c r="F102" t="inlineStr">
        <is>
          <t>ÖSTERGÖTLANDS LÄN</t>
        </is>
      </c>
      <c r="G102" t="inlineStr">
        <is>
          <t>NORRKÖPING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Tallticka
Kungsfågel</t>
        </is>
      </c>
      <c r="W102">
        <f>HYPERLINK("https://klasma.github.io/Logging_0581/artfynd/A 20377-2023 artfynd.xlsx", "A 20377-2023")</f>
        <v/>
      </c>
      <c r="X102">
        <f>HYPERLINK("https://klasma.github.io/Logging_0581/kartor/A 20377-2023 karta.png", "A 20377-2023")</f>
        <v/>
      </c>
      <c r="Y102">
        <f>HYPERLINK("https://klasma.github.io/Logging_0581/kartor_geotiff/A 20377-2023 georefererad karta.tif", "A 20377-2023")</f>
        <v/>
      </c>
      <c r="AA102">
        <f>HYPERLINK("https://klasma.github.io/Logging_0581/klagomål/A 20377-2023 FSC-klagomål.docx", "A 20377-2023")</f>
        <v/>
      </c>
      <c r="AB102">
        <f>HYPERLINK("https://klasma.github.io/Logging_0581/klagomålsmail/A 20377-2023 FSC-klagomål mail.docx", "A 20377-2023")</f>
        <v/>
      </c>
      <c r="AC102">
        <f>HYPERLINK("https://klasma.github.io/Logging_0581/tillsyn/A 20377-2023 tillsynsbegäran.docx", "A 20377-2023")</f>
        <v/>
      </c>
      <c r="AD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27503-2022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46242</v>
      </c>
      <c r="F103" t="inlineStr">
        <is>
          <t>ÖSTERGÖTLANDS LÄN</t>
        </is>
      </c>
      <c r="G103" t="inlineStr">
        <is>
          <t>NORRKÖPING</t>
        </is>
      </c>
      <c r="I103" t="n">
        <v>2.9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Svinrot
Ängsskära</t>
        </is>
      </c>
      <c r="W103">
        <f>HYPERLINK("https://klasma.github.io/Logging_0581/artfynd/A 27503-2022 artfynd.xlsx", "A 27503-2022")</f>
        <v/>
      </c>
      <c r="X103">
        <f>HYPERLINK("https://klasma.github.io/Logging_0581/kartor/A 27503-2022 karta.png", "A 27503-2022")</f>
        <v/>
      </c>
      <c r="Y103">
        <f>HYPERLINK("https://klasma.github.io/Logging_0581/kartor_geotiff/A 27503-2022 georefererad karta.tif", "A 27503-2022")</f>
        <v/>
      </c>
      <c r="AA103">
        <f>HYPERLINK("https://klasma.github.io/Logging_0581/klagomål/A 27503-2022 FSC-klagomål.docx", "A 27503-2022")</f>
        <v/>
      </c>
      <c r="AB103">
        <f>HYPERLINK("https://klasma.github.io/Logging_0581/klagomålsmail/A 27503-2022 FSC-klagomål mail.docx", "A 27503-2022")</f>
        <v/>
      </c>
      <c r="AC103">
        <f>HYPERLINK("https://klasma.github.io/Logging_0581/tillsyn/A 27503-2022 tillsynsbegäran.docx", "A 27503-2022")</f>
        <v/>
      </c>
      <c r="AD103">
        <f>HYPERLINK("https://klasma.github.io/Logging_0581/tillsynsmail/A 27503-2022 tillsynsbegäran mail.docx", "A 27503-2022")</f>
        <v/>
      </c>
    </row>
    <row r="104" ht="15" customHeight="1">
      <c r="A104" t="inlineStr">
        <is>
          <t>A 46955-2023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46242</v>
      </c>
      <c r="F104" t="inlineStr">
        <is>
          <t>ÖSTERGÖTLANDS LÄN</t>
        </is>
      </c>
      <c r="G104" t="inlineStr">
        <is>
          <t>NORRKÖPING</t>
        </is>
      </c>
      <c r="I104" t="n">
        <v>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Dropptaggsvamp
Sparvuggla</t>
        </is>
      </c>
      <c r="W104">
        <f>HYPERLINK("https://klasma.github.io/Logging_0581/artfynd/A 46955-2023 artfynd.xlsx", "A 46955-2023")</f>
        <v/>
      </c>
      <c r="X104">
        <f>HYPERLINK("https://klasma.github.io/Logging_0581/kartor/A 46955-2023 karta.png", "A 46955-2023")</f>
        <v/>
      </c>
      <c r="Y104">
        <f>HYPERLINK("https://klasma.github.io/Logging_0581/kartor_geotiff/A 46955-2023 georefererad karta.tif", "A 46955-2023")</f>
        <v/>
      </c>
      <c r="AA104">
        <f>HYPERLINK("https://klasma.github.io/Logging_0581/klagomål/A 46955-2023 FSC-klagomål.docx", "A 46955-2023")</f>
        <v/>
      </c>
      <c r="AB104">
        <f>HYPERLINK("https://klasma.github.io/Logging_0581/klagomålsmail/A 46955-2023 FSC-klagomål mail.docx", "A 46955-2023")</f>
        <v/>
      </c>
      <c r="AC104">
        <f>HYPERLINK("https://klasma.github.io/Logging_0581/tillsyn/A 46955-2023 tillsynsbegäran.docx", "A 46955-2023")</f>
        <v/>
      </c>
      <c r="AD104">
        <f>HYPERLINK("https://klasma.github.io/Logging_0581/tillsynsmail/A 46955-2023 tillsynsbegäran mail.docx", "A 46955-2023")</f>
        <v/>
      </c>
      <c r="AE104">
        <f>HYPERLINK("https://klasma.github.io/Logging_0581/fåglar/A 46955-2023 prioriterade fågelarter.docx", "A 46955-2023")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46242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46242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28893-2026 artfynd.xlsx", "A 28893-2026")</f>
        <v/>
      </c>
      <c r="X106">
        <f>HYPERLINK("https://klasma.github.io/Logging_0581/kartor/A 28893-2026 karta.png", "A 28893-2026")</f>
        <v/>
      </c>
      <c r="Y106">
        <f>HYPERLINK("https://klasma.github.io/Logging_0581/kartor_geotiff/A 28893-2026 georefererad karta.tif", "A 28893-2026")</f>
        <v/>
      </c>
      <c r="AA106">
        <f>HYPERLINK("https://klasma.github.io/Logging_0581/klagomål/A 28893-2026 FSC-klagomål.docx", "A 28893-2026")</f>
        <v/>
      </c>
      <c r="AB106">
        <f>HYPERLINK("https://klasma.github.io/Logging_0581/klagomålsmail/A 28893-2026 FSC-klagomål mail.docx", "A 28893-2026")</f>
        <v/>
      </c>
      <c r="AC106">
        <f>HYPERLINK("https://klasma.github.io/Logging_0581/tillsyn/A 28893-2026 tillsynsbegäran.docx", "A 28893-2026")</f>
        <v/>
      </c>
      <c r="AD106">
        <f>HYPERLINK("https://klasma.github.io/Logging_0581/tillsynsmail/A 28893-2026 tillsynsbegäran mail.docx", "A 28893-2026")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46242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46242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17248-2024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46242</v>
      </c>
      <c r="F109" t="inlineStr">
        <is>
          <t>ÖSTERGÖTLANDS LÄN</t>
        </is>
      </c>
      <c r="G109" t="inlineStr">
        <is>
          <t>NORRKÖPING</t>
        </is>
      </c>
      <c r="I109" t="n">
        <v>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Tallticka
Vedticka</t>
        </is>
      </c>
      <c r="W109">
        <f>HYPERLINK("https://klasma.github.io/Logging_0581/artfynd/A 17248-2024 artfynd.xlsx", "A 17248-2024")</f>
        <v/>
      </c>
      <c r="X109">
        <f>HYPERLINK("https://klasma.github.io/Logging_0581/kartor/A 17248-2024 karta.png", "A 17248-2024")</f>
        <v/>
      </c>
      <c r="Y109">
        <f>HYPERLINK("https://klasma.github.io/Logging_0581/kartor_geotiff/A 17248-2024 georefererad karta.tif", "A 17248-2024")</f>
        <v/>
      </c>
      <c r="AA109">
        <f>HYPERLINK("https://klasma.github.io/Logging_0581/klagomål/A 17248-2024 FSC-klagomål.docx", "A 17248-2024")</f>
        <v/>
      </c>
      <c r="AB109">
        <f>HYPERLINK("https://klasma.github.io/Logging_0581/klagomålsmail/A 17248-2024 FSC-klagomål mail.docx", "A 17248-2024")</f>
        <v/>
      </c>
      <c r="AC109">
        <f>HYPERLINK("https://klasma.github.io/Logging_0581/tillsyn/A 17248-2024 tillsynsbegäran.docx", "A 17248-2024")</f>
        <v/>
      </c>
      <c r="AD109">
        <f>HYPERLINK("https://klasma.github.io/Logging_0581/tillsynsmail/A 17248-2024 tillsynsbegäran mail.docx", "A 17248-2024")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46242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49869-2021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46242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Jungfrulin
Knippnejlika</t>
        </is>
      </c>
      <c r="W111">
        <f>HYPERLINK("https://klasma.github.io/Logging_0581/artfynd/A 49869-2021 artfynd.xlsx", "A 49869-2021")</f>
        <v/>
      </c>
      <c r="X111">
        <f>HYPERLINK("https://klasma.github.io/Logging_0581/kartor/A 49869-2021 karta.png", "A 49869-2021")</f>
        <v/>
      </c>
      <c r="Y111">
        <f>HYPERLINK("https://klasma.github.io/Logging_0581/kartor_geotiff/A 49869-2021 georefererad karta.tif", "A 49869-2021")</f>
        <v/>
      </c>
      <c r="AA111">
        <f>HYPERLINK("https://klasma.github.io/Logging_0581/klagomål/A 49869-2021 FSC-klagomål.docx", "A 49869-2021")</f>
        <v/>
      </c>
      <c r="AB111">
        <f>HYPERLINK("https://klasma.github.io/Logging_0581/klagomålsmail/A 49869-2021 FSC-klagomål mail.docx", "A 49869-2021")</f>
        <v/>
      </c>
      <c r="AC111">
        <f>HYPERLINK("https://klasma.github.io/Logging_0581/tillsyn/A 49869-2021 tillsynsbegäran.docx", "A 49869-2021")</f>
        <v/>
      </c>
      <c r="AD111">
        <f>HYPERLINK("https://klasma.github.io/Logging_0581/tillsynsmail/A 49869-2021 tillsynsbegäran mail.docx", "A 49869-2021")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46242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46242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46242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46242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46242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46242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46242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46242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46242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46242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46242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46242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46242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46242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31897-2022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44777</v>
      </c>
      <c r="E126" s="1" t="n">
        <v>46242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Kommuner</t>
        </is>
      </c>
      <c r="I126" t="n">
        <v>1.8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Grönpyrola</t>
        </is>
      </c>
      <c r="W126">
        <f>HYPERLINK("https://klasma.github.io/Logging_0581/artfynd/A 31897-2022 artfynd.xlsx", "A 31897-2022")</f>
        <v/>
      </c>
      <c r="X126">
        <f>HYPERLINK("https://klasma.github.io/Logging_0581/kartor/A 31897-2022 karta.png", "A 31897-2022")</f>
        <v/>
      </c>
      <c r="Y126">
        <f>HYPERLINK("https://klasma.github.io/Logging_0581/kartor_geotiff/A 31897-2022 georefererad karta.tif", "A 31897-2022")</f>
        <v/>
      </c>
      <c r="AA126">
        <f>HYPERLINK("https://klasma.github.io/Logging_0581/klagomål/A 31897-2022 FSC-klagomål.docx", "A 31897-2022")</f>
        <v/>
      </c>
      <c r="AB126">
        <f>HYPERLINK("https://klasma.github.io/Logging_0581/klagomålsmail/A 31897-2022 FSC-klagomål mail.docx", "A 31897-2022")</f>
        <v/>
      </c>
      <c r="AC126">
        <f>HYPERLINK("https://klasma.github.io/Logging_0581/tillsyn/A 31897-2022 tillsynsbegäran.docx", "A 31897-2022")</f>
        <v/>
      </c>
      <c r="AD126">
        <f>HYPERLINK("https://klasma.github.io/Logging_0581/tillsynsmail/A 31897-2022 tillsynsbegäran mail.docx", "A 31897-2022")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46242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41369-2023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46242</v>
      </c>
      <c r="F128" t="inlineStr">
        <is>
          <t>ÖSTERGÖTLANDS LÄN</t>
        </is>
      </c>
      <c r="G128" t="inlineStr">
        <is>
          <t>NORRKÖPING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HYPERLINK("https://klasma.github.io/Logging_0581/artfynd/A 41369-2023 artfynd.xlsx", "A 41369-2023")</f>
        <v/>
      </c>
      <c r="X128">
        <f>HYPERLINK("https://klasma.github.io/Logging_0581/kartor/A 41369-2023 karta.png", "A 41369-2023")</f>
        <v/>
      </c>
      <c r="Y128">
        <f>HYPERLINK("https://klasma.github.io/Logging_0581/kartor_geotiff/A 41369-2023 georefererad karta.tif", "A 41369-2023")</f>
        <v/>
      </c>
      <c r="AA128">
        <f>HYPERLINK("https://klasma.github.io/Logging_0581/klagomål/A 41369-2023 FSC-klagomål.docx", "A 41369-2023")</f>
        <v/>
      </c>
      <c r="AB128">
        <f>HYPERLINK("https://klasma.github.io/Logging_0581/klagomålsmail/A 41369-2023 FSC-klagomål mail.docx", "A 41369-2023")</f>
        <v/>
      </c>
      <c r="AC128">
        <f>HYPERLINK("https://klasma.github.io/Logging_0581/tillsyn/A 41369-2023 tillsynsbegäran.docx", "A 41369-2023")</f>
        <v/>
      </c>
      <c r="AD128">
        <f>HYPERLINK("https://klasma.github.io/Logging_0581/tillsynsmail/A 41369-2023 tillsynsbegäran mail.docx", "A 41369-2023")</f>
        <v/>
      </c>
    </row>
    <row r="129" ht="15" customHeight="1">
      <c r="A129" t="inlineStr">
        <is>
          <t>A 9941-2024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46242</v>
      </c>
      <c r="F129" t="inlineStr">
        <is>
          <t>ÖSTERGÖTLANDS LÄN</t>
        </is>
      </c>
      <c r="G129" t="inlineStr">
        <is>
          <t>NORRKÖPING</t>
        </is>
      </c>
      <c r="I129" t="n">
        <v>3.1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Purpurknipprot</t>
        </is>
      </c>
      <c r="W129">
        <f>HYPERLINK("https://klasma.github.io/Logging_0581/artfynd/A 9941-2024 artfynd.xlsx", "A 9941-2024")</f>
        <v/>
      </c>
      <c r="X129">
        <f>HYPERLINK("https://klasma.github.io/Logging_0581/kartor/A 9941-2024 karta.png", "A 9941-2024")</f>
        <v/>
      </c>
      <c r="Y129">
        <f>HYPERLINK("https://klasma.github.io/Logging_0581/kartor_geotiff/A 9941-2024 georefererad karta.tif", "A 9941-2024")</f>
        <v/>
      </c>
      <c r="AA129">
        <f>HYPERLINK("https://klasma.github.io/Logging_0581/klagomål/A 9941-2024 FSC-klagomål.docx", "A 9941-2024")</f>
        <v/>
      </c>
      <c r="AB129">
        <f>HYPERLINK("https://klasma.github.io/Logging_0581/klagomålsmail/A 9941-2024 FSC-klagomål mail.docx", "A 9941-2024")</f>
        <v/>
      </c>
      <c r="AC129">
        <f>HYPERLINK("https://klasma.github.io/Logging_0581/tillsyn/A 9941-2024 tillsynsbegäran.docx", "A 9941-2024")</f>
        <v/>
      </c>
      <c r="AD129">
        <f>HYPERLINK("https://klasma.github.io/Logging_0581/tillsynsmail/A 9941-2024 tillsynsbegäran mail.docx", "A 9941-2024")</f>
        <v/>
      </c>
    </row>
    <row r="130" ht="15" customHeight="1">
      <c r="A130" t="inlineStr">
        <is>
          <t>A 1077-2023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46242</v>
      </c>
      <c r="F130" t="inlineStr">
        <is>
          <t>ÖSTERGÖTLANDS LÄN</t>
        </is>
      </c>
      <c r="G130" t="inlineStr">
        <is>
          <t>NORRKÖPING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Äkta lopplummer</t>
        </is>
      </c>
      <c r="W130">
        <f>HYPERLINK("https://klasma.github.io/Logging_0581/artfynd/A 1077-2023 artfynd.xlsx", "A 1077-2023")</f>
        <v/>
      </c>
      <c r="X130">
        <f>HYPERLINK("https://klasma.github.io/Logging_0581/kartor/A 1077-2023 karta.png", "A 1077-2023")</f>
        <v/>
      </c>
      <c r="Y130">
        <f>HYPERLINK("https://klasma.github.io/Logging_0581/kartor_geotiff/A 1077-2023 georefererad karta.tif", "A 1077-2023")</f>
        <v/>
      </c>
      <c r="AA130">
        <f>HYPERLINK("https://klasma.github.io/Logging_0581/klagomål/A 1077-2023 FSC-klagomål.docx", "A 1077-2023")</f>
        <v/>
      </c>
      <c r="AB130">
        <f>HYPERLINK("https://klasma.github.io/Logging_0581/klagomålsmail/A 1077-2023 FSC-klagomål mail.docx", "A 1077-2023")</f>
        <v/>
      </c>
      <c r="AC130">
        <f>HYPERLINK("https://klasma.github.io/Logging_0581/tillsyn/A 1077-2023 tillsynsbegäran.docx", "A 1077-2023")</f>
        <v/>
      </c>
      <c r="AD130">
        <f>HYPERLINK("https://klasma.github.io/Logging_0581/tillsynsmail/A 1077-2023 tillsynsbegäran mail.docx", "A 1077-2023")</f>
        <v/>
      </c>
    </row>
    <row r="131" ht="15" customHeight="1">
      <c r="A131" t="inlineStr">
        <is>
          <t>A 2832-2026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46242</v>
      </c>
      <c r="F131" t="inlineStr">
        <is>
          <t>ÖSTERGÖTLANDS LÄN</t>
        </is>
      </c>
      <c r="G131" t="inlineStr">
        <is>
          <t>NORRKÖPING</t>
        </is>
      </c>
      <c r="I131" t="n">
        <v>5.5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HYPERLINK("https://klasma.github.io/Logging_0581/artfynd/A 2832-2026 artfynd.xlsx", "A 2832-2026")</f>
        <v/>
      </c>
      <c r="X131">
        <f>HYPERLINK("https://klasma.github.io/Logging_0581/kartor/A 2832-2026 karta.png", "A 2832-2026")</f>
        <v/>
      </c>
      <c r="Y131">
        <f>HYPERLINK("https://klasma.github.io/Logging_0581/kartor_geotiff/A 2832-2026 georefererad karta.tif", "A 2832-2026")</f>
        <v/>
      </c>
      <c r="AA131">
        <f>HYPERLINK("https://klasma.github.io/Logging_0581/klagomål/A 2832-2026 FSC-klagomål.docx", "A 2832-2026")</f>
        <v/>
      </c>
      <c r="AB131">
        <f>HYPERLINK("https://klasma.github.io/Logging_0581/klagomålsmail/A 2832-2026 FSC-klagomål mail.docx", "A 2832-2026")</f>
        <v/>
      </c>
      <c r="AC131">
        <f>HYPERLINK("https://klasma.github.io/Logging_0581/tillsyn/A 2832-2026 tillsynsbegäran.docx", "A 2832-2026")</f>
        <v/>
      </c>
      <c r="AD131">
        <f>HYPERLINK("https://klasma.github.io/Logging_0581/tillsynsmail/A 2832-2026 tillsynsbegäran mail.docx", "A 2832-2026")</f>
        <v/>
      </c>
    </row>
    <row r="132" ht="15" customHeight="1">
      <c r="A132" t="inlineStr">
        <is>
          <t>A 27236-2023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46242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Motaggsvamp</t>
        </is>
      </c>
      <c r="W132">
        <f>HYPERLINK("https://klasma.github.io/Logging_0581/artfynd/A 27236-2023 artfynd.xlsx", "A 27236-2023")</f>
        <v/>
      </c>
      <c r="X132">
        <f>HYPERLINK("https://klasma.github.io/Logging_0581/kartor/A 27236-2023 karta.png", "A 27236-2023")</f>
        <v/>
      </c>
      <c r="Y132">
        <f>HYPERLINK("https://klasma.github.io/Logging_0581/kartor_geotiff/A 27236-2023 georefererad karta.tif", "A 27236-2023")</f>
        <v/>
      </c>
      <c r="AA132">
        <f>HYPERLINK("https://klasma.github.io/Logging_0581/klagomål/A 27236-2023 FSC-klagomål.docx", "A 27236-2023")</f>
        <v/>
      </c>
      <c r="AB132">
        <f>HYPERLINK("https://klasma.github.io/Logging_0581/klagomålsmail/A 27236-2023 FSC-klagomål mail.docx", "A 27236-2023")</f>
        <v/>
      </c>
      <c r="AC132">
        <f>HYPERLINK("https://klasma.github.io/Logging_0581/tillsyn/A 27236-2023 tillsynsbegäran.docx", "A 27236-2023")</f>
        <v/>
      </c>
      <c r="AD132">
        <f>HYPERLINK("https://klasma.github.io/Logging_0581/tillsynsmail/A 27236-2023 tillsynsbegäran mail.docx", "A 27236-2023")</f>
        <v/>
      </c>
    </row>
    <row r="133" ht="15" customHeight="1">
      <c r="A133" t="inlineStr">
        <is>
          <t>A 40053-2025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45894</v>
      </c>
      <c r="E133" s="1" t="n">
        <v>46242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HYPERLINK("https://klasma.github.io/Logging_0581/artfynd/A 40053-2025 artfynd.xlsx", "A 40053-2025")</f>
        <v/>
      </c>
      <c r="X133">
        <f>HYPERLINK("https://klasma.github.io/Logging_0581/kartor/A 40053-2025 karta.png", "A 40053-2025")</f>
        <v/>
      </c>
      <c r="Y133">
        <f>HYPERLINK("https://klasma.github.io/Logging_0581/kartor_geotiff/A 40053-2025 georefererad karta.tif", "A 40053-2025")</f>
        <v/>
      </c>
      <c r="AA133">
        <f>HYPERLINK("https://klasma.github.io/Logging_0581/klagomål/A 40053-2025 FSC-klagomål.docx", "A 40053-2025")</f>
        <v/>
      </c>
      <c r="AB133">
        <f>HYPERLINK("https://klasma.github.io/Logging_0581/klagomålsmail/A 40053-2025 FSC-klagomål mail.docx", "A 40053-2025")</f>
        <v/>
      </c>
      <c r="AC133">
        <f>HYPERLINK("https://klasma.github.io/Logging_0581/tillsyn/A 40053-2025 tillsynsbegäran.docx", "A 40053-2025")</f>
        <v/>
      </c>
      <c r="AD133">
        <f>HYPERLINK("https://klasma.github.io/Logging_0581/tillsynsmail/A 40053-2025 tillsynsbegäran mail.docx", "A 40053-2025")</f>
        <v/>
      </c>
    </row>
    <row r="134" ht="15" customHeight="1">
      <c r="A134" t="inlineStr">
        <is>
          <t>A 15124-2025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46242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Vedskivlav</t>
        </is>
      </c>
      <c r="W134">
        <f>HYPERLINK("https://klasma.github.io/Logging_0581/artfynd/A 15124-2025 artfynd.xlsx", "A 15124-2025")</f>
        <v/>
      </c>
      <c r="X134">
        <f>HYPERLINK("https://klasma.github.io/Logging_0581/kartor/A 15124-2025 karta.png", "A 15124-2025")</f>
        <v/>
      </c>
      <c r="Y134">
        <f>HYPERLINK("https://klasma.github.io/Logging_0581/kartor_geotiff/A 15124-2025 georefererad karta.tif", "A 15124-2025")</f>
        <v/>
      </c>
      <c r="AA134">
        <f>HYPERLINK("https://klasma.github.io/Logging_0581/klagomål/A 15124-2025 FSC-klagomål.docx", "A 15124-2025")</f>
        <v/>
      </c>
      <c r="AB134">
        <f>HYPERLINK("https://klasma.github.io/Logging_0581/klagomålsmail/A 15124-2025 FSC-klagomål mail.docx", "A 15124-2025")</f>
        <v/>
      </c>
      <c r="AC134">
        <f>HYPERLINK("https://klasma.github.io/Logging_0581/tillsyn/A 15124-2025 tillsynsbegäran.docx", "A 15124-2025")</f>
        <v/>
      </c>
      <c r="AD134">
        <f>HYPERLINK("https://klasma.github.io/Logging_0581/tillsynsmail/A 15124-2025 tillsynsbegäran mail.docx", "A 15124-2025")</f>
        <v/>
      </c>
    </row>
    <row r="135" ht="15" customHeight="1">
      <c r="A135" t="inlineStr">
        <is>
          <t>A 40095-2025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46242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40095-2025 artfynd.xlsx", "A 40095-2025")</f>
        <v/>
      </c>
      <c r="X135">
        <f>HYPERLINK("https://klasma.github.io/Logging_0581/kartor/A 40095-2025 karta.png", "A 40095-2025")</f>
        <v/>
      </c>
      <c r="Y135">
        <f>HYPERLINK("https://klasma.github.io/Logging_0581/kartor_geotiff/A 40095-2025 georefererad karta.tif", "A 40095-2025")</f>
        <v/>
      </c>
      <c r="AA135">
        <f>HYPERLINK("https://klasma.github.io/Logging_0581/klagomål/A 40095-2025 FSC-klagomål.docx", "A 40095-2025")</f>
        <v/>
      </c>
      <c r="AB135">
        <f>HYPERLINK("https://klasma.github.io/Logging_0581/klagomålsmail/A 40095-2025 FSC-klagomål mail.docx", "A 40095-2025")</f>
        <v/>
      </c>
      <c r="AC135">
        <f>HYPERLINK("https://klasma.github.io/Logging_0581/tillsyn/A 40095-2025 tillsynsbegäran.docx", "A 40095-2025")</f>
        <v/>
      </c>
      <c r="AD135">
        <f>HYPERLINK("https://klasma.github.io/Logging_0581/tillsynsmail/A 40095-2025 tillsynsbegäran mail.docx", "A 40095-2025")</f>
        <v/>
      </c>
      <c r="AE135">
        <f>HYPERLINK("https://klasma.github.io/Logging_0581/fåglar/A 40095-2025 prioriterade fågelarter.docx", "A 40095-2025")</f>
        <v/>
      </c>
    </row>
    <row r="136" ht="15" customHeight="1">
      <c r="A136" t="inlineStr">
        <is>
          <t>A 42548-2025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46242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Kattfotslav</t>
        </is>
      </c>
      <c r="W136">
        <f>HYPERLINK("https://klasma.github.io/Logging_0581/artfynd/A 42548-2025 artfynd.xlsx", "A 42548-2025")</f>
        <v/>
      </c>
      <c r="X136">
        <f>HYPERLINK("https://klasma.github.io/Logging_0581/kartor/A 42548-2025 karta.png", "A 42548-2025")</f>
        <v/>
      </c>
      <c r="Y136">
        <f>HYPERLINK("https://klasma.github.io/Logging_0581/kartor_geotiff/A 42548-2025 georefererad karta.tif", "A 42548-2025")</f>
        <v/>
      </c>
      <c r="AA136">
        <f>HYPERLINK("https://klasma.github.io/Logging_0581/klagomål/A 42548-2025 FSC-klagomål.docx", "A 42548-2025")</f>
        <v/>
      </c>
      <c r="AB136">
        <f>HYPERLINK("https://klasma.github.io/Logging_0581/klagomålsmail/A 42548-2025 FSC-klagomål mail.docx", "A 42548-2025")</f>
        <v/>
      </c>
      <c r="AC136">
        <f>HYPERLINK("https://klasma.github.io/Logging_0581/tillsyn/A 42548-2025 tillsynsbegäran.docx", "A 42548-2025")</f>
        <v/>
      </c>
      <c r="AD136">
        <f>HYPERLINK("https://klasma.github.io/Logging_0581/tillsynsmail/A 42548-2025 tillsynsbegäran mail.docx", "A 42548-2025")</f>
        <v/>
      </c>
    </row>
    <row r="137" ht="15" customHeight="1">
      <c r="A137" t="inlineStr">
        <is>
          <t>A 42233-2025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46242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HYPERLINK("https://klasma.github.io/Logging_0581/artfynd/A 42233-2025 artfynd.xlsx", "A 42233-2025")</f>
        <v/>
      </c>
      <c r="X137">
        <f>HYPERLINK("https://klasma.github.io/Logging_0581/kartor/A 42233-2025 karta.png", "A 42233-2025")</f>
        <v/>
      </c>
      <c r="Y137">
        <f>HYPERLINK("https://klasma.github.io/Logging_0581/kartor_geotiff/A 42233-2025 georefererad karta.tif", "A 42233-2025")</f>
        <v/>
      </c>
      <c r="AA137">
        <f>HYPERLINK("https://klasma.github.io/Logging_0581/klagomål/A 42233-2025 FSC-klagomål.docx", "A 42233-2025")</f>
        <v/>
      </c>
      <c r="AB137">
        <f>HYPERLINK("https://klasma.github.io/Logging_0581/klagomålsmail/A 42233-2025 FSC-klagomål mail.docx", "A 42233-2025")</f>
        <v/>
      </c>
      <c r="AC137">
        <f>HYPERLINK("https://klasma.github.io/Logging_0581/tillsyn/A 42233-2025 tillsynsbegäran.docx", "A 42233-2025")</f>
        <v/>
      </c>
      <c r="AD137">
        <f>HYPERLINK("https://klasma.github.io/Logging_0581/tillsynsmail/A 42233-2025 tillsynsbegäran mail.docx", "A 42233-2025")</f>
        <v/>
      </c>
    </row>
    <row r="138" ht="15" customHeight="1">
      <c r="A138" t="inlineStr">
        <is>
          <t>A 15143-2025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46242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15143-2025 artfynd.xlsx", "A 15143-2025")</f>
        <v/>
      </c>
      <c r="X138">
        <f>HYPERLINK("https://klasma.github.io/Logging_0581/kartor/A 15143-2025 karta.png", "A 15143-2025")</f>
        <v/>
      </c>
      <c r="Y138">
        <f>HYPERLINK("https://klasma.github.io/Logging_0581/kartor_geotiff/A 15143-2025 georefererad karta.tif", "A 15143-2025")</f>
        <v/>
      </c>
      <c r="AA138">
        <f>HYPERLINK("https://klasma.github.io/Logging_0581/klagomål/A 15143-2025 FSC-klagomål.docx", "A 15143-2025")</f>
        <v/>
      </c>
      <c r="AB138">
        <f>HYPERLINK("https://klasma.github.io/Logging_0581/klagomålsmail/A 15143-2025 FSC-klagomål mail.docx", "A 15143-2025")</f>
        <v/>
      </c>
      <c r="AC138">
        <f>HYPERLINK("https://klasma.github.io/Logging_0581/tillsyn/A 15143-2025 tillsynsbegäran.docx", "A 15143-2025")</f>
        <v/>
      </c>
      <c r="AD138">
        <f>HYPERLINK("https://klasma.github.io/Logging_0581/tillsynsmail/A 15143-2025 tillsynsbegäran mail.docx", "A 15143-2025")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46242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46242</v>
      </c>
      <c r="F140" t="inlineStr">
        <is>
          <t>ÖSTERGÖTLANDS LÄN</t>
        </is>
      </c>
      <c r="G140" t="inlineStr">
        <is>
          <t>NORRKÖPING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Hasselticka</t>
        </is>
      </c>
      <c r="W140">
        <f>HYPERLINK("https://klasma.github.io/Logging_0581/artfynd/A 46201-2025 artfynd.xlsx", "A 46201-2025")</f>
        <v/>
      </c>
      <c r="X140">
        <f>HYPERLINK("https://klasma.github.io/Logging_0581/kartor/A 46201-2025 karta.png", "A 46201-2025")</f>
        <v/>
      </c>
      <c r="Y140">
        <f>HYPERLINK("https://klasma.github.io/Logging_0581/kartor_geotiff/A 46201-2025 georefererad karta.tif", "A 46201-2025")</f>
        <v/>
      </c>
      <c r="AA140">
        <f>HYPERLINK("https://klasma.github.io/Logging_0581/klagomål/A 46201-2025 FSC-klagomål.docx", "A 46201-2025")</f>
        <v/>
      </c>
      <c r="AB140">
        <f>HYPERLINK("https://klasma.github.io/Logging_0581/klagomålsmail/A 46201-2025 FSC-klagomål mail.docx", "A 46201-2025")</f>
        <v/>
      </c>
      <c r="AC140">
        <f>HYPERLINK("https://klasma.github.io/Logging_0581/tillsyn/A 46201-2025 tillsynsbegäran.docx", "A 46201-2025")</f>
        <v/>
      </c>
      <c r="AD140">
        <f>HYPERLINK("https://klasma.github.io/Logging_0581/tillsynsmail/A 46201-2025 tillsynsbegäran mail.docx", "A 46201-2025")</f>
        <v/>
      </c>
    </row>
    <row r="141" ht="15" customHeight="1">
      <c r="A141" t="inlineStr">
        <is>
          <t>A 46671-2024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46242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Kattfotslav</t>
        </is>
      </c>
      <c r="W141">
        <f>HYPERLINK("https://klasma.github.io/Logging_0581/artfynd/A 46671-2024 artfynd.xlsx", "A 46671-2024")</f>
        <v/>
      </c>
      <c r="X141">
        <f>HYPERLINK("https://klasma.github.io/Logging_0581/kartor/A 46671-2024 karta.png", "A 46671-2024")</f>
        <v/>
      </c>
      <c r="Y141">
        <f>HYPERLINK("https://klasma.github.io/Logging_0581/kartor_geotiff/A 46671-2024 georefererad karta.tif", "A 46671-2024")</f>
        <v/>
      </c>
      <c r="AA141">
        <f>HYPERLINK("https://klasma.github.io/Logging_0581/klagomål/A 46671-2024 FSC-klagomål.docx", "A 46671-2024")</f>
        <v/>
      </c>
      <c r="AB141">
        <f>HYPERLINK("https://klasma.github.io/Logging_0581/klagomålsmail/A 46671-2024 FSC-klagomål mail.docx", "A 46671-2024")</f>
        <v/>
      </c>
      <c r="AC141">
        <f>HYPERLINK("https://klasma.github.io/Logging_0581/tillsyn/A 46671-2024 tillsynsbegäran.docx", "A 46671-2024")</f>
        <v/>
      </c>
      <c r="AD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11714-2026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46242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2.9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Gulsparv</t>
        </is>
      </c>
      <c r="W142">
        <f>HYPERLINK("https://klasma.github.io/Logging_0581/artfynd/A 11714-2026 artfynd.xlsx", "A 11714-2026")</f>
        <v/>
      </c>
      <c r="X142">
        <f>HYPERLINK("https://klasma.github.io/Logging_0581/kartor/A 11714-2026 karta.png", "A 11714-2026")</f>
        <v/>
      </c>
      <c r="Y142">
        <f>HYPERLINK("https://klasma.github.io/Logging_0581/kartor_geotiff/A 11714-2026 georefererad karta.tif", "A 11714-2026")</f>
        <v/>
      </c>
      <c r="AA142">
        <f>HYPERLINK("https://klasma.github.io/Logging_0581/klagomål/A 11714-2026 FSC-klagomål.docx", "A 11714-2026")</f>
        <v/>
      </c>
      <c r="AB142">
        <f>HYPERLINK("https://klasma.github.io/Logging_0581/klagomålsmail/A 11714-2026 FSC-klagomål mail.docx", "A 11714-2026")</f>
        <v/>
      </c>
      <c r="AC142">
        <f>HYPERLINK("https://klasma.github.io/Logging_0581/tillsyn/A 11714-2026 tillsynsbegäran.docx", "A 11714-2026")</f>
        <v/>
      </c>
      <c r="AD142">
        <f>HYPERLINK("https://klasma.github.io/Logging_0581/tillsynsmail/A 11714-2026 tillsynsbegäran mail.docx", "A 11714-2026")</f>
        <v/>
      </c>
      <c r="AE142">
        <f>HYPERLINK("https://klasma.github.io/Logging_0581/fåglar/A 11714-2026 prioriterade fågelarter.docx", "A 11714-2026")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46242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46242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31320-2025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46242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Blåmossa</t>
        </is>
      </c>
      <c r="W145">
        <f>HYPERLINK("https://klasma.github.io/Logging_0581/artfynd/A 31320-2025 artfynd.xlsx", "A 31320-2025")</f>
        <v/>
      </c>
      <c r="X145">
        <f>HYPERLINK("https://klasma.github.io/Logging_0581/kartor/A 31320-2025 karta.png", "A 31320-2025")</f>
        <v/>
      </c>
      <c r="Y145">
        <f>HYPERLINK("https://klasma.github.io/Logging_0581/kartor_geotiff/A 31320-2025 georefererad karta.tif", "A 31320-2025")</f>
        <v/>
      </c>
      <c r="AA145">
        <f>HYPERLINK("https://klasma.github.io/Logging_0581/klagomål/A 31320-2025 FSC-klagomål.docx", "A 31320-2025")</f>
        <v/>
      </c>
      <c r="AB145">
        <f>HYPERLINK("https://klasma.github.io/Logging_0581/klagomålsmail/A 31320-2025 FSC-klagomål mail.docx", "A 31320-2025")</f>
        <v/>
      </c>
      <c r="AC145">
        <f>HYPERLINK("https://klasma.github.io/Logging_0581/tillsyn/A 31320-2025 tillsynsbegäran.docx", "A 31320-2025")</f>
        <v/>
      </c>
      <c r="AD145">
        <f>HYPERLINK("https://klasma.github.io/Logging_0581/tillsynsmail/A 31320-2025 tillsynsbegäran mail.docx", "A 31320-2025")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46242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62973-2021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44504</v>
      </c>
      <c r="E147" s="1" t="n">
        <v>46242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Krusfrö</t>
        </is>
      </c>
      <c r="W147">
        <f>HYPERLINK("https://klasma.github.io/Logging_0581/artfynd/A 62973-2021 artfynd.xlsx", "A 62973-2021")</f>
        <v/>
      </c>
      <c r="X147">
        <f>HYPERLINK("https://klasma.github.io/Logging_0581/kartor/A 62973-2021 karta.png", "A 62973-2021")</f>
        <v/>
      </c>
      <c r="Y147">
        <f>HYPERLINK("https://klasma.github.io/Logging_0581/kartor_geotiff/A 62973-2021 georefererad karta.tif", "A 62973-2021")</f>
        <v/>
      </c>
      <c r="AA147">
        <f>HYPERLINK("https://klasma.github.io/Logging_0581/klagomål/A 62973-2021 FSC-klagomål.docx", "A 62973-2021")</f>
        <v/>
      </c>
      <c r="AB147">
        <f>HYPERLINK("https://klasma.github.io/Logging_0581/klagomålsmail/A 62973-2021 FSC-klagomål mail.docx", "A 62973-2021")</f>
        <v/>
      </c>
      <c r="AC147">
        <f>HYPERLINK("https://klasma.github.io/Logging_0581/tillsyn/A 62973-2021 tillsynsbegäran.docx", "A 62973-2021")</f>
        <v/>
      </c>
      <c r="AD147">
        <f>HYPERLINK("https://klasma.github.io/Logging_0581/tillsynsmail/A 62973-2021 tillsynsbegäran mail.docx", "A 62973-2021")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46242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20170-2026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46242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HYPERLINK("https://klasma.github.io/Logging_0581/artfynd/A 20170-2026 artfynd.xlsx", "A 20170-2026")</f>
        <v/>
      </c>
      <c r="X149">
        <f>HYPERLINK("https://klasma.github.io/Logging_0581/kartor/A 20170-2026 karta.png", "A 20170-2026")</f>
        <v/>
      </c>
      <c r="Y149">
        <f>HYPERLINK("https://klasma.github.io/Logging_0581/kartor_geotiff/A 20170-2026 georefererad karta.tif", "A 20170-2026")</f>
        <v/>
      </c>
      <c r="AA149">
        <f>HYPERLINK("https://klasma.github.io/Logging_0581/klagomål/A 20170-2026 FSC-klagomål.docx", "A 20170-2026")</f>
        <v/>
      </c>
      <c r="AB149">
        <f>HYPERLINK("https://klasma.github.io/Logging_0581/klagomålsmail/A 20170-2026 FSC-klagomål mail.docx", "A 20170-2026")</f>
        <v/>
      </c>
      <c r="AC149">
        <f>HYPERLINK("https://klasma.github.io/Logging_0581/tillsyn/A 20170-2026 tillsynsbegäran.docx", "A 20170-2026")</f>
        <v/>
      </c>
      <c r="AD149">
        <f>HYPERLINK("https://klasma.github.io/Logging_0581/tillsynsmail/A 20170-2026 tillsynsbegäran mail.docx", "A 20170-2026")</f>
        <v/>
      </c>
    </row>
    <row r="150" ht="15" customHeight="1">
      <c r="A150" t="inlineStr">
        <is>
          <t>A 58318-2023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46242</v>
      </c>
      <c r="F150" t="inlineStr">
        <is>
          <t>ÖSTERGÖTLANDS LÄN</t>
        </is>
      </c>
      <c r="G150" t="inlineStr">
        <is>
          <t>NORRKÖPING</t>
        </is>
      </c>
      <c r="I150" t="n">
        <v>4.2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Havsörn</t>
        </is>
      </c>
      <c r="W150">
        <f>HYPERLINK("https://klasma.github.io/Logging_0581/artfynd/A 58318-2023 artfynd.xlsx", "A 58318-2023")</f>
        <v/>
      </c>
      <c r="X150">
        <f>HYPERLINK("https://klasma.github.io/Logging_0581/kartor/A 58318-2023 karta.png", "A 58318-2023")</f>
        <v/>
      </c>
      <c r="Y150">
        <f>HYPERLINK("https://klasma.github.io/Logging_0581/kartor_geotiff/A 58318-2023 georefererad karta.tif", "A 58318-2023")</f>
        <v/>
      </c>
      <c r="AA150">
        <f>HYPERLINK("https://klasma.github.io/Logging_0581/klagomål/A 58318-2023 FSC-klagomål.docx", "A 58318-2023")</f>
        <v/>
      </c>
      <c r="AB150">
        <f>HYPERLINK("https://klasma.github.io/Logging_0581/klagomålsmail/A 58318-2023 FSC-klagomål mail.docx", "A 58318-2023")</f>
        <v/>
      </c>
      <c r="AC150">
        <f>HYPERLINK("https://klasma.github.io/Logging_0581/tillsyn/A 58318-2023 tillsynsbegäran.docx", "A 58318-2023")</f>
        <v/>
      </c>
      <c r="AD150">
        <f>HYPERLINK("https://klasma.github.io/Logging_0581/tillsynsmail/A 58318-2023 tillsynsbegäran mail.docx", "A 58318-2023")</f>
        <v/>
      </c>
      <c r="AE150">
        <f>HYPERLINK("https://klasma.github.io/Logging_0581/fåglar/A 58318-2023 prioriterade fågelarter.docx", "A 58318-2023")</f>
        <v/>
      </c>
    </row>
    <row r="151" ht="15" customHeight="1">
      <c r="A151" t="inlineStr">
        <is>
          <t>A 12682-2025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46242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2.3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HYPERLINK("https://klasma.github.io/Logging_0581/artfynd/A 12682-2025 artfynd.xlsx", "A 12682-2025")</f>
        <v/>
      </c>
      <c r="X151">
        <f>HYPERLINK("https://klasma.github.io/Logging_0581/kartor/A 12682-2025 karta.png", "A 12682-2025")</f>
        <v/>
      </c>
      <c r="Y151">
        <f>HYPERLINK("https://klasma.github.io/Logging_0581/kartor_geotiff/A 12682-2025 georefererad karta.tif", "A 12682-2025")</f>
        <v/>
      </c>
      <c r="Z151">
        <f>HYPERLINK("https://klasma.github.io/Logging_0581/knärot/A 12682-2025 karta knärot.png", "A 12682-2025")</f>
        <v/>
      </c>
      <c r="AA151">
        <f>HYPERLINK("https://klasma.github.io/Logging_0581/klagomål/A 12682-2025 FSC-klagomål.docx", "A 12682-2025")</f>
        <v/>
      </c>
      <c r="AB151">
        <f>HYPERLINK("https://klasma.github.io/Logging_0581/klagomålsmail/A 12682-2025 FSC-klagomål mail.docx", "A 12682-2025")</f>
        <v/>
      </c>
      <c r="AC151">
        <f>HYPERLINK("https://klasma.github.io/Logging_0581/tillsyn/A 12682-2025 tillsynsbegäran.docx", "A 12682-2025")</f>
        <v/>
      </c>
      <c r="AD151">
        <f>HYPERLINK("https://klasma.github.io/Logging_0581/tillsynsmail/A 12682-2025 tillsynsbegäran mail.docx", "A 12682-2025")</f>
        <v/>
      </c>
      <c r="AE151">
        <f>HYPERLINK("https://klasma.github.io/Logging_0581/fåglar/A 12682-2025 prioriterade fågelarter.docx", "A 12682-2025")</f>
        <v/>
      </c>
    </row>
    <row r="152" ht="15" customHeight="1">
      <c r="A152" t="inlineStr">
        <is>
          <t>A 34078-2025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46242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Järpe</t>
        </is>
      </c>
      <c r="W152">
        <f>HYPERLINK("https://klasma.github.io/Logging_0581/artfynd/A 34078-2025 artfynd.xlsx", "A 34078-2025")</f>
        <v/>
      </c>
      <c r="X152">
        <f>HYPERLINK("https://klasma.github.io/Logging_0581/kartor/A 34078-2025 karta.png", "A 34078-2025")</f>
        <v/>
      </c>
      <c r="Y152">
        <f>HYPERLINK("https://klasma.github.io/Logging_0581/kartor_geotiff/A 34078-2025 georefererad karta.tif", "A 34078-2025")</f>
        <v/>
      </c>
      <c r="AA152">
        <f>HYPERLINK("https://klasma.github.io/Logging_0581/klagomål/A 34078-2025 FSC-klagomål.docx", "A 34078-2025")</f>
        <v/>
      </c>
      <c r="AB152">
        <f>HYPERLINK("https://klasma.github.io/Logging_0581/klagomålsmail/A 34078-2025 FSC-klagomål mail.docx", "A 34078-2025")</f>
        <v/>
      </c>
      <c r="AC152">
        <f>HYPERLINK("https://klasma.github.io/Logging_0581/tillsyn/A 34078-2025 tillsynsbegäran.docx", "A 34078-2025")</f>
        <v/>
      </c>
      <c r="AD152">
        <f>HYPERLINK("https://klasma.github.io/Logging_0581/tillsynsmail/A 34078-2025 tillsynsbegäran mail.docx", "A 34078-2025")</f>
        <v/>
      </c>
      <c r="AE152">
        <f>HYPERLINK("https://klasma.github.io/Logging_0581/fåglar/A 34078-2025 prioriterade fågelarter.docx", "A 34078-2025")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46242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46242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45953-2024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45580</v>
      </c>
      <c r="E155" s="1" t="n">
        <v>46242</v>
      </c>
      <c r="F155" t="inlineStr">
        <is>
          <t>ÖSTERGÖTLANDS LÄN</t>
        </is>
      </c>
      <c r="G155" t="inlineStr">
        <is>
          <t>NORRKÖPING</t>
        </is>
      </c>
      <c r="I155" t="n">
        <v>1.9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Ekoxe</t>
        </is>
      </c>
      <c r="W155">
        <f>HYPERLINK("https://klasma.github.io/Logging_0581/artfynd/A 45953-2024 artfynd.xlsx", "A 45953-2024")</f>
        <v/>
      </c>
      <c r="X155">
        <f>HYPERLINK("https://klasma.github.io/Logging_0581/kartor/A 45953-2024 karta.png", "A 45953-2024")</f>
        <v/>
      </c>
      <c r="Y155">
        <f>HYPERLINK("https://klasma.github.io/Logging_0581/kartor_geotiff/A 45953-2024 georefererad karta.tif", "A 45953-2024")</f>
        <v/>
      </c>
      <c r="AA155">
        <f>HYPERLINK("https://klasma.github.io/Logging_0581/klagomål/A 45953-2024 FSC-klagomål.docx", "A 45953-2024")</f>
        <v/>
      </c>
      <c r="AB155">
        <f>HYPERLINK("https://klasma.github.io/Logging_0581/klagomålsmail/A 45953-2024 FSC-klagomål mail.docx", "A 45953-2024")</f>
        <v/>
      </c>
      <c r="AC155">
        <f>HYPERLINK("https://klasma.github.io/Logging_0581/tillsyn/A 45953-2024 tillsynsbegäran.docx", "A 45953-2024")</f>
        <v/>
      </c>
      <c r="AD155">
        <f>HYPERLINK("https://klasma.github.io/Logging_0581/tillsynsmail/A 45953-2024 tillsynsbegäran mail.docx", "A 45953-2024")</f>
        <v/>
      </c>
    </row>
    <row r="156" ht="15" customHeight="1">
      <c r="A156" t="inlineStr">
        <is>
          <t>A 14044-2023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46242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HYPERLINK("https://klasma.github.io/Logging_0581/artfynd/A 14044-2023 artfynd.xlsx", "A 14044-2023")</f>
        <v/>
      </c>
      <c r="X156">
        <f>HYPERLINK("https://klasma.github.io/Logging_0581/kartor/A 14044-2023 karta.png", "A 14044-2023")</f>
        <v/>
      </c>
      <c r="Y156">
        <f>HYPERLINK("https://klasma.github.io/Logging_0581/kartor_geotiff/A 14044-2023 georefererad karta.tif", "A 14044-2023")</f>
        <v/>
      </c>
      <c r="AA156">
        <f>HYPERLINK("https://klasma.github.io/Logging_0581/klagomål/A 14044-2023 FSC-klagomål.docx", "A 14044-2023")</f>
        <v/>
      </c>
      <c r="AB156">
        <f>HYPERLINK("https://klasma.github.io/Logging_0581/klagomålsmail/A 14044-2023 FSC-klagomål mail.docx", "A 14044-2023")</f>
        <v/>
      </c>
      <c r="AC156">
        <f>HYPERLINK("https://klasma.github.io/Logging_0581/tillsyn/A 14044-2023 tillsynsbegäran.docx", "A 14044-2023")</f>
        <v/>
      </c>
      <c r="AD156">
        <f>HYPERLINK("https://klasma.github.io/Logging_0581/tillsynsmail/A 14044-2023 tillsynsbegäran mail.docx", "A 14044-2023")</f>
        <v/>
      </c>
      <c r="AE156">
        <f>HYPERLINK("https://klasma.github.io/Logging_0581/fåglar/A 14044-2023 prioriterade fågelarter.docx", "A 14044-2023")</f>
        <v/>
      </c>
    </row>
    <row r="157" ht="15" customHeight="1">
      <c r="A157" t="inlineStr">
        <is>
          <t>A 31659-2023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46242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HYPERLINK("https://klasma.github.io/Logging_0581/artfynd/A 31659-2023 artfynd.xlsx", "A 31659-2023")</f>
        <v/>
      </c>
      <c r="X157">
        <f>HYPERLINK("https://klasma.github.io/Logging_0581/kartor/A 31659-2023 karta.png", "A 31659-2023")</f>
        <v/>
      </c>
      <c r="Y157">
        <f>HYPERLINK("https://klasma.github.io/Logging_0581/kartor_geotiff/A 31659-2023 georefererad karta.tif", "A 31659-2023")</f>
        <v/>
      </c>
      <c r="AA157">
        <f>HYPERLINK("https://klasma.github.io/Logging_0581/klagomål/A 31659-2023 FSC-klagomål.docx", "A 31659-2023")</f>
        <v/>
      </c>
      <c r="AB157">
        <f>HYPERLINK("https://klasma.github.io/Logging_0581/klagomålsmail/A 31659-2023 FSC-klagomål mail.docx", "A 31659-2023")</f>
        <v/>
      </c>
      <c r="AC157">
        <f>HYPERLINK("https://klasma.github.io/Logging_0581/tillsyn/A 31659-2023 tillsynsbegäran.docx", "A 31659-2023")</f>
        <v/>
      </c>
      <c r="AD157">
        <f>HYPERLINK("https://klasma.github.io/Logging_0581/tillsynsmail/A 31659-2023 tillsynsbegäran mail.docx", "A 31659-2023")</f>
        <v/>
      </c>
      <c r="AE157">
        <f>HYPERLINK("https://klasma.github.io/Logging_0581/fåglar/A 31659-2023 prioriterade fågelarter.docx", "A 31659-2023")</f>
        <v/>
      </c>
    </row>
    <row r="158" ht="15" customHeight="1">
      <c r="A158" t="inlineStr">
        <is>
          <t>A 24629-2025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46242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Kråka</t>
        </is>
      </c>
      <c r="W158">
        <f>HYPERLINK("https://klasma.github.io/Logging_0581/artfynd/A 24629-2025 artfynd.xlsx", "A 24629-2025")</f>
        <v/>
      </c>
      <c r="X158">
        <f>HYPERLINK("https://klasma.github.io/Logging_0581/kartor/A 24629-2025 karta.png", "A 24629-2025")</f>
        <v/>
      </c>
      <c r="Y158">
        <f>HYPERLINK("https://klasma.github.io/Logging_0581/kartor_geotiff/A 24629-2025 georefererad karta.tif", "A 24629-2025")</f>
        <v/>
      </c>
      <c r="AA158">
        <f>HYPERLINK("https://klasma.github.io/Logging_0581/klagomål/A 24629-2025 FSC-klagomål.docx", "A 24629-2025")</f>
        <v/>
      </c>
      <c r="AB158">
        <f>HYPERLINK("https://klasma.github.io/Logging_0581/klagomålsmail/A 24629-2025 FSC-klagomål mail.docx", "A 24629-2025")</f>
        <v/>
      </c>
      <c r="AC158">
        <f>HYPERLINK("https://klasma.github.io/Logging_0581/tillsyn/A 24629-2025 tillsynsbegäran.docx", "A 24629-2025")</f>
        <v/>
      </c>
      <c r="AD158">
        <f>HYPERLINK("https://klasma.github.io/Logging_0581/tillsynsmail/A 24629-2025 tillsynsbegäran mail.docx", "A 24629-2025")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46242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46242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46242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31231-2026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46242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4.2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HYPERLINK("https://klasma.github.io/Logging_0581/artfynd/A 31231-2026 artfynd.xlsx", "A 31231-2026")</f>
        <v/>
      </c>
      <c r="X162">
        <f>HYPERLINK("https://klasma.github.io/Logging_0581/kartor/A 31231-2026 karta.png", "A 31231-2026")</f>
        <v/>
      </c>
      <c r="Y162">
        <f>HYPERLINK("https://klasma.github.io/Logging_0581/kartor_geotiff/A 31231-2026 georefererad karta.tif", "A 31231-2026")</f>
        <v/>
      </c>
      <c r="AA162">
        <f>HYPERLINK("https://klasma.github.io/Logging_0581/klagomål/A 31231-2026 FSC-klagomål.docx", "A 31231-2026")</f>
        <v/>
      </c>
      <c r="AB162">
        <f>HYPERLINK("https://klasma.github.io/Logging_0581/klagomålsmail/A 31231-2026 FSC-klagomål mail.docx", "A 31231-2026")</f>
        <v/>
      </c>
      <c r="AC162">
        <f>HYPERLINK("https://klasma.github.io/Logging_0581/tillsyn/A 31231-2026 tillsynsbegäran.docx", "A 31231-2026")</f>
        <v/>
      </c>
      <c r="AD162">
        <f>HYPERLINK("https://klasma.github.io/Logging_0581/tillsynsmail/A 31231-2026 tillsynsbegäran mail.docx", "A 31231-2026")</f>
        <v/>
      </c>
    </row>
    <row r="163" ht="15" customHeight="1">
      <c r="A163" t="inlineStr">
        <is>
          <t>A 31325-2026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46219</v>
      </c>
      <c r="E163" s="1" t="n">
        <v>46242</v>
      </c>
      <c r="F163" t="inlineStr">
        <is>
          <t>ÖSTERGÖTLANDS LÄN</t>
        </is>
      </c>
      <c r="G163" t="inlineStr">
        <is>
          <t>NORRKÖPING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Bergsslok</t>
        </is>
      </c>
      <c r="W163">
        <f>HYPERLINK("https://klasma.github.io/Logging_0581/artfynd/A 31325-2026 artfynd.xlsx", "A 31325-2026")</f>
        <v/>
      </c>
      <c r="X163">
        <f>HYPERLINK("https://klasma.github.io/Logging_0581/kartor/A 31325-2026 karta.png", "A 31325-2026")</f>
        <v/>
      </c>
      <c r="Y163">
        <f>HYPERLINK("https://klasma.github.io/Logging_0581/kartor_geotiff/A 31325-2026 georefererad karta.tif", "A 31325-2026")</f>
        <v/>
      </c>
      <c r="AA163">
        <f>HYPERLINK("https://klasma.github.io/Logging_0581/klagomål/A 31325-2026 FSC-klagomål.docx", "A 31325-2026")</f>
        <v/>
      </c>
      <c r="AB163">
        <f>HYPERLINK("https://klasma.github.io/Logging_0581/klagomålsmail/A 31325-2026 FSC-klagomål mail.docx", "A 31325-2026")</f>
        <v/>
      </c>
      <c r="AC163">
        <f>HYPERLINK("https://klasma.github.io/Logging_0581/tillsyn/A 31325-2026 tillsynsbegäran.docx", "A 31325-2026")</f>
        <v/>
      </c>
      <c r="AD163">
        <f>HYPERLINK("https://klasma.github.io/Logging_0581/tillsynsmail/A 31325-2026 tillsynsbegäran mail.docx", "A 31325-2026")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46242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27107-2023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46242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0.5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Svartvit flugsnappare</t>
        </is>
      </c>
      <c r="W165">
        <f>HYPERLINK("https://klasma.github.io/Logging_0581/artfynd/A 27107-2023 artfynd.xlsx", "A 27107-2023")</f>
        <v/>
      </c>
      <c r="X165">
        <f>HYPERLINK("https://klasma.github.io/Logging_0581/kartor/A 27107-2023 karta.png", "A 27107-2023")</f>
        <v/>
      </c>
      <c r="Y165">
        <f>HYPERLINK("https://klasma.github.io/Logging_0581/kartor_geotiff/A 27107-2023 georefererad karta.tif", "A 27107-2023")</f>
        <v/>
      </c>
      <c r="AA165">
        <f>HYPERLINK("https://klasma.github.io/Logging_0581/klagomål/A 27107-2023 FSC-klagomål.docx", "A 27107-2023")</f>
        <v/>
      </c>
      <c r="AB165">
        <f>HYPERLINK("https://klasma.github.io/Logging_0581/klagomålsmail/A 27107-2023 FSC-klagomål mail.docx", "A 27107-2023")</f>
        <v/>
      </c>
      <c r="AC165">
        <f>HYPERLINK("https://klasma.github.io/Logging_0581/tillsyn/A 27107-2023 tillsynsbegäran.docx", "A 27107-2023")</f>
        <v/>
      </c>
      <c r="AD165">
        <f>HYPERLINK("https://klasma.github.io/Logging_0581/tillsynsmail/A 27107-2023 tillsynsbegäran mail.docx", "A 27107-2023")</f>
        <v/>
      </c>
    </row>
    <row r="166" ht="15" customHeight="1">
      <c r="A166" t="inlineStr">
        <is>
          <t>A 25707-2026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46242</v>
      </c>
      <c r="F166" t="inlineStr">
        <is>
          <t>ÖSTERGÖTLANDS LÄN</t>
        </is>
      </c>
      <c r="G166" t="inlineStr">
        <is>
          <t>NORRKÖPING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Tallticka</t>
        </is>
      </c>
      <c r="W166">
        <f>HYPERLINK("https://klasma.github.io/Logging_0581/artfynd/A 25707-2026 artfynd.xlsx", "A 25707-2026")</f>
        <v/>
      </c>
      <c r="X166">
        <f>HYPERLINK("https://klasma.github.io/Logging_0581/kartor/A 25707-2026 karta.png", "A 25707-2026")</f>
        <v/>
      </c>
      <c r="Y166">
        <f>HYPERLINK("https://klasma.github.io/Logging_0581/kartor_geotiff/A 25707-2026 georefererad karta.tif", "A 25707-2026")</f>
        <v/>
      </c>
      <c r="AA166">
        <f>HYPERLINK("https://klasma.github.io/Logging_0581/klagomål/A 25707-2026 FSC-klagomål.docx", "A 25707-2026")</f>
        <v/>
      </c>
      <c r="AB166">
        <f>HYPERLINK("https://klasma.github.io/Logging_0581/klagomålsmail/A 25707-2026 FSC-klagomål mail.docx", "A 25707-2026")</f>
        <v/>
      </c>
      <c r="AC166">
        <f>HYPERLINK("https://klasma.github.io/Logging_0581/tillsyn/A 25707-2026 tillsynsbegäran.docx", "A 25707-2026")</f>
        <v/>
      </c>
      <c r="AD166">
        <f>HYPERLINK("https://klasma.github.io/Logging_0581/tillsynsmail/A 25707-2026 tillsynsbegäran mail.docx", "A 25707-2026")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46242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31582-2023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46242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Tjäder</t>
        </is>
      </c>
      <c r="W168">
        <f>HYPERLINK("https://klasma.github.io/Logging_0581/artfynd/A 31582-2023 artfynd.xlsx", "A 31582-2023")</f>
        <v/>
      </c>
      <c r="X168">
        <f>HYPERLINK("https://klasma.github.io/Logging_0581/kartor/A 31582-2023 karta.png", "A 31582-2023")</f>
        <v/>
      </c>
      <c r="Y168">
        <f>HYPERLINK("https://klasma.github.io/Logging_0581/kartor_geotiff/A 31582-2023 georefererad karta.tif", "A 31582-2023")</f>
        <v/>
      </c>
      <c r="AA168">
        <f>HYPERLINK("https://klasma.github.io/Logging_0581/klagomål/A 31582-2023 FSC-klagomål.docx", "A 31582-2023")</f>
        <v/>
      </c>
      <c r="AB168">
        <f>HYPERLINK("https://klasma.github.io/Logging_0581/klagomålsmail/A 31582-2023 FSC-klagomål mail.docx", "A 31582-2023")</f>
        <v/>
      </c>
      <c r="AC168">
        <f>HYPERLINK("https://klasma.github.io/Logging_0581/tillsyn/A 31582-2023 tillsynsbegäran.docx", "A 31582-2023")</f>
        <v/>
      </c>
      <c r="AD168">
        <f>HYPERLINK("https://klasma.github.io/Logging_0581/tillsynsmail/A 31582-2023 tillsynsbegäran mail.docx", "A 31582-2023")</f>
        <v/>
      </c>
      <c r="AE168">
        <f>HYPERLINK("https://klasma.github.io/Logging_0581/fåglar/A 31582-2023 prioriterade fågelarter.docx", "A 31582-2023")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46242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46242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16610-2024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46242</v>
      </c>
      <c r="F171" t="inlineStr">
        <is>
          <t>ÖSTERGÖTLANDS LÄN</t>
        </is>
      </c>
      <c r="G171" t="inlineStr">
        <is>
          <t>NORRKÖPING</t>
        </is>
      </c>
      <c r="I171" t="n">
        <v>5.8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3</v>
      </c>
      <c r="U171" t="n">
        <v>3</v>
      </c>
      <c r="V171" s="2" t="inlineStr">
        <is>
          <t>Knärot</t>
        </is>
      </c>
      <c r="W171">
        <f>HYPERLINK("https://klasma.github.io/Logging_0581/artfynd/A 16610-2024 artfynd.xlsx", "A 16610-2024")</f>
        <v/>
      </c>
      <c r="X171">
        <f>HYPERLINK("https://klasma.github.io/Logging_0581/kartor/A 16610-2024 karta.png", "A 16610-2024")</f>
        <v/>
      </c>
      <c r="Y171">
        <f>HYPERLINK("https://klasma.github.io/Logging_0581/kartor_geotiff/A 16610-2024 georefererad karta.tif", "A 16610-2024")</f>
        <v/>
      </c>
      <c r="Z171">
        <f>HYPERLINK("https://klasma.github.io/Logging_0581/knärot/A 16610-2024 karta knärot.png", "A 16610-2024")</f>
        <v/>
      </c>
      <c r="AA171">
        <f>HYPERLINK("https://klasma.github.io/Logging_0581/klagomål/A 16610-2024 FSC-klagomål.docx", "A 16610-2024")</f>
        <v/>
      </c>
      <c r="AB171">
        <f>HYPERLINK("https://klasma.github.io/Logging_0581/klagomålsmail/A 16610-2024 FSC-klagomål mail.docx", "A 16610-2024")</f>
        <v/>
      </c>
      <c r="AC171">
        <f>HYPERLINK("https://klasma.github.io/Logging_0581/tillsyn/A 16610-2024 tillsynsbegäran.docx", "A 16610-2024")</f>
        <v/>
      </c>
      <c r="AD171">
        <f>HYPERLINK("https://klasma.github.io/Logging_0581/tillsynsmail/A 16610-2024 tillsynsbegäran mail.docx", "A 16610-2024")</f>
        <v/>
      </c>
    </row>
    <row r="172" ht="15" customHeight="1">
      <c r="A172" t="inlineStr">
        <is>
          <t>A 12145-2024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46242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10.4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Gullgröppa</t>
        </is>
      </c>
      <c r="W172">
        <f>HYPERLINK("https://klasma.github.io/Logging_0581/artfynd/A 12145-2024 artfynd.xlsx", "A 12145-2024")</f>
        <v/>
      </c>
      <c r="X172">
        <f>HYPERLINK("https://klasma.github.io/Logging_0581/kartor/A 12145-2024 karta.png", "A 12145-2024")</f>
        <v/>
      </c>
      <c r="Y172">
        <f>HYPERLINK("https://klasma.github.io/Logging_0581/kartor_geotiff/A 12145-2024 georefererad karta.tif", "A 12145-2024")</f>
        <v/>
      </c>
      <c r="AA172">
        <f>HYPERLINK("https://klasma.github.io/Logging_0581/klagomål/A 12145-2024 FSC-klagomål.docx", "A 12145-2024")</f>
        <v/>
      </c>
      <c r="AB172">
        <f>HYPERLINK("https://klasma.github.io/Logging_0581/klagomålsmail/A 12145-2024 FSC-klagomål mail.docx", "A 12145-2024")</f>
        <v/>
      </c>
      <c r="AC172">
        <f>HYPERLINK("https://klasma.github.io/Logging_0581/tillsyn/A 12145-2024 tillsynsbegäran.docx", "A 12145-2024")</f>
        <v/>
      </c>
      <c r="AD172">
        <f>HYPERLINK("https://klasma.github.io/Logging_0581/tillsynsmail/A 12145-2024 tillsynsbegäran mail.docx", "A 12145-2024")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46242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46242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46242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46242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46242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46242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46242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46242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46242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46242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46242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46242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46242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46242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46242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46242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46242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46242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46242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46242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46242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46242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46242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46242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46242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46242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46242</v>
      </c>
      <c r="F199" t="inlineStr">
        <is>
          <t>ÖSTERGÖTLANDS LÄN</t>
        </is>
      </c>
      <c r="G199" t="inlineStr">
        <is>
          <t>NORRKÖPING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46242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46242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46242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46242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46242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46242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46242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46242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46242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46242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46242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46242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46242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46242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46242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46242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46242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46242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46242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46242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46242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46242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46242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46242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46242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46242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46242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46242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46242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46242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46242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46242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46242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46242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46242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46242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46242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46242</v>
      </c>
      <c r="F237" t="inlineStr">
        <is>
          <t>ÖSTERGÖTLANDS LÄN</t>
        </is>
      </c>
      <c r="G237" t="inlineStr">
        <is>
          <t>NORRKÖPING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44445</v>
      </c>
      <c r="E238" s="1" t="n">
        <v>46242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46242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44957</v>
      </c>
      <c r="E240" s="1" t="n">
        <v>46242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44826</v>
      </c>
      <c r="E241" s="1" t="n">
        <v>46242</v>
      </c>
      <c r="F241" t="inlineStr">
        <is>
          <t>ÖSTERGÖTLANDS LÄN</t>
        </is>
      </c>
      <c r="G241" t="inlineStr">
        <is>
          <t>NORRKÖPING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45678</v>
      </c>
      <c r="E242" s="1" t="n">
        <v>46242</v>
      </c>
      <c r="F242" t="inlineStr">
        <is>
          <t>ÖSTERGÖTLANDS LÄN</t>
        </is>
      </c>
      <c r="G242" t="inlineStr">
        <is>
          <t>NORRKÖPING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46242</v>
      </c>
      <c r="F243" t="inlineStr">
        <is>
          <t>ÖSTERGÖTLANDS LÄN</t>
        </is>
      </c>
      <c r="G243" t="inlineStr">
        <is>
          <t>NORRKÖPING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46242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45401</v>
      </c>
      <c r="E245" s="1" t="n">
        <v>46242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44651</v>
      </c>
      <c r="E246" s="1" t="n">
        <v>46242</v>
      </c>
      <c r="F246" t="inlineStr">
        <is>
          <t>ÖSTERGÖTLANDS LÄN</t>
        </is>
      </c>
      <c r="G246" t="inlineStr">
        <is>
          <t>NORRKÖPING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46242</v>
      </c>
      <c r="F247" t="inlineStr">
        <is>
          <t>ÖSTERGÖTLANDS LÄN</t>
        </is>
      </c>
      <c r="G247" t="inlineStr">
        <is>
          <t>NORRKÖPING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46242</v>
      </c>
      <c r="F248" t="inlineStr">
        <is>
          <t>ÖSTERGÖTLANDS LÄN</t>
        </is>
      </c>
      <c r="G248" t="inlineStr">
        <is>
          <t>NORRKÖPING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45086</v>
      </c>
      <c r="E249" s="1" t="n">
        <v>46242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44783</v>
      </c>
      <c r="E250" s="1" t="n">
        <v>46242</v>
      </c>
      <c r="F250" t="inlineStr">
        <is>
          <t>ÖSTERGÖTLANDS LÄN</t>
        </is>
      </c>
      <c r="G250" t="inlineStr">
        <is>
          <t>NORRKÖPING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45076</v>
      </c>
      <c r="E251" s="1" t="n">
        <v>46242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64898-2021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44512</v>
      </c>
      <c r="E252" s="1" t="n">
        <v>46242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46242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46242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46242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46242</v>
      </c>
      <c r="F256" t="inlineStr">
        <is>
          <t>ÖSTERGÖTLANDS LÄN</t>
        </is>
      </c>
      <c r="G256" t="inlineStr">
        <is>
          <t>NORRKÖPING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46242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46242</v>
      </c>
      <c r="F258" t="inlineStr">
        <is>
          <t>ÖSTERGÖTLANDS LÄN</t>
        </is>
      </c>
      <c r="G258" t="inlineStr">
        <is>
          <t>NORRKÖPING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46242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45053</v>
      </c>
      <c r="E260" s="1" t="n">
        <v>46242</v>
      </c>
      <c r="F260" t="inlineStr">
        <is>
          <t>ÖSTERGÖTLANDS LÄN</t>
        </is>
      </c>
      <c r="G260" t="inlineStr">
        <is>
          <t>NORRKÖPING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46242</v>
      </c>
      <c r="F261" t="inlineStr">
        <is>
          <t>ÖSTERGÖTLANDS LÄN</t>
        </is>
      </c>
      <c r="G261" t="inlineStr">
        <is>
          <t>NORRKÖPING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44998</v>
      </c>
      <c r="E262" s="1" t="n">
        <v>46242</v>
      </c>
      <c r="F262" t="inlineStr">
        <is>
          <t>ÖSTERGÖTLANDS LÄN</t>
        </is>
      </c>
      <c r="G262" t="inlineStr">
        <is>
          <t>NORRKÖPING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46242</v>
      </c>
      <c r="F263" t="inlineStr">
        <is>
          <t>ÖSTERGÖTLANDS LÄN</t>
        </is>
      </c>
      <c r="G263" t="inlineStr">
        <is>
          <t>NORRKÖPING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46242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46242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46242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45313</v>
      </c>
      <c r="E267" s="1" t="n">
        <v>46242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46242</v>
      </c>
      <c r="F268" t="inlineStr">
        <is>
          <t>ÖSTERGÖTLANDS LÄN</t>
        </is>
      </c>
      <c r="G268" t="inlineStr">
        <is>
          <t>NORRKÖPING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44741</v>
      </c>
      <c r="E269" s="1" t="n">
        <v>46242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46242</v>
      </c>
      <c r="F270" t="inlineStr">
        <is>
          <t>ÖSTERGÖTLANDS LÄN</t>
        </is>
      </c>
      <c r="G270" t="inlineStr">
        <is>
          <t>NORRKÖPING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46242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45043</v>
      </c>
      <c r="E272" s="1" t="n">
        <v>46242</v>
      </c>
      <c r="F272" t="inlineStr">
        <is>
          <t>ÖSTERGÖTLANDS LÄN</t>
        </is>
      </c>
      <c r="G272" t="inlineStr">
        <is>
          <t>NORRKÖPING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46242</v>
      </c>
      <c r="F273" t="inlineStr">
        <is>
          <t>ÖSTERGÖTLANDS LÄN</t>
        </is>
      </c>
      <c r="G273" t="inlineStr">
        <is>
          <t>NORRKÖPING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46242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46242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46242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45535</v>
      </c>
      <c r="E277" s="1" t="n">
        <v>46242</v>
      </c>
      <c r="F277" t="inlineStr">
        <is>
          <t>ÖSTERGÖTLANDS LÄN</t>
        </is>
      </c>
      <c r="G277" t="inlineStr">
        <is>
          <t>NORRKÖPING</t>
        </is>
      </c>
      <c r="I277" t="n">
        <v>12.8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46242</v>
      </c>
      <c r="F278" t="inlineStr">
        <is>
          <t>ÖSTERGÖTLANDS LÄN</t>
        </is>
      </c>
      <c r="G278" t="inlineStr">
        <is>
          <t>NORRKÖPING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46242</v>
      </c>
      <c r="F279" t="inlineStr">
        <is>
          <t>ÖSTERGÖTLANDS LÄN</t>
        </is>
      </c>
      <c r="G279" t="inlineStr">
        <is>
          <t>NORRKÖPING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46242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46242</v>
      </c>
      <c r="F281" t="inlineStr">
        <is>
          <t>ÖSTERGÖTLANDS LÄN</t>
        </is>
      </c>
      <c r="G281" t="inlineStr">
        <is>
          <t>NORRKÖPING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46242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44966</v>
      </c>
      <c r="E283" s="1" t="n">
        <v>46242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44936</v>
      </c>
      <c r="E284" s="1" t="n">
        <v>46242</v>
      </c>
      <c r="F284" t="inlineStr">
        <is>
          <t>ÖSTERGÖTLANDS LÄN</t>
        </is>
      </c>
      <c r="G284" t="inlineStr">
        <is>
          <t>NORRKÖPING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44575</v>
      </c>
      <c r="E285" s="1" t="n">
        <v>46242</v>
      </c>
      <c r="F285" t="inlineStr">
        <is>
          <t>ÖSTERGÖTLANDS LÄN</t>
        </is>
      </c>
      <c r="G285" t="inlineStr">
        <is>
          <t>NORRKÖPING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45274</v>
      </c>
      <c r="E286" s="1" t="n">
        <v>46242</v>
      </c>
      <c r="F286" t="inlineStr">
        <is>
          <t>ÖSTERGÖTLANDS LÄN</t>
        </is>
      </c>
      <c r="G286" t="inlineStr">
        <is>
          <t>NORRKÖPING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45272</v>
      </c>
      <c r="E287" s="1" t="n">
        <v>46242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46242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29622-2022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46242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46242</v>
      </c>
      <c r="F290" t="inlineStr">
        <is>
          <t>ÖSTERGÖTLANDS LÄN</t>
        </is>
      </c>
      <c r="G290" t="inlineStr">
        <is>
          <t>NORRKÖPING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15190-2024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45400</v>
      </c>
      <c r="E291" s="1" t="n">
        <v>46242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46242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45565</v>
      </c>
      <c r="E293" s="1" t="n">
        <v>46242</v>
      </c>
      <c r="F293" t="inlineStr">
        <is>
          <t>ÖSTERGÖTLANDS LÄN</t>
        </is>
      </c>
      <c r="G293" t="inlineStr">
        <is>
          <t>NORRKÖPING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45798</v>
      </c>
      <c r="E294" s="1" t="n">
        <v>46242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46242</v>
      </c>
      <c r="F295" t="inlineStr">
        <is>
          <t>ÖSTERGÖTLANDS LÄN</t>
        </is>
      </c>
      <c r="G295" t="inlineStr">
        <is>
          <t>NORRKÖPING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46242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46242</v>
      </c>
      <c r="F297" t="inlineStr">
        <is>
          <t>ÖSTERGÖTLANDS LÄN</t>
        </is>
      </c>
      <c r="G297" t="inlineStr">
        <is>
          <t>NORRKÖPING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46242</v>
      </c>
      <c r="F298" t="inlineStr">
        <is>
          <t>ÖSTERGÖTLANDS LÄN</t>
        </is>
      </c>
      <c r="G298" t="inlineStr">
        <is>
          <t>NORRKÖPING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46242</v>
      </c>
      <c r="F299" t="inlineStr">
        <is>
          <t>ÖSTERGÖTLANDS LÄN</t>
        </is>
      </c>
      <c r="G299" t="inlineStr">
        <is>
          <t>NORRKÖPING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46242</v>
      </c>
      <c r="F300" t="inlineStr">
        <is>
          <t>ÖSTERGÖTLANDS LÄN</t>
        </is>
      </c>
      <c r="G300" t="inlineStr">
        <is>
          <t>NORRKÖPING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46242</v>
      </c>
      <c r="F301" t="inlineStr">
        <is>
          <t>ÖSTERGÖTLANDS LÄN</t>
        </is>
      </c>
      <c r="G301" t="inlineStr">
        <is>
          <t>NORRKÖPING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46010</v>
      </c>
      <c r="E302" s="1" t="n">
        <v>46242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46242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46242</v>
      </c>
      <c r="F304" t="inlineStr">
        <is>
          <t>ÖSTERGÖTLANDS LÄN</t>
        </is>
      </c>
      <c r="G304" t="inlineStr">
        <is>
          <t>NORRKÖPING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46242</v>
      </c>
      <c r="F305" t="inlineStr">
        <is>
          <t>ÖSTERGÖTLANDS LÄN</t>
        </is>
      </c>
      <c r="G305" t="inlineStr">
        <is>
          <t>NORRKÖPING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46242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46242</v>
      </c>
      <c r="F307" t="inlineStr">
        <is>
          <t>ÖSTERGÖTLANDS LÄN</t>
        </is>
      </c>
      <c r="G307" t="inlineStr">
        <is>
          <t>NORRKÖPING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46242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46242</v>
      </c>
      <c r="F309" t="inlineStr">
        <is>
          <t>ÖSTERGÖTLANDS LÄN</t>
        </is>
      </c>
      <c r="G309" t="inlineStr">
        <is>
          <t>NORRKÖPING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45362-2021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44439</v>
      </c>
      <c r="E310" s="1" t="n">
        <v>46242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Allmännings- och besparingsskogar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46242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Kommuner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46242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Allmännings- och besparingsskogar</t>
        </is>
      </c>
      <c r="I312" t="n">
        <v>12.4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46242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46242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46041</v>
      </c>
      <c r="E315" s="1" t="n">
        <v>46242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44858</v>
      </c>
      <c r="E316" s="1" t="n">
        <v>46242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46242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46242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46242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Allmännings- och besparingsskogar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46242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46242</v>
      </c>
      <c r="F321" t="inlineStr">
        <is>
          <t>ÖSTERGÖTLANDS LÄN</t>
        </is>
      </c>
      <c r="G321" t="inlineStr">
        <is>
          <t>NORRKÖPING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46242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46242</v>
      </c>
      <c r="F323" t="inlineStr">
        <is>
          <t>ÖSTERGÖTLANDS LÄN</t>
        </is>
      </c>
      <c r="G323" t="inlineStr">
        <is>
          <t>NORRKÖPING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46242</v>
      </c>
      <c r="F324" t="inlineStr">
        <is>
          <t>ÖSTERGÖTLANDS LÄN</t>
        </is>
      </c>
      <c r="G324" t="inlineStr">
        <is>
          <t>NORRKÖPING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49452-2021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44454</v>
      </c>
      <c r="E325" s="1" t="n">
        <v>46242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Allmännings- och besparingsskogar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46242</v>
      </c>
      <c r="F326" t="inlineStr">
        <is>
          <t>ÖSTERGÖTLANDS LÄN</t>
        </is>
      </c>
      <c r="G326" t="inlineStr">
        <is>
          <t>NORRKÖPING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46242</v>
      </c>
      <c r="F327" t="inlineStr">
        <is>
          <t>ÖSTERGÖTLANDS LÄN</t>
        </is>
      </c>
      <c r="G327" t="inlineStr">
        <is>
          <t>NORRKÖPING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46242</v>
      </c>
      <c r="F328" t="inlineStr">
        <is>
          <t>ÖSTERGÖTLANDS LÄN</t>
        </is>
      </c>
      <c r="G328" t="inlineStr">
        <is>
          <t>NORRKÖPING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46242</v>
      </c>
      <c r="F329" t="inlineStr">
        <is>
          <t>ÖSTERGÖTLANDS LÄN</t>
        </is>
      </c>
      <c r="G329" t="inlineStr">
        <is>
          <t>NORRKÖPING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46043</v>
      </c>
      <c r="E330" s="1" t="n">
        <v>46242</v>
      </c>
      <c r="F330" t="inlineStr">
        <is>
          <t>ÖSTERGÖTLANDS LÄN</t>
        </is>
      </c>
      <c r="G330" t="inlineStr">
        <is>
          <t>NORRKÖPING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46242</v>
      </c>
      <c r="F331" t="inlineStr">
        <is>
          <t>ÖSTERGÖTLANDS LÄN</t>
        </is>
      </c>
      <c r="G331" t="inlineStr">
        <is>
          <t>NORRKÖPING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46242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35701-2024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45532</v>
      </c>
      <c r="E333" s="1" t="n">
        <v>46242</v>
      </c>
      <c r="F333" t="inlineStr">
        <is>
          <t>ÖSTERGÖTLANDS LÄN</t>
        </is>
      </c>
      <c r="G333" t="inlineStr">
        <is>
          <t>NORRKÖPING</t>
        </is>
      </c>
      <c r="I333" t="n">
        <v>11.7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46242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46242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46242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46242</v>
      </c>
      <c r="F337" t="inlineStr">
        <is>
          <t>ÖSTERGÖTLANDS LÄN</t>
        </is>
      </c>
      <c r="G337" t="inlineStr">
        <is>
          <t>NORRKÖPING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46242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46242</v>
      </c>
      <c r="F339" t="inlineStr">
        <is>
          <t>ÖSTERGÖTLANDS LÄN</t>
        </is>
      </c>
      <c r="G339" t="inlineStr">
        <is>
          <t>NORRKÖPING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46242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45894</v>
      </c>
      <c r="E341" s="1" t="n">
        <v>46242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46242</v>
      </c>
      <c r="F342" t="inlineStr">
        <is>
          <t>ÖSTERGÖTLANDS LÄN</t>
        </is>
      </c>
      <c r="G342" t="inlineStr">
        <is>
          <t>NORRKÖPING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45597</v>
      </c>
      <c r="E343" s="1" t="n">
        <v>46242</v>
      </c>
      <c r="F343" t="inlineStr">
        <is>
          <t>ÖSTERGÖTLANDS LÄN</t>
        </is>
      </c>
      <c r="G343" t="inlineStr">
        <is>
          <t>NORRKÖPING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46046</v>
      </c>
      <c r="E344" s="1" t="n">
        <v>46242</v>
      </c>
      <c r="F344" t="inlineStr">
        <is>
          <t>ÖSTERGÖTLANDS LÄN</t>
        </is>
      </c>
      <c r="G344" t="inlineStr">
        <is>
          <t>NORRKÖPING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46046</v>
      </c>
      <c r="E345" s="1" t="n">
        <v>46242</v>
      </c>
      <c r="F345" t="inlineStr">
        <is>
          <t>ÖSTERGÖTLANDS LÄN</t>
        </is>
      </c>
      <c r="G345" t="inlineStr">
        <is>
          <t>NORRKÖPING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45071</v>
      </c>
      <c r="E346" s="1" t="n">
        <v>46242</v>
      </c>
      <c r="F346" t="inlineStr">
        <is>
          <t>ÖSTERGÖTLANDS LÄN</t>
        </is>
      </c>
      <c r="G346" t="inlineStr">
        <is>
          <t>NORRKÖPING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46242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Allmännings- och besparingsskogar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45896</v>
      </c>
      <c r="E348" s="1" t="n">
        <v>46242</v>
      </c>
      <c r="F348" t="inlineStr">
        <is>
          <t>ÖSTERGÖTLANDS LÄN</t>
        </is>
      </c>
      <c r="G348" t="inlineStr">
        <is>
          <t>NORRKÖPING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46242</v>
      </c>
      <c r="F349" t="inlineStr">
        <is>
          <t>ÖSTERGÖTLANDS LÄN</t>
        </is>
      </c>
      <c r="G349" t="inlineStr">
        <is>
          <t>NORRKÖPING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44889</v>
      </c>
      <c r="E350" s="1" t="n">
        <v>46242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46242</v>
      </c>
      <c r="F351" t="inlineStr">
        <is>
          <t>ÖSTERGÖTLANDS LÄN</t>
        </is>
      </c>
      <c r="G351" t="inlineStr">
        <is>
          <t>NORRKÖPING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46242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45202</v>
      </c>
      <c r="E353" s="1" t="n">
        <v>46242</v>
      </c>
      <c r="F353" t="inlineStr">
        <is>
          <t>ÖSTERGÖTLANDS LÄN</t>
        </is>
      </c>
      <c r="G353" t="inlineStr">
        <is>
          <t>NORRKÖPING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45898</v>
      </c>
      <c r="E354" s="1" t="n">
        <v>46242</v>
      </c>
      <c r="F354" t="inlineStr">
        <is>
          <t>ÖSTERGÖTLANDS LÄN</t>
        </is>
      </c>
      <c r="G354" t="inlineStr">
        <is>
          <t>NORRKÖPING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46242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Kommuner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46242</v>
      </c>
      <c r="F356" t="inlineStr">
        <is>
          <t>ÖSTERGÖTLANDS LÄN</t>
        </is>
      </c>
      <c r="G356" t="inlineStr">
        <is>
          <t>NORRKÖPING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18664-2023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45043</v>
      </c>
      <c r="E357" s="1" t="n">
        <v>46242</v>
      </c>
      <c r="F357" t="inlineStr">
        <is>
          <t>ÖSTERGÖTLANDS LÄN</t>
        </is>
      </c>
      <c r="G357" t="inlineStr">
        <is>
          <t>NORRKÖPING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46242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46242</v>
      </c>
      <c r="F359" t="inlineStr">
        <is>
          <t>ÖSTERGÖTLANDS LÄN</t>
        </is>
      </c>
      <c r="G359" t="inlineStr">
        <is>
          <t>NORRKÖPING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46242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46242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46242</v>
      </c>
      <c r="F362" t="inlineStr">
        <is>
          <t>ÖSTERGÖTLANDS LÄN</t>
        </is>
      </c>
      <c r="G362" t="inlineStr">
        <is>
          <t>NORRKÖPING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46242</v>
      </c>
      <c r="F363" t="inlineStr">
        <is>
          <t>ÖSTERGÖTLANDS LÄN</t>
        </is>
      </c>
      <c r="G363" t="inlineStr">
        <is>
          <t>NORRKÖPING</t>
        </is>
      </c>
      <c r="I363" t="n">
        <v>10.1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46242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46242</v>
      </c>
      <c r="F365" t="inlineStr">
        <is>
          <t>ÖSTERGÖTLANDS LÄN</t>
        </is>
      </c>
      <c r="G365" t="inlineStr">
        <is>
          <t>NORRKÖPING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46242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46242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46242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46242</v>
      </c>
      <c r="F369" t="inlineStr">
        <is>
          <t>ÖSTERGÖTLANDS LÄN</t>
        </is>
      </c>
      <c r="G369" t="inlineStr">
        <is>
          <t>NORRKÖPING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46242</v>
      </c>
      <c r="F370" t="inlineStr">
        <is>
          <t>ÖSTERGÖTLANDS LÄN</t>
        </is>
      </c>
      <c r="G370" t="inlineStr">
        <is>
          <t>NORRKÖPING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46242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44554-2025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45917</v>
      </c>
      <c r="E372" s="1" t="n">
        <v>46242</v>
      </c>
      <c r="F372" t="inlineStr">
        <is>
          <t>ÖSTERGÖTLANDS LÄN</t>
        </is>
      </c>
      <c r="G372" t="inlineStr">
        <is>
          <t>NORRKÖPING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45757</v>
      </c>
      <c r="E373" s="1" t="n">
        <v>46242</v>
      </c>
      <c r="F373" t="inlineStr">
        <is>
          <t>ÖSTERGÖTLANDS LÄN</t>
        </is>
      </c>
      <c r="G373" t="inlineStr">
        <is>
          <t>NORRKÖPING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56210-2023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45240</v>
      </c>
      <c r="E374" s="1" t="n">
        <v>46242</v>
      </c>
      <c r="F374" t="inlineStr">
        <is>
          <t>ÖSTERGÖTLANDS LÄN</t>
        </is>
      </c>
      <c r="G374" t="inlineStr">
        <is>
          <t>NORRKÖPING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46242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44560-2025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46242</v>
      </c>
      <c r="F376" t="inlineStr">
        <is>
          <t>ÖSTERGÖTLANDS LÄN</t>
        </is>
      </c>
      <c r="G376" t="inlineStr">
        <is>
          <t>NORRKÖPING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31883-2023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45118</v>
      </c>
      <c r="E377" s="1" t="n">
        <v>46242</v>
      </c>
      <c r="F377" t="inlineStr">
        <is>
          <t>ÖSTERGÖTLANDS LÄN</t>
        </is>
      </c>
      <c r="G377" t="inlineStr">
        <is>
          <t>NORRKÖPING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45715</v>
      </c>
      <c r="E378" s="1" t="n">
        <v>46242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46242</v>
      </c>
      <c r="F379" t="inlineStr">
        <is>
          <t>ÖSTERGÖTLANDS LÄN</t>
        </is>
      </c>
      <c r="G379" t="inlineStr">
        <is>
          <t>NORRKÖPING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70378-2021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44536</v>
      </c>
      <c r="E380" s="1" t="n">
        <v>46242</v>
      </c>
      <c r="F380" t="inlineStr">
        <is>
          <t>ÖSTERGÖTLANDS LÄN</t>
        </is>
      </c>
      <c r="G380" t="inlineStr">
        <is>
          <t>NORRKÖPING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46242</v>
      </c>
      <c r="F381" t="inlineStr">
        <is>
          <t>ÖSTERGÖTLANDS LÄN</t>
        </is>
      </c>
      <c r="G381" t="inlineStr">
        <is>
          <t>NORRKÖPING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46242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Kyrkan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46242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45153</v>
      </c>
      <c r="E384" s="1" t="n">
        <v>46242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46242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46242</v>
      </c>
      <c r="F386" t="inlineStr">
        <is>
          <t>ÖSTERGÖTLANDS LÄN</t>
        </is>
      </c>
      <c r="G386" t="inlineStr">
        <is>
          <t>NORRKÖPING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46242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Kyrkan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45096</v>
      </c>
      <c r="E388" s="1" t="n">
        <v>46242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46242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44599</v>
      </c>
      <c r="E390" s="1" t="n">
        <v>46242</v>
      </c>
      <c r="F390" t="inlineStr">
        <is>
          <t>ÖSTERGÖTLANDS LÄN</t>
        </is>
      </c>
      <c r="G390" t="inlineStr">
        <is>
          <t>NORRKÖPING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46242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45049</v>
      </c>
      <c r="E392" s="1" t="n">
        <v>46242</v>
      </c>
      <c r="F392" t="inlineStr">
        <is>
          <t>ÖSTERGÖTLANDS LÄN</t>
        </is>
      </c>
      <c r="G392" t="inlineStr">
        <is>
          <t>NORRKÖPING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45330</v>
      </c>
      <c r="E393" s="1" t="n">
        <v>46242</v>
      </c>
      <c r="F393" t="inlineStr">
        <is>
          <t>ÖSTERGÖTLANDS LÄN</t>
        </is>
      </c>
      <c r="G393" t="inlineStr">
        <is>
          <t>NORRKÖPING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46242</v>
      </c>
      <c r="F394" t="inlineStr">
        <is>
          <t>ÖSTERGÖTLANDS LÄN</t>
        </is>
      </c>
      <c r="G394" t="inlineStr">
        <is>
          <t>NORRKÖPING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46242</v>
      </c>
      <c r="F395" t="inlineStr">
        <is>
          <t>ÖSTERGÖTLANDS LÄN</t>
        </is>
      </c>
      <c r="G395" t="inlineStr">
        <is>
          <t>NORRKÖPING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46242</v>
      </c>
      <c r="F396" t="inlineStr">
        <is>
          <t>ÖSTERGÖTLANDS LÄN</t>
        </is>
      </c>
      <c r="G396" t="inlineStr">
        <is>
          <t>NORRKÖPING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45219</v>
      </c>
      <c r="E397" s="1" t="n">
        <v>46242</v>
      </c>
      <c r="F397" t="inlineStr">
        <is>
          <t>ÖSTERGÖTLANDS LÄN</t>
        </is>
      </c>
      <c r="G397" t="inlineStr">
        <is>
          <t>NORRKÖPING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46242</v>
      </c>
      <c r="F398" t="inlineStr">
        <is>
          <t>ÖSTERGÖTLANDS LÄN</t>
        </is>
      </c>
      <c r="G398" t="inlineStr">
        <is>
          <t>NORRKÖPING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46242</v>
      </c>
      <c r="F399" t="inlineStr">
        <is>
          <t>ÖSTERGÖTLANDS LÄN</t>
        </is>
      </c>
      <c r="G399" t="inlineStr">
        <is>
          <t>NORRKÖPING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46242</v>
      </c>
      <c r="F400" t="inlineStr">
        <is>
          <t>ÖSTERGÖTLANDS LÄN</t>
        </is>
      </c>
      <c r="G400" t="inlineStr">
        <is>
          <t>NORRKÖPING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47202-2025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45930</v>
      </c>
      <c r="E401" s="1" t="n">
        <v>46242</v>
      </c>
      <c r="F401" t="inlineStr">
        <is>
          <t>ÖSTERGÖTLANDS LÄN</t>
        </is>
      </c>
      <c r="G401" t="inlineStr">
        <is>
          <t>NORRKÖPING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45201</v>
      </c>
      <c r="E402" s="1" t="n">
        <v>46242</v>
      </c>
      <c r="F402" t="inlineStr">
        <is>
          <t>ÖSTERGÖTLANDS LÄN</t>
        </is>
      </c>
      <c r="G402" t="inlineStr">
        <is>
          <t>NORRKÖPING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11031-2026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46079</v>
      </c>
      <c r="E403" s="1" t="n">
        <v>46242</v>
      </c>
      <c r="F403" t="inlineStr">
        <is>
          <t>ÖSTERGÖTLANDS LÄN</t>
        </is>
      </c>
      <c r="G403" t="inlineStr">
        <is>
          <t>NORRKÖPING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46242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44980</v>
      </c>
      <c r="E405" s="1" t="n">
        <v>46242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46242</v>
      </c>
      <c r="F406" t="inlineStr">
        <is>
          <t>ÖSTERGÖTLANDS LÄN</t>
        </is>
      </c>
      <c r="G406" t="inlineStr">
        <is>
          <t>NORRKÖPING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46242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45820</v>
      </c>
      <c r="E408" s="1" t="n">
        <v>46242</v>
      </c>
      <c r="F408" t="inlineStr">
        <is>
          <t>ÖSTERGÖTLANDS LÄN</t>
        </is>
      </c>
      <c r="G408" t="inlineStr">
        <is>
          <t>NORRKÖPING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46242</v>
      </c>
      <c r="F409" t="inlineStr">
        <is>
          <t>ÖSTERGÖTLANDS LÄN</t>
        </is>
      </c>
      <c r="G409" t="inlineStr">
        <is>
          <t>NORRKÖPING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46242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46242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48500-2025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45936</v>
      </c>
      <c r="E412" s="1" t="n">
        <v>46242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46242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45317</v>
      </c>
      <c r="E414" s="1" t="n">
        <v>46242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46092</v>
      </c>
      <c r="E415" s="1" t="n">
        <v>46242</v>
      </c>
      <c r="F415" t="inlineStr">
        <is>
          <t>ÖSTERGÖTLANDS LÄN</t>
        </is>
      </c>
      <c r="G415" t="inlineStr">
        <is>
          <t>NORRKÖPING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46242</v>
      </c>
      <c r="F416" t="inlineStr">
        <is>
          <t>ÖSTERGÖTLANDS LÄN</t>
        </is>
      </c>
      <c r="G416" t="inlineStr">
        <is>
          <t>NORRKÖPING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45873</v>
      </c>
      <c r="E417" s="1" t="n">
        <v>46242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46242</v>
      </c>
      <c r="F418" t="inlineStr">
        <is>
          <t>ÖSTERGÖTLANDS LÄN</t>
        </is>
      </c>
      <c r="G418" t="inlineStr">
        <is>
          <t>NORRKÖPING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10393-2024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45365</v>
      </c>
      <c r="E419" s="1" t="n">
        <v>46242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Kommuner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45405</v>
      </c>
      <c r="E420" s="1" t="n">
        <v>46242</v>
      </c>
      <c r="F420" t="inlineStr">
        <is>
          <t>ÖSTERGÖTLANDS LÄN</t>
        </is>
      </c>
      <c r="G420" t="inlineStr">
        <is>
          <t>NORRKÖPING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46242</v>
      </c>
      <c r="F421" t="inlineStr">
        <is>
          <t>ÖSTERGÖTLANDS LÄN</t>
        </is>
      </c>
      <c r="G421" t="inlineStr">
        <is>
          <t>NORRKÖPING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46242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62376-2022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44923</v>
      </c>
      <c r="E423" s="1" t="n">
        <v>46242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46242</v>
      </c>
      <c r="F424" t="inlineStr">
        <is>
          <t>ÖSTERGÖTLANDS LÄN</t>
        </is>
      </c>
      <c r="G424" t="inlineStr">
        <is>
          <t>NORRKÖPING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45943</v>
      </c>
      <c r="E425" s="1" t="n">
        <v>46242</v>
      </c>
      <c r="F425" t="inlineStr">
        <is>
          <t>ÖSTERGÖTLANDS LÄN</t>
        </is>
      </c>
      <c r="G425" t="inlineStr">
        <is>
          <t>NORRKÖPING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46242</v>
      </c>
      <c r="F426" t="inlineStr">
        <is>
          <t>ÖSTERGÖTLANDS LÄN</t>
        </is>
      </c>
      <c r="G426" t="inlineStr">
        <is>
          <t>NORRKÖPING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46242</v>
      </c>
      <c r="F427" t="inlineStr">
        <is>
          <t>ÖSTERGÖTLANDS LÄN</t>
        </is>
      </c>
      <c r="G427" t="inlineStr">
        <is>
          <t>NORRKÖPING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46242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46242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46093</v>
      </c>
      <c r="E430" s="1" t="n">
        <v>46242</v>
      </c>
      <c r="F430" t="inlineStr">
        <is>
          <t>ÖSTERGÖTLANDS LÄN</t>
        </is>
      </c>
      <c r="G430" t="inlineStr">
        <is>
          <t>NORRKÖPING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46242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46242</v>
      </c>
      <c r="F432" t="inlineStr">
        <is>
          <t>ÖSTERGÖTLANDS LÄN</t>
        </is>
      </c>
      <c r="G432" t="inlineStr">
        <is>
          <t>NORRKÖPING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45043</v>
      </c>
      <c r="E433" s="1" t="n">
        <v>46242</v>
      </c>
      <c r="F433" t="inlineStr">
        <is>
          <t>ÖSTERGÖTLANDS LÄN</t>
        </is>
      </c>
      <c r="G433" t="inlineStr">
        <is>
          <t>NORRKÖPING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46242</v>
      </c>
      <c r="F434" t="inlineStr">
        <is>
          <t>ÖSTERGÖTLANDS LÄN</t>
        </is>
      </c>
      <c r="G434" t="inlineStr">
        <is>
          <t>NORRKÖPING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7275-2023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44970</v>
      </c>
      <c r="E435" s="1" t="n">
        <v>46242</v>
      </c>
      <c r="F435" t="inlineStr">
        <is>
          <t>ÖSTERGÖTLANDS LÄN</t>
        </is>
      </c>
      <c r="G435" t="inlineStr">
        <is>
          <t>NORRKÖPING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50157-2022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44865</v>
      </c>
      <c r="E436" s="1" t="n">
        <v>46242</v>
      </c>
      <c r="F436" t="inlineStr">
        <is>
          <t>ÖSTERGÖTLANDS LÄN</t>
        </is>
      </c>
      <c r="G436" t="inlineStr">
        <is>
          <t>NORRKÖPING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44943</v>
      </c>
      <c r="E437" s="1" t="n">
        <v>46242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46242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46242</v>
      </c>
      <c r="F439" t="inlineStr">
        <is>
          <t>ÖSTERGÖTLANDS LÄN</t>
        </is>
      </c>
      <c r="G439" t="inlineStr">
        <is>
          <t>NORRKÖPING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45211</v>
      </c>
      <c r="E440" s="1" t="n">
        <v>46242</v>
      </c>
      <c r="F440" t="inlineStr">
        <is>
          <t>ÖSTERGÖTLANDS LÄN</t>
        </is>
      </c>
      <c r="G440" t="inlineStr">
        <is>
          <t>NORRKÖPING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46242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46242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46242</v>
      </c>
      <c r="F443" t="inlineStr">
        <is>
          <t>ÖSTERGÖTLANDS LÄN</t>
        </is>
      </c>
      <c r="G443" t="inlineStr">
        <is>
          <t>NORRKÖPING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42390-2021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46242</v>
      </c>
      <c r="F444" t="inlineStr">
        <is>
          <t>ÖSTERGÖTLANDS LÄN</t>
        </is>
      </c>
      <c r="G444" t="inlineStr">
        <is>
          <t>NORRKÖPING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46242</v>
      </c>
      <c r="F445" t="inlineStr">
        <is>
          <t>ÖSTERGÖTLANDS LÄN</t>
        </is>
      </c>
      <c r="G445" t="inlineStr">
        <is>
          <t>NORRKÖPING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45436</v>
      </c>
      <c r="E446" s="1" t="n">
        <v>46242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46242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46242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Naturvårdsverket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45356</v>
      </c>
      <c r="E449" s="1" t="n">
        <v>46242</v>
      </c>
      <c r="F449" t="inlineStr">
        <is>
          <t>ÖSTERGÖTLANDS LÄN</t>
        </is>
      </c>
      <c r="G449" t="inlineStr">
        <is>
          <t>NORRKÖPING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50112-2023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46242</v>
      </c>
      <c r="F450" t="inlineStr">
        <is>
          <t>ÖSTERGÖTLANDS LÄN</t>
        </is>
      </c>
      <c r="G450" t="inlineStr">
        <is>
          <t>NORRKÖPING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45960</v>
      </c>
      <c r="E451" s="1" t="n">
        <v>46242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53694-2025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45960</v>
      </c>
      <c r="E452" s="1" t="n">
        <v>46242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46242</v>
      </c>
      <c r="F453" t="inlineStr">
        <is>
          <t>ÖSTERGÖTLANDS LÄN</t>
        </is>
      </c>
      <c r="G453" t="inlineStr">
        <is>
          <t>NORRKÖPING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45833</v>
      </c>
      <c r="E454" s="1" t="n">
        <v>46242</v>
      </c>
      <c r="F454" t="inlineStr">
        <is>
          <t>ÖSTERGÖTLANDS LÄN</t>
        </is>
      </c>
      <c r="G454" t="inlineStr">
        <is>
          <t>NORRKÖPING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45961</v>
      </c>
      <c r="E455" s="1" t="n">
        <v>46242</v>
      </c>
      <c r="F455" t="inlineStr">
        <is>
          <t>ÖSTERGÖTLANDS LÄN</t>
        </is>
      </c>
      <c r="G455" t="inlineStr">
        <is>
          <t>NORRKÖPING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45141</v>
      </c>
      <c r="E456" s="1" t="n">
        <v>46242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46242</v>
      </c>
      <c r="F457" t="inlineStr">
        <is>
          <t>ÖSTERGÖTLANDS LÄN</t>
        </is>
      </c>
      <c r="G457" t="inlineStr">
        <is>
          <t>NORRKÖPING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46242</v>
      </c>
      <c r="F458" t="inlineStr">
        <is>
          <t>ÖSTERGÖTLANDS LÄN</t>
        </is>
      </c>
      <c r="G458" t="inlineStr">
        <is>
          <t>NORRKÖPING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46242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46242</v>
      </c>
      <c r="F460" t="inlineStr">
        <is>
          <t>ÖSTERGÖTLANDS LÄN</t>
        </is>
      </c>
      <c r="G460" t="inlineStr">
        <is>
          <t>NORRKÖPING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46242</v>
      </c>
      <c r="F461" t="inlineStr">
        <is>
          <t>ÖSTERGÖTLANDS LÄN</t>
        </is>
      </c>
      <c r="G461" t="inlineStr">
        <is>
          <t>NORRKÖPING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46242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46242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45582</v>
      </c>
      <c r="E464" s="1" t="n">
        <v>46242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46242</v>
      </c>
      <c r="F465" t="inlineStr">
        <is>
          <t>ÖSTERGÖTLANDS LÄN</t>
        </is>
      </c>
      <c r="G465" t="inlineStr">
        <is>
          <t>NORRKÖPING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46242</v>
      </c>
      <c r="F466" t="inlineStr">
        <is>
          <t>ÖSTERGÖTLANDS LÄN</t>
        </is>
      </c>
      <c r="G466" t="inlineStr">
        <is>
          <t>NORRKÖPING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46242</v>
      </c>
      <c r="F467" t="inlineStr">
        <is>
          <t>ÖSTERGÖTLANDS LÄN</t>
        </is>
      </c>
      <c r="G467" t="inlineStr">
        <is>
          <t>NORRKÖPING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18819-2026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46242</v>
      </c>
      <c r="F468" t="inlineStr">
        <is>
          <t>ÖSTERGÖTLANDS LÄN</t>
        </is>
      </c>
      <c r="G468" t="inlineStr">
        <is>
          <t>NORRKÖPING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44825</v>
      </c>
      <c r="E469" s="1" t="n">
        <v>46242</v>
      </c>
      <c r="F469" t="inlineStr">
        <is>
          <t>ÖSTERGÖTLANDS LÄN</t>
        </is>
      </c>
      <c r="G469" t="inlineStr">
        <is>
          <t>NORRKÖPING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56689-2025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45976</v>
      </c>
      <c r="E470" s="1" t="n">
        <v>46242</v>
      </c>
      <c r="F470" t="inlineStr">
        <is>
          <t>ÖSTERGÖTLANDS LÄN</t>
        </is>
      </c>
      <c r="G470" t="inlineStr">
        <is>
          <t>NORRKÖPING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44433</v>
      </c>
      <c r="E471" s="1" t="n">
        <v>46242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46242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44939</v>
      </c>
      <c r="E473" s="1" t="n">
        <v>46242</v>
      </c>
      <c r="F473" t="inlineStr">
        <is>
          <t>ÖSTERGÖTLANDS LÄN</t>
        </is>
      </c>
      <c r="G473" t="inlineStr">
        <is>
          <t>NORRKÖPING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20001-2026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46135</v>
      </c>
      <c r="E474" s="1" t="n">
        <v>46242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46242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45891</v>
      </c>
      <c r="E476" s="1" t="n">
        <v>46242</v>
      </c>
      <c r="F476" t="inlineStr">
        <is>
          <t>ÖSTERGÖTLANDS LÄN</t>
        </is>
      </c>
      <c r="G476" t="inlineStr">
        <is>
          <t>NORRKÖPING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45093</v>
      </c>
      <c r="E477" s="1" t="n">
        <v>46242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45657</v>
      </c>
      <c r="E478" s="1" t="n">
        <v>46242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45012</v>
      </c>
      <c r="E479" s="1" t="n">
        <v>46242</v>
      </c>
      <c r="F479" t="inlineStr">
        <is>
          <t>ÖSTERGÖTLANDS LÄN</t>
        </is>
      </c>
      <c r="G479" t="inlineStr">
        <is>
          <t>NORRKÖPING</t>
        </is>
      </c>
      <c r="I479" t="n">
        <v>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45153</v>
      </c>
      <c r="E480" s="1" t="n">
        <v>46242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46242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45709</v>
      </c>
      <c r="E482" s="1" t="n">
        <v>46242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20352-2026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46139</v>
      </c>
      <c r="E483" s="1" t="n">
        <v>46242</v>
      </c>
      <c r="F483" t="inlineStr">
        <is>
          <t>ÖSTERGÖTLANDS LÄN</t>
        </is>
      </c>
      <c r="G483" t="inlineStr">
        <is>
          <t>NORRKÖPING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58330-2025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46242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46242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45884</v>
      </c>
      <c r="E486" s="1" t="n">
        <v>46242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46242</v>
      </c>
      <c r="F487" t="inlineStr">
        <is>
          <t>ÖSTERGÖTLANDS LÄN</t>
        </is>
      </c>
      <c r="G487" t="inlineStr">
        <is>
          <t>NORRKÖPING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44867</v>
      </c>
      <c r="E488" s="1" t="n">
        <v>46242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46242</v>
      </c>
      <c r="F489" t="inlineStr">
        <is>
          <t>ÖSTERGÖTLANDS LÄN</t>
        </is>
      </c>
      <c r="G489" t="inlineStr">
        <is>
          <t>NORRKÖPING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46242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46242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15177-2023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45016</v>
      </c>
      <c r="E492" s="1" t="n">
        <v>46242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45833</v>
      </c>
      <c r="E493" s="1" t="n">
        <v>46242</v>
      </c>
      <c r="F493" t="inlineStr">
        <is>
          <t>ÖSTERGÖTLANDS LÄN</t>
        </is>
      </c>
      <c r="G493" t="inlineStr">
        <is>
          <t>NORRKÖPING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45254</v>
      </c>
      <c r="E494" s="1" t="n">
        <v>46242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14587-2025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45742</v>
      </c>
      <c r="E495" s="1" t="n">
        <v>46242</v>
      </c>
      <c r="F495" t="inlineStr">
        <is>
          <t>ÖSTERGÖTLANDS LÄN</t>
        </is>
      </c>
      <c r="G495" t="inlineStr">
        <is>
          <t>NORRKÖPING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38719-2025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45886</v>
      </c>
      <c r="E496" s="1" t="n">
        <v>46242</v>
      </c>
      <c r="F496" t="inlineStr">
        <is>
          <t>ÖSTERGÖTLANDS LÄN</t>
        </is>
      </c>
      <c r="G496" t="inlineStr">
        <is>
          <t>NORRKÖPING</t>
        </is>
      </c>
      <c r="I496" t="n">
        <v>14.3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30865-2024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45497</v>
      </c>
      <c r="E497" s="1" t="n">
        <v>46242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49487-2022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44861</v>
      </c>
      <c r="E498" s="1" t="n">
        <v>46242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54851-2025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46242</v>
      </c>
      <c r="F499" t="inlineStr">
        <is>
          <t>ÖSTERGÖTLANDS LÄN</t>
        </is>
      </c>
      <c r="G499" t="inlineStr">
        <is>
          <t>NORRKÖPING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45889</v>
      </c>
      <c r="E500" s="1" t="n">
        <v>46242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7709-2022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44607</v>
      </c>
      <c r="E501" s="1" t="n">
        <v>46242</v>
      </c>
      <c r="F501" t="inlineStr">
        <is>
          <t>ÖSTERGÖTLANDS LÄN</t>
        </is>
      </c>
      <c r="G501" t="inlineStr">
        <is>
          <t>NORRKÖPING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45796</v>
      </c>
      <c r="E502" s="1" t="n">
        <v>46242</v>
      </c>
      <c r="F502" t="inlineStr">
        <is>
          <t>ÖSTERGÖTLANDS LÄN</t>
        </is>
      </c>
      <c r="G502" t="inlineStr">
        <is>
          <t>NORRKÖPING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57405-2024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45629</v>
      </c>
      <c r="E503" s="1" t="n">
        <v>46242</v>
      </c>
      <c r="F503" t="inlineStr">
        <is>
          <t>ÖSTERGÖTLANDS LÄN</t>
        </is>
      </c>
      <c r="G503" t="inlineStr">
        <is>
          <t>NORRKÖPING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46242</v>
      </c>
      <c r="F504" t="inlineStr">
        <is>
          <t>ÖSTERGÖTLANDS LÄN</t>
        </is>
      </c>
      <c r="G504" t="inlineStr">
        <is>
          <t>NORRKÖPING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9696-2025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45716</v>
      </c>
      <c r="E505" s="1" t="n">
        <v>46242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45106</v>
      </c>
      <c r="E506" s="1" t="n">
        <v>46242</v>
      </c>
      <c r="F506" t="inlineStr">
        <is>
          <t>ÖSTERGÖTLANDS LÄN</t>
        </is>
      </c>
      <c r="G506" t="inlineStr">
        <is>
          <t>NORRKÖPING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45706</v>
      </c>
      <c r="E507" s="1" t="n">
        <v>46242</v>
      </c>
      <c r="F507" t="inlineStr">
        <is>
          <t>ÖSTERGÖTLANDS LÄN</t>
        </is>
      </c>
      <c r="G507" t="inlineStr">
        <is>
          <t>NORRKÖPING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45769</v>
      </c>
      <c r="E508" s="1" t="n">
        <v>46242</v>
      </c>
      <c r="F508" t="inlineStr">
        <is>
          <t>ÖSTERGÖTLANDS LÄN</t>
        </is>
      </c>
      <c r="G508" t="inlineStr">
        <is>
          <t>NORRKÖPING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46242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46242</v>
      </c>
      <c r="F510" t="inlineStr">
        <is>
          <t>ÖSTERGÖTLANDS LÄN</t>
        </is>
      </c>
      <c r="G510" t="inlineStr">
        <is>
          <t>NORRKÖPING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46242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45520</v>
      </c>
      <c r="E512" s="1" t="n">
        <v>46242</v>
      </c>
      <c r="F512" t="inlineStr">
        <is>
          <t>ÖSTERGÖTLANDS LÄN</t>
        </is>
      </c>
      <c r="G512" t="inlineStr">
        <is>
          <t>NORRKÖPING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45709</v>
      </c>
      <c r="E513" s="1" t="n">
        <v>46242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46242</v>
      </c>
      <c r="F514" t="inlineStr">
        <is>
          <t>ÖSTERGÖTLANDS LÄN</t>
        </is>
      </c>
      <c r="G514" t="inlineStr">
        <is>
          <t>NORRKÖPING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44630</v>
      </c>
      <c r="E515" s="1" t="n">
        <v>46242</v>
      </c>
      <c r="F515" t="inlineStr">
        <is>
          <t>ÖSTERGÖTLANDS LÄN</t>
        </is>
      </c>
      <c r="G515" t="inlineStr">
        <is>
          <t>NORRKÖPING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45008</v>
      </c>
      <c r="E516" s="1" t="n">
        <v>46242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39861-2025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45891</v>
      </c>
      <c r="E517" s="1" t="n">
        <v>46242</v>
      </c>
      <c r="F517" t="inlineStr">
        <is>
          <t>ÖSTERGÖTLANDS LÄN</t>
        </is>
      </c>
      <c r="G517" t="inlineStr">
        <is>
          <t>NORRKÖPING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32574-2022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44783</v>
      </c>
      <c r="E518" s="1" t="n">
        <v>46242</v>
      </c>
      <c r="F518" t="inlineStr">
        <is>
          <t>ÖSTERGÖTLANDS LÄN</t>
        </is>
      </c>
      <c r="G518" t="inlineStr">
        <is>
          <t>NORRKÖPING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62370-2025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46242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46242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46242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8569-2023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44977</v>
      </c>
      <c r="E522" s="1" t="n">
        <v>46242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46007</v>
      </c>
      <c r="E523" s="1" t="n">
        <v>46242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46242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46242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46242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44719</v>
      </c>
      <c r="E527" s="1" t="n">
        <v>46242</v>
      </c>
      <c r="F527" t="inlineStr">
        <is>
          <t>ÖSTERGÖTLANDS LÄN</t>
        </is>
      </c>
      <c r="G527" t="inlineStr">
        <is>
          <t>NORRKÖPING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45867</v>
      </c>
      <c r="E528" s="1" t="n">
        <v>46242</v>
      </c>
      <c r="F528" t="inlineStr">
        <is>
          <t>ÖSTERGÖTLANDS LÄN</t>
        </is>
      </c>
      <c r="G528" t="inlineStr">
        <is>
          <t>NORRKÖPING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45012</v>
      </c>
      <c r="E529" s="1" t="n">
        <v>46242</v>
      </c>
      <c r="F529" t="inlineStr">
        <is>
          <t>ÖSTERGÖTLANDS LÄN</t>
        </is>
      </c>
      <c r="G529" t="inlineStr">
        <is>
          <t>NORRKÖPING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32681-2025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45836</v>
      </c>
      <c r="E530" s="1" t="n">
        <v>46242</v>
      </c>
      <c r="F530" t="inlineStr">
        <is>
          <t>ÖSTERGÖTLANDS LÄN</t>
        </is>
      </c>
      <c r="G530" t="inlineStr">
        <is>
          <t>NORRKÖPING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42173-2023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45178</v>
      </c>
      <c r="E531" s="1" t="n">
        <v>46242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46242</v>
      </c>
      <c r="F532" t="inlineStr">
        <is>
          <t>ÖSTERGÖTLANDS LÄN</t>
        </is>
      </c>
      <c r="G532" t="inlineStr">
        <is>
          <t>NORRKÖPING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45310</v>
      </c>
      <c r="E533" s="1" t="n">
        <v>46242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46242</v>
      </c>
      <c r="F534" t="inlineStr">
        <is>
          <t>ÖSTERGÖTLANDS LÄN</t>
        </is>
      </c>
      <c r="G534" t="inlineStr">
        <is>
          <t>NORRKÖPING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46242</v>
      </c>
      <c r="F535" t="inlineStr">
        <is>
          <t>ÖSTERGÖTLANDS LÄN</t>
        </is>
      </c>
      <c r="G535" t="inlineStr">
        <is>
          <t>NORRKÖPING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46242</v>
      </c>
      <c r="F536" t="inlineStr">
        <is>
          <t>ÖSTERGÖTLANDS LÄN</t>
        </is>
      </c>
      <c r="G536" t="inlineStr">
        <is>
          <t>NORRKÖPING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45761</v>
      </c>
      <c r="E537" s="1" t="n">
        <v>46242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63165-2025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46242</v>
      </c>
      <c r="F538" t="inlineStr">
        <is>
          <t>ÖSTERGÖTLANDS LÄN</t>
        </is>
      </c>
      <c r="G538" t="inlineStr">
        <is>
          <t>NORRKÖPING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46010</v>
      </c>
      <c r="E539" s="1" t="n">
        <v>46242</v>
      </c>
      <c r="F539" t="inlineStr">
        <is>
          <t>ÖSTERGÖTLANDS LÄN</t>
        </is>
      </c>
      <c r="G539" t="inlineStr">
        <is>
          <t>NORRKÖPING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45840</v>
      </c>
      <c r="E540" s="1" t="n">
        <v>46242</v>
      </c>
      <c r="F540" t="inlineStr">
        <is>
          <t>ÖSTERGÖTLANDS LÄN</t>
        </is>
      </c>
      <c r="G540" t="inlineStr">
        <is>
          <t>NORRKÖPING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36571-2023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45153</v>
      </c>
      <c r="E541" s="1" t="n">
        <v>46242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30315-2024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45490</v>
      </c>
      <c r="E542" s="1" t="n">
        <v>46242</v>
      </c>
      <c r="F542" t="inlineStr">
        <is>
          <t>ÖSTERGÖTLANDS LÄN</t>
        </is>
      </c>
      <c r="G542" t="inlineStr">
        <is>
          <t>NORRKÖPING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43559-2021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44433</v>
      </c>
      <c r="E543" s="1" t="n">
        <v>46242</v>
      </c>
      <c r="F543" t="inlineStr">
        <is>
          <t>ÖSTERGÖTLANDS LÄN</t>
        </is>
      </c>
      <c r="G543" t="inlineStr">
        <is>
          <t>NORRKÖPING</t>
        </is>
      </c>
      <c r="I543" t="n">
        <v>11.1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10989-2024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45370</v>
      </c>
      <c r="E544" s="1" t="n">
        <v>46242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36887-2022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44805</v>
      </c>
      <c r="E545" s="1" t="n">
        <v>46242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59580-2022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44907</v>
      </c>
      <c r="E546" s="1" t="n">
        <v>46242</v>
      </c>
      <c r="F546" t="inlineStr">
        <is>
          <t>ÖSTERGÖTLANDS LÄN</t>
        </is>
      </c>
      <c r="G546" t="inlineStr">
        <is>
          <t>NORRKÖPING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46242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45121</v>
      </c>
      <c r="E548" s="1" t="n">
        <v>46242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34231-2025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45845</v>
      </c>
      <c r="E549" s="1" t="n">
        <v>46242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45678</v>
      </c>
      <c r="E550" s="1" t="n">
        <v>46242</v>
      </c>
      <c r="F550" t="inlineStr">
        <is>
          <t>ÖSTERGÖTLANDS LÄN</t>
        </is>
      </c>
      <c r="G550" t="inlineStr">
        <is>
          <t>NORRKÖPING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45733</v>
      </c>
      <c r="E551" s="1" t="n">
        <v>46242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44767</v>
      </c>
      <c r="E552" s="1" t="n">
        <v>46242</v>
      </c>
      <c r="F552" t="inlineStr">
        <is>
          <t>ÖSTERGÖTLANDS LÄN</t>
        </is>
      </c>
      <c r="G552" t="inlineStr">
        <is>
          <t>NORRKÖPING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45769</v>
      </c>
      <c r="E553" s="1" t="n">
        <v>46242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45072</v>
      </c>
      <c r="E554" s="1" t="n">
        <v>46242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45106</v>
      </c>
      <c r="E555" s="1" t="n">
        <v>46242</v>
      </c>
      <c r="F555" t="inlineStr">
        <is>
          <t>ÖSTERGÖTLANDS LÄN</t>
        </is>
      </c>
      <c r="G555" t="inlineStr">
        <is>
          <t>NORRKÖPING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47477-2022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44853</v>
      </c>
      <c r="E556" s="1" t="n">
        <v>46242</v>
      </c>
      <c r="F556" t="inlineStr">
        <is>
          <t>ÖSTERGÖTLANDS LÄN</t>
        </is>
      </c>
      <c r="G556" t="inlineStr">
        <is>
          <t>NORRKÖPING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46242</v>
      </c>
      <c r="F557" t="inlineStr">
        <is>
          <t>ÖSTERGÖTLANDS LÄN</t>
        </is>
      </c>
      <c r="G557" t="inlineStr">
        <is>
          <t>NORRKÖPING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45478</v>
      </c>
      <c r="E558" s="1" t="n">
        <v>46242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46242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Allmännings- och besparingsskogar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46242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45090</v>
      </c>
      <c r="E561" s="1" t="n">
        <v>46242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45736</v>
      </c>
      <c r="E562" s="1" t="n">
        <v>46242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45758</v>
      </c>
      <c r="E563" s="1" t="n">
        <v>46242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44936</v>
      </c>
      <c r="E564" s="1" t="n">
        <v>46242</v>
      </c>
      <c r="F564" t="inlineStr">
        <is>
          <t>ÖSTERGÖTLANDS LÄN</t>
        </is>
      </c>
      <c r="G564" t="inlineStr">
        <is>
          <t>NORRKÖPING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51877-2021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44462</v>
      </c>
      <c r="E565" s="1" t="n">
        <v>46242</v>
      </c>
      <c r="F565" t="inlineStr">
        <is>
          <t>ÖSTERGÖTLANDS LÄN</t>
        </is>
      </c>
      <c r="G565" t="inlineStr">
        <is>
          <t>NORRKÖPING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48122-2023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45205</v>
      </c>
      <c r="E566" s="1" t="n">
        <v>46242</v>
      </c>
      <c r="F566" t="inlineStr">
        <is>
          <t>ÖSTERGÖTLANDS LÄN</t>
        </is>
      </c>
      <c r="G566" t="inlineStr">
        <is>
          <t>NORRKÖPING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45446</v>
      </c>
      <c r="E567" s="1" t="n">
        <v>46242</v>
      </c>
      <c r="F567" t="inlineStr">
        <is>
          <t>ÖSTERGÖTLANDS LÄN</t>
        </is>
      </c>
      <c r="G567" t="inlineStr">
        <is>
          <t>NORRKÖPING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45446</v>
      </c>
      <c r="E568" s="1" t="n">
        <v>46242</v>
      </c>
      <c r="F568" t="inlineStr">
        <is>
          <t>ÖSTERGÖTLANDS LÄN</t>
        </is>
      </c>
      <c r="G568" t="inlineStr">
        <is>
          <t>NORRKÖPING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23630-2023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45077</v>
      </c>
      <c r="E569" s="1" t="n">
        <v>46242</v>
      </c>
      <c r="F569" t="inlineStr">
        <is>
          <t>ÖSTERGÖTLANDS LÄN</t>
        </is>
      </c>
      <c r="G569" t="inlineStr">
        <is>
          <t>NORRKÖPING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46242</v>
      </c>
      <c r="F570" t="inlineStr">
        <is>
          <t>ÖSTERGÖTLANDS LÄN</t>
        </is>
      </c>
      <c r="G570" t="inlineStr">
        <is>
          <t>NORRKÖPING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63961-2023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46242</v>
      </c>
      <c r="F571" t="inlineStr">
        <is>
          <t>ÖSTERGÖTLANDS LÄN</t>
        </is>
      </c>
      <c r="G571" t="inlineStr">
        <is>
          <t>NORRKÖPING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16700-2023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46242</v>
      </c>
      <c r="F572" t="inlineStr">
        <is>
          <t>ÖSTERGÖTLANDS LÄN</t>
        </is>
      </c>
      <c r="G572" t="inlineStr">
        <is>
          <t>NORRKÖPING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45399</v>
      </c>
      <c r="E573" s="1" t="n">
        <v>46242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38874-2024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46242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Allmännings- och besparingsskogar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45159</v>
      </c>
      <c r="E575" s="1" t="n">
        <v>46242</v>
      </c>
      <c r="F575" t="inlineStr">
        <is>
          <t>ÖSTERGÖTLANDS LÄN</t>
        </is>
      </c>
      <c r="G575" t="inlineStr">
        <is>
          <t>NORRKÖPING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45121</v>
      </c>
      <c r="E576" s="1" t="n">
        <v>46242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45699</v>
      </c>
      <c r="E577" s="1" t="n">
        <v>46242</v>
      </c>
      <c r="F577" t="inlineStr">
        <is>
          <t>ÖSTERGÖTLANDS LÄN</t>
        </is>
      </c>
      <c r="G577" t="inlineStr">
        <is>
          <t>NORRKÖPING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45699</v>
      </c>
      <c r="E578" s="1" t="n">
        <v>46242</v>
      </c>
      <c r="F578" t="inlineStr">
        <is>
          <t>ÖSTERGÖTLANDS LÄN</t>
        </is>
      </c>
      <c r="G578" t="inlineStr">
        <is>
          <t>NORRKÖPING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7762-2025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46242</v>
      </c>
      <c r="F579" t="inlineStr">
        <is>
          <t>ÖSTERGÖTLANDS LÄN</t>
        </is>
      </c>
      <c r="G579" t="inlineStr">
        <is>
          <t>NORRKÖPING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60233-2022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44910</v>
      </c>
      <c r="E580" s="1" t="n">
        <v>46242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46242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46242</v>
      </c>
      <c r="F582" t="inlineStr">
        <is>
          <t>ÖSTERGÖTLANDS LÄN</t>
        </is>
      </c>
      <c r="G582" t="inlineStr">
        <is>
          <t>NORRKÖPING</t>
        </is>
      </c>
      <c r="I582" t="n">
        <v>24.7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46242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45678</v>
      </c>
      <c r="E584" s="1" t="n">
        <v>46242</v>
      </c>
      <c r="F584" t="inlineStr">
        <is>
          <t>ÖSTERGÖTLANDS LÄN</t>
        </is>
      </c>
      <c r="G584" t="inlineStr">
        <is>
          <t>NORRKÖPING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14901-2023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45014</v>
      </c>
      <c r="E585" s="1" t="n">
        <v>46242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46242</v>
      </c>
      <c r="F586" t="inlineStr">
        <is>
          <t>ÖSTERGÖTLANDS LÄN</t>
        </is>
      </c>
      <c r="G586" t="inlineStr">
        <is>
          <t>NORRKÖPING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62028-2023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45266</v>
      </c>
      <c r="E587" s="1" t="n">
        <v>46242</v>
      </c>
      <c r="F587" t="inlineStr">
        <is>
          <t>ÖSTERGÖTLANDS LÄN</t>
        </is>
      </c>
      <c r="G587" t="inlineStr">
        <is>
          <t>NORRKÖPING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45049</v>
      </c>
      <c r="E588" s="1" t="n">
        <v>46242</v>
      </c>
      <c r="F588" t="inlineStr">
        <is>
          <t>ÖSTERGÖTLANDS LÄN</t>
        </is>
      </c>
      <c r="G588" t="inlineStr">
        <is>
          <t>NORRKÖPING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45049</v>
      </c>
      <c r="E589" s="1" t="n">
        <v>46242</v>
      </c>
      <c r="F589" t="inlineStr">
        <is>
          <t>ÖSTERGÖTLANDS LÄN</t>
        </is>
      </c>
      <c r="G589" t="inlineStr">
        <is>
          <t>NORRKÖPING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62033-2023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45266</v>
      </c>
      <c r="E590" s="1" t="n">
        <v>46242</v>
      </c>
      <c r="F590" t="inlineStr">
        <is>
          <t>ÖSTERGÖTLANDS LÄN</t>
        </is>
      </c>
      <c r="G590" t="inlineStr">
        <is>
          <t>NORRKÖPING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46242</v>
      </c>
      <c r="F591" t="inlineStr">
        <is>
          <t>ÖSTERGÖTLANDS LÄN</t>
        </is>
      </c>
      <c r="G591" t="inlineStr">
        <is>
          <t>NORRKÖPING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55063-2023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46242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Kyrkan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10791-2024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45369</v>
      </c>
      <c r="E593" s="1" t="n">
        <v>46242</v>
      </c>
      <c r="F593" t="inlineStr">
        <is>
          <t>ÖSTERGÖTLANDS LÄN</t>
        </is>
      </c>
      <c r="G593" t="inlineStr">
        <is>
          <t>NORRKÖPING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8220-2023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46242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44965</v>
      </c>
      <c r="E595" s="1" t="n">
        <v>46242</v>
      </c>
      <c r="F595" t="inlineStr">
        <is>
          <t>ÖSTERGÖTLANDS LÄN</t>
        </is>
      </c>
      <c r="G595" t="inlineStr">
        <is>
          <t>NORRKÖPING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46242</v>
      </c>
      <c r="F596" t="inlineStr">
        <is>
          <t>ÖSTERGÖTLANDS LÄN</t>
        </is>
      </c>
      <c r="G596" t="inlineStr">
        <is>
          <t>NORRKÖPING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43322-2022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44834</v>
      </c>
      <c r="E597" s="1" t="n">
        <v>46242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46242</v>
      </c>
      <c r="F598" t="inlineStr">
        <is>
          <t>ÖSTERGÖTLANDS LÄN</t>
        </is>
      </c>
      <c r="G598" t="inlineStr">
        <is>
          <t>NORRKÖPING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46242</v>
      </c>
      <c r="F599" t="inlineStr">
        <is>
          <t>ÖSTERGÖTLANDS LÄN</t>
        </is>
      </c>
      <c r="G599" t="inlineStr">
        <is>
          <t>NORRKÖPING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44596</v>
      </c>
      <c r="E600" s="1" t="n">
        <v>46242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19785-2025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46242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45546</v>
      </c>
      <c r="E602" s="1" t="n">
        <v>46242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45432</v>
      </c>
      <c r="E603" s="1" t="n">
        <v>46242</v>
      </c>
      <c r="F603" t="inlineStr">
        <is>
          <t>ÖSTERGÖTLANDS LÄN</t>
        </is>
      </c>
      <c r="G603" t="inlineStr">
        <is>
          <t>NORRKÖPING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46242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46242</v>
      </c>
      <c r="F605" t="inlineStr">
        <is>
          <t>ÖSTERGÖTLANDS LÄN</t>
        </is>
      </c>
      <c r="G605" t="inlineStr">
        <is>
          <t>NORRKÖPING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45030</v>
      </c>
      <c r="E606" s="1" t="n">
        <v>46242</v>
      </c>
      <c r="F606" t="inlineStr">
        <is>
          <t>ÖSTERGÖTLANDS LÄN</t>
        </is>
      </c>
      <c r="G606" t="inlineStr">
        <is>
          <t>NORRKÖPING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46242</v>
      </c>
      <c r="F607" t="inlineStr">
        <is>
          <t>ÖSTERGÖTLANDS LÄN</t>
        </is>
      </c>
      <c r="G607" t="inlineStr">
        <is>
          <t>NORRKÖPING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46242</v>
      </c>
      <c r="F608" t="inlineStr">
        <is>
          <t>ÖSTERGÖTLANDS LÄN</t>
        </is>
      </c>
      <c r="G608" t="inlineStr">
        <is>
          <t>NORRKÖPING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45889</v>
      </c>
      <c r="E609" s="1" t="n">
        <v>46242</v>
      </c>
      <c r="F609" t="inlineStr">
        <is>
          <t>ÖSTERGÖTLANDS LÄN</t>
        </is>
      </c>
      <c r="G609" t="inlineStr">
        <is>
          <t>NORRKÖPING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45268</v>
      </c>
      <c r="E610" s="1" t="n">
        <v>46242</v>
      </c>
      <c r="F610" t="inlineStr">
        <is>
          <t>ÖSTERGÖTLANDS LÄN</t>
        </is>
      </c>
      <c r="G610" t="inlineStr">
        <is>
          <t>NORRKÖPING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45550</v>
      </c>
      <c r="E611" s="1" t="n">
        <v>46242</v>
      </c>
      <c r="F611" t="inlineStr">
        <is>
          <t>ÖSTERGÖTLANDS LÄN</t>
        </is>
      </c>
      <c r="G611" t="inlineStr">
        <is>
          <t>NORRKÖPING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57380-2024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45629</v>
      </c>
      <c r="E612" s="1" t="n">
        <v>46242</v>
      </c>
      <c r="F612" t="inlineStr">
        <is>
          <t>ÖSTERGÖTLANDS LÄN</t>
        </is>
      </c>
      <c r="G612" t="inlineStr">
        <is>
          <t>NORRKÖPING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30485-2026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46242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45362-2021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44439</v>
      </c>
      <c r="E614" s="1" t="n">
        <v>46242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45053</v>
      </c>
      <c r="E615" s="1" t="n">
        <v>46242</v>
      </c>
      <c r="F615" t="inlineStr">
        <is>
          <t>ÖSTERGÖTLANDS LÄN</t>
        </is>
      </c>
      <c r="G615" t="inlineStr">
        <is>
          <t>NORRKÖPING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46061</v>
      </c>
      <c r="E616" s="1" t="n">
        <v>46242</v>
      </c>
      <c r="F616" t="inlineStr">
        <is>
          <t>ÖSTERGÖTLANDS LÄN</t>
        </is>
      </c>
      <c r="G616" t="inlineStr">
        <is>
          <t>NORRKÖPING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49060-2022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44860</v>
      </c>
      <c r="E617" s="1" t="n">
        <v>46242</v>
      </c>
      <c r="F617" t="inlineStr">
        <is>
          <t>ÖSTERGÖTLANDS LÄN</t>
        </is>
      </c>
      <c r="G617" t="inlineStr">
        <is>
          <t>NORRKÖPING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44597</v>
      </c>
      <c r="E618" s="1" t="n">
        <v>46242</v>
      </c>
      <c r="F618" t="inlineStr">
        <is>
          <t>ÖSTERGÖTLANDS LÄN</t>
        </is>
      </c>
      <c r="G618" t="inlineStr">
        <is>
          <t>NORRKÖPING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14899-2023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45014</v>
      </c>
      <c r="E619" s="1" t="n">
        <v>46242</v>
      </c>
      <c r="F619" t="inlineStr">
        <is>
          <t>ÖSTERGÖTLANDS LÄN</t>
        </is>
      </c>
      <c r="G619" t="inlineStr">
        <is>
          <t>NORRKÖPING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44936</v>
      </c>
      <c r="E620" s="1" t="n">
        <v>46242</v>
      </c>
      <c r="F620" t="inlineStr">
        <is>
          <t>ÖSTERGÖTLANDS LÄN</t>
        </is>
      </c>
      <c r="G620" t="inlineStr">
        <is>
          <t>NORRKÖPING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30905-2026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46242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46213</v>
      </c>
      <c r="E622" s="1" t="n">
        <v>46242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46242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23946-2025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45796</v>
      </c>
      <c r="E624" s="1" t="n">
        <v>46242</v>
      </c>
      <c r="F624" t="inlineStr">
        <is>
          <t>ÖSTERGÖTLANDS LÄN</t>
        </is>
      </c>
      <c r="G624" t="inlineStr">
        <is>
          <t>NORRKÖPING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45723</v>
      </c>
      <c r="E625" s="1" t="n">
        <v>46242</v>
      </c>
      <c r="F625" t="inlineStr">
        <is>
          <t>ÖSTERGÖTLANDS LÄN</t>
        </is>
      </c>
      <c r="G625" t="inlineStr">
        <is>
          <t>NORRKÖPING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49882-2021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44455</v>
      </c>
      <c r="E626" s="1" t="n">
        <v>46242</v>
      </c>
      <c r="F626" t="inlineStr">
        <is>
          <t>ÖSTERGÖTLANDS LÄN</t>
        </is>
      </c>
      <c r="G626" t="inlineStr">
        <is>
          <t>NORRKÖPING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44588</v>
      </c>
      <c r="E627" s="1" t="n">
        <v>46242</v>
      </c>
      <c r="F627" t="inlineStr">
        <is>
          <t>ÖSTERGÖTLANDS LÄN</t>
        </is>
      </c>
      <c r="G627" t="inlineStr">
        <is>
          <t>NORRKÖPING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37876-2025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45881</v>
      </c>
      <c r="E628" s="1" t="n">
        <v>46242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31078-2026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46216</v>
      </c>
      <c r="E629" s="1" t="n">
        <v>46242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46242</v>
      </c>
      <c r="F630" t="inlineStr">
        <is>
          <t>ÖSTERGÖTLANDS LÄN</t>
        </is>
      </c>
      <c r="G630" t="inlineStr">
        <is>
          <t>NORRKÖPING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46242</v>
      </c>
      <c r="F631" t="inlineStr">
        <is>
          <t>ÖSTERGÖTLANDS LÄN</t>
        </is>
      </c>
      <c r="G631" t="inlineStr">
        <is>
          <t>NORRKÖPING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31225-2026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46217</v>
      </c>
      <c r="E632" s="1" t="n">
        <v>46242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46217</v>
      </c>
      <c r="E633" s="1" t="n">
        <v>46242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38404-2025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45883</v>
      </c>
      <c r="E634" s="1" t="n">
        <v>46242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Allmännings- och besparingsskogar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59768-2021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44494</v>
      </c>
      <c r="E635" s="1" t="n">
        <v>46242</v>
      </c>
      <c r="F635" t="inlineStr">
        <is>
          <t>ÖSTERGÖTLANDS LÄN</t>
        </is>
      </c>
      <c r="G635" t="inlineStr">
        <is>
          <t>NORRKÖPING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38463-2025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45883</v>
      </c>
      <c r="E636" s="1" t="n">
        <v>46242</v>
      </c>
      <c r="F636" t="inlineStr">
        <is>
          <t>ÖSTERGÖTLANDS LÄN</t>
        </is>
      </c>
      <c r="G636" t="inlineStr">
        <is>
          <t>NORRKÖPING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46242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46218</v>
      </c>
      <c r="E638" s="1" t="n">
        <v>46242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46242</v>
      </c>
      <c r="F639" t="inlineStr">
        <is>
          <t>ÖSTERGÖTLANDS LÄN</t>
        </is>
      </c>
      <c r="G639" t="inlineStr">
        <is>
          <t>NORRKÖPING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46213</v>
      </c>
      <c r="E640" s="1" t="n">
        <v>46242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40816-2024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45558</v>
      </c>
      <c r="E641" s="1" t="n">
        <v>46242</v>
      </c>
      <c r="F641" t="inlineStr">
        <is>
          <t>ÖSTERGÖTLANDS LÄN</t>
        </is>
      </c>
      <c r="G641" t="inlineStr">
        <is>
          <t>NORRKÖPING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48786-2022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44859</v>
      </c>
      <c r="E642" s="1" t="n">
        <v>46242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46242</v>
      </c>
      <c r="F643" t="inlineStr">
        <is>
          <t>ÖSTERGÖTLANDS LÄN</t>
        </is>
      </c>
      <c r="G643" t="inlineStr">
        <is>
          <t>NORRKÖPING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5938-2024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45336</v>
      </c>
      <c r="E644" s="1" t="n">
        <v>46242</v>
      </c>
      <c r="F644" t="inlineStr">
        <is>
          <t>ÖSTERGÖTLANDS LÄN</t>
        </is>
      </c>
      <c r="G644" t="inlineStr">
        <is>
          <t>NORRKÖPING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44582</v>
      </c>
      <c r="E645" s="1" t="n">
        <v>46242</v>
      </c>
      <c r="F645" t="inlineStr">
        <is>
          <t>ÖSTERGÖTLANDS LÄN</t>
        </is>
      </c>
      <c r="G645" t="inlineStr">
        <is>
          <t>NORRKÖPING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21767-2024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46242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43344-2023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45183</v>
      </c>
      <c r="E647" s="1" t="n">
        <v>46242</v>
      </c>
      <c r="F647" t="inlineStr">
        <is>
          <t>ÖSTERGÖTLANDS LÄN</t>
        </is>
      </c>
      <c r="G647" t="inlineStr">
        <is>
          <t>NORRKÖPING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43346-2023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45183</v>
      </c>
      <c r="E648" s="1" t="n">
        <v>46242</v>
      </c>
      <c r="F648" t="inlineStr">
        <is>
          <t>ÖSTERGÖTLANDS LÄN</t>
        </is>
      </c>
      <c r="G648" t="inlineStr">
        <is>
          <t>NORRKÖPING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45043</v>
      </c>
      <c r="E649" s="1" t="n">
        <v>46242</v>
      </c>
      <c r="F649" t="inlineStr">
        <is>
          <t>ÖSTERGÖTLANDS LÄN</t>
        </is>
      </c>
      <c r="G649" t="inlineStr">
        <is>
          <t>NORRKÖPING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31801-2024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45509</v>
      </c>
      <c r="E650" s="1" t="n">
        <v>46242</v>
      </c>
      <c r="F650" t="inlineStr">
        <is>
          <t>ÖSTERGÖTLANDS LÄN</t>
        </is>
      </c>
      <c r="G650" t="inlineStr">
        <is>
          <t>NORRKÖPING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46242</v>
      </c>
      <c r="F651" t="inlineStr">
        <is>
          <t>ÖSTERGÖTLANDS LÄN</t>
        </is>
      </c>
      <c r="G651" t="inlineStr">
        <is>
          <t>NORRKÖPING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45145</v>
      </c>
      <c r="E652" s="1" t="n">
        <v>46242</v>
      </c>
      <c r="F652" t="inlineStr">
        <is>
          <t>ÖSTERGÖTLANDS LÄN</t>
        </is>
      </c>
      <c r="G652" t="inlineStr">
        <is>
          <t>NORRKÖPING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25690-2026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46242</v>
      </c>
      <c r="F653" t="inlineStr">
        <is>
          <t>ÖSTERGÖTLANDS LÄN</t>
        </is>
      </c>
      <c r="G653" t="inlineStr">
        <is>
          <t>NORRKÖPING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46178</v>
      </c>
      <c r="E654" s="1" t="n">
        <v>46242</v>
      </c>
      <c r="F654" t="inlineStr">
        <is>
          <t>ÖSTERGÖTLANDS LÄN</t>
        </is>
      </c>
      <c r="G654" t="inlineStr">
        <is>
          <t>NORRKÖPING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25715-2026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46178</v>
      </c>
      <c r="E655" s="1" t="n">
        <v>46242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25700-2026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46178</v>
      </c>
      <c r="E656" s="1" t="n">
        <v>46242</v>
      </c>
      <c r="F656" t="inlineStr">
        <is>
          <t>ÖSTERGÖTLANDS LÄN</t>
        </is>
      </c>
      <c r="G656" t="inlineStr">
        <is>
          <t>NORRKÖPING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46178</v>
      </c>
      <c r="E657" s="1" t="n">
        <v>46242</v>
      </c>
      <c r="F657" t="inlineStr">
        <is>
          <t>ÖSTERGÖTLANDS LÄN</t>
        </is>
      </c>
      <c r="G657" t="inlineStr">
        <is>
          <t>NORRKÖPING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25719-2026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46178</v>
      </c>
      <c r="E658" s="1" t="n">
        <v>46242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50119-2023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45215</v>
      </c>
      <c r="E659" s="1" t="n">
        <v>46242</v>
      </c>
      <c r="F659" t="inlineStr">
        <is>
          <t>ÖSTERGÖTLANDS LÄN</t>
        </is>
      </c>
      <c r="G659" t="inlineStr">
        <is>
          <t>NORRKÖPING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25687-2026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46242</v>
      </c>
      <c r="F660" t="inlineStr">
        <is>
          <t>ÖSTERGÖTLANDS LÄN</t>
        </is>
      </c>
      <c r="G660" t="inlineStr">
        <is>
          <t>NORRKÖPING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26349-2026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46242</v>
      </c>
      <c r="F661" t="inlineStr">
        <is>
          <t>ÖSTERGÖTLANDS LÄN</t>
        </is>
      </c>
      <c r="G661" t="inlineStr">
        <is>
          <t>NORRKÖPING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1835-2023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46242</v>
      </c>
      <c r="F662" t="inlineStr">
        <is>
          <t>ÖSTERGÖTLANDS LÄN</t>
        </is>
      </c>
      <c r="G662" t="inlineStr">
        <is>
          <t>NORRKÖPING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56331-2022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44890</v>
      </c>
      <c r="E663" s="1" t="n">
        <v>46242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19287-2025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45769</v>
      </c>
      <c r="E664" s="1" t="n">
        <v>46242</v>
      </c>
      <c r="F664" t="inlineStr">
        <is>
          <t>ÖSTERGÖTLANDS LÄN</t>
        </is>
      </c>
      <c r="G664" t="inlineStr">
        <is>
          <t>NORRKÖPING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45013</v>
      </c>
      <c r="E665" s="1" t="n">
        <v>46242</v>
      </c>
      <c r="F665" t="inlineStr">
        <is>
          <t>ÖSTERGÖTLANDS LÄN</t>
        </is>
      </c>
      <c r="G665" t="inlineStr">
        <is>
          <t>NORRKÖPING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4494-2023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44956</v>
      </c>
      <c r="E666" s="1" t="n">
        <v>46242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46242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46242</v>
      </c>
      <c r="F668" t="inlineStr">
        <is>
          <t>ÖSTERGÖTLANDS LÄN</t>
        </is>
      </c>
      <c r="G668" t="inlineStr">
        <is>
          <t>NORRKÖPING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44721</v>
      </c>
      <c r="E669" s="1" t="n">
        <v>46242</v>
      </c>
      <c r="F669" t="inlineStr">
        <is>
          <t>ÖSTERGÖTLANDS LÄN</t>
        </is>
      </c>
      <c r="G669" t="inlineStr">
        <is>
          <t>NORRKÖPING</t>
        </is>
      </c>
      <c r="I669" t="n">
        <v>11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46182</v>
      </c>
      <c r="E670" s="1" t="n">
        <v>46242</v>
      </c>
      <c r="F670" t="inlineStr">
        <is>
          <t>ÖSTERGÖTLANDS LÄN</t>
        </is>
      </c>
      <c r="G670" t="inlineStr">
        <is>
          <t>NORRKÖPING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46182</v>
      </c>
      <c r="E671" s="1" t="n">
        <v>46242</v>
      </c>
      <c r="F671" t="inlineStr">
        <is>
          <t>ÖSTERGÖTLANDS LÄN</t>
        </is>
      </c>
      <c r="G671" t="inlineStr">
        <is>
          <t>NORRKÖPING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18537-2025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45763</v>
      </c>
      <c r="E672" s="1" t="n">
        <v>46242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9.300000000000001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50678-2023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45217</v>
      </c>
      <c r="E673" s="1" t="n">
        <v>46242</v>
      </c>
      <c r="F673" t="inlineStr">
        <is>
          <t>ÖSTERGÖTLANDS LÄN</t>
        </is>
      </c>
      <c r="G673" t="inlineStr">
        <is>
          <t>NORRKÖPING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45075-2023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46242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46242</v>
      </c>
      <c r="F675" t="inlineStr">
        <is>
          <t>ÖSTERGÖTLANDS LÄN</t>
        </is>
      </c>
      <c r="G675" t="inlineStr">
        <is>
          <t>NORRKÖPING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27177-2026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46188</v>
      </c>
      <c r="E676" s="1" t="n">
        <v>46242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12814-2025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45733</v>
      </c>
      <c r="E677" s="1" t="n">
        <v>46242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47895-2021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44448</v>
      </c>
      <c r="E678" s="1" t="n">
        <v>46242</v>
      </c>
      <c r="F678" t="inlineStr">
        <is>
          <t>ÖSTERGÖTLANDS LÄN</t>
        </is>
      </c>
      <c r="G678" t="inlineStr">
        <is>
          <t>NORRKÖPING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36258-2022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44803</v>
      </c>
      <c r="E679" s="1" t="n">
        <v>46242</v>
      </c>
      <c r="F679" t="inlineStr">
        <is>
          <t>ÖSTERGÖTLANDS LÄN</t>
        </is>
      </c>
      <c r="G679" t="inlineStr">
        <is>
          <t>NORRKÖPING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26953-2026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46242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46231</v>
      </c>
      <c r="E681" s="1" t="n">
        <v>46242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27119-2026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46242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49062-2022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44860</v>
      </c>
      <c r="E683" s="1" t="n">
        <v>46242</v>
      </c>
      <c r="F683" t="inlineStr">
        <is>
          <t>ÖSTERGÖTLANDS LÄN</t>
        </is>
      </c>
      <c r="G683" t="inlineStr">
        <is>
          <t>NORRKÖPING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26999-2026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46242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1914-2023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44939</v>
      </c>
      <c r="E685" s="1" t="n">
        <v>46242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Naturvårdsverket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44956</v>
      </c>
      <c r="E686" s="1" t="n">
        <v>46242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46242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46242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17138-2022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46242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46242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33170-2023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45126</v>
      </c>
      <c r="E691" s="1" t="n">
        <v>46242</v>
      </c>
      <c r="F691" t="inlineStr">
        <is>
          <t>ÖSTERGÖTLANDS LÄN</t>
        </is>
      </c>
      <c r="G691" t="inlineStr">
        <is>
          <t>NORRKÖPING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33171-2023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45126</v>
      </c>
      <c r="E692" s="1" t="n">
        <v>46242</v>
      </c>
      <c r="F692" t="inlineStr">
        <is>
          <t>ÖSTERGÖTLANDS LÄN</t>
        </is>
      </c>
      <c r="G692" t="inlineStr">
        <is>
          <t>NORRKÖPING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46242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46242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46242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46242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32070-2026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46242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46242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32020-2026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46242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46242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62529-2023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45268</v>
      </c>
      <c r="E701" s="1" t="n">
        <v>46242</v>
      </c>
      <c r="F701" t="inlineStr">
        <is>
          <t>ÖSTERGÖTLANDS LÄN</t>
        </is>
      </c>
      <c r="G701" t="inlineStr">
        <is>
          <t>NORRKÖPING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46242</v>
      </c>
      <c r="F702" t="inlineStr">
        <is>
          <t>ÖSTERGÖTLANDS LÄN</t>
        </is>
      </c>
      <c r="G702" t="inlineStr">
        <is>
          <t>NORRKÖPING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59586-2022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44907</v>
      </c>
      <c r="E703" s="1" t="n">
        <v>46242</v>
      </c>
      <c r="F703" t="inlineStr">
        <is>
          <t>ÖSTERGÖTLANDS LÄN</t>
        </is>
      </c>
      <c r="G703" t="inlineStr">
        <is>
          <t>NORRKÖPING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31359-2023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45114</v>
      </c>
      <c r="E704" s="1" t="n">
        <v>46242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45114</v>
      </c>
      <c r="E705" s="1" t="n">
        <v>46242</v>
      </c>
      <c r="F705" t="inlineStr">
        <is>
          <t>ÖSTERGÖTLANDS LÄN</t>
        </is>
      </c>
      <c r="G705" t="inlineStr">
        <is>
          <t>NORRKÖPING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53899-2021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44469</v>
      </c>
      <c r="E706" s="1" t="n">
        <v>46242</v>
      </c>
      <c r="F706" t="inlineStr">
        <is>
          <t>ÖSTERGÖTLANDS LÄN</t>
        </is>
      </c>
      <c r="G706" t="inlineStr">
        <is>
          <t>NORRKÖPING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11140-2025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45723</v>
      </c>
      <c r="E707" s="1" t="n">
        <v>46242</v>
      </c>
      <c r="F707" t="inlineStr">
        <is>
          <t>ÖSTERGÖTLANDS LÄN</t>
        </is>
      </c>
      <c r="G707" t="inlineStr">
        <is>
          <t>NORRKÖPING</t>
        </is>
      </c>
      <c r="I707" t="n">
        <v>13.9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44679</v>
      </c>
      <c r="E708" s="1" t="n">
        <v>46242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Allmännings- och besparingsskogar</t>
        </is>
      </c>
      <c r="I708" t="n">
        <v>6.3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28259-2026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46242</v>
      </c>
      <c r="F709" t="inlineStr">
        <is>
          <t>ÖSTERGÖTLANDS LÄN</t>
        </is>
      </c>
      <c r="G709" t="inlineStr">
        <is>
          <t>NORRKÖPING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45796</v>
      </c>
      <c r="E710" s="1" t="n">
        <v>46242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9528-2024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45359</v>
      </c>
      <c r="E711" s="1" t="n">
        <v>46242</v>
      </c>
      <c r="F711" t="inlineStr">
        <is>
          <t>ÖSTERGÖTLANDS LÄN</t>
        </is>
      </c>
      <c r="G711" t="inlineStr">
        <is>
          <t>NORRKÖPING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28256-2026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46242</v>
      </c>
      <c r="F712" t="inlineStr">
        <is>
          <t>ÖSTERGÖTLANDS LÄN</t>
        </is>
      </c>
      <c r="G712" t="inlineStr">
        <is>
          <t>NORRKÖPING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28271-2026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46242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28255-2026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46242</v>
      </c>
      <c r="F714" t="inlineStr">
        <is>
          <t>ÖSTERGÖTLANDS LÄN</t>
        </is>
      </c>
      <c r="G714" t="inlineStr">
        <is>
          <t>NORRKÖPING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46242</v>
      </c>
      <c r="F715" t="inlineStr">
        <is>
          <t>ÖSTERGÖTLANDS LÄN</t>
        </is>
      </c>
      <c r="G715" t="inlineStr">
        <is>
          <t>NORRKÖPING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29285-2026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46242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Allmännings- och besparingsskogar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53747-2022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44880</v>
      </c>
      <c r="E717" s="1" t="n">
        <v>46242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46241</v>
      </c>
      <c r="E718" s="1" t="n">
        <v>46242</v>
      </c>
      <c r="F718" t="inlineStr">
        <is>
          <t>ÖSTERGÖTLANDS LÄN</t>
        </is>
      </c>
      <c r="G718" t="inlineStr">
        <is>
          <t>NORRKÖPING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24634-2025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45798</v>
      </c>
      <c r="E719" s="1" t="n">
        <v>46242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28835-2026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46242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32623-2026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46240</v>
      </c>
      <c r="E721" s="1" t="n">
        <v>46242</v>
      </c>
      <c r="F721" t="inlineStr">
        <is>
          <t>ÖSTERGÖTLANDS LÄN</t>
        </is>
      </c>
      <c r="G721" t="inlineStr">
        <is>
          <t>NORRKÖPING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44936</v>
      </c>
      <c r="E722" s="1" t="n">
        <v>46242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44936</v>
      </c>
      <c r="E723" s="1" t="n">
        <v>46242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46242</v>
      </c>
      <c r="F724" t="inlineStr">
        <is>
          <t>ÖSTERGÖTLANDS LÄN</t>
        </is>
      </c>
      <c r="G724" t="inlineStr">
        <is>
          <t>NORRKÖPING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46242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46241</v>
      </c>
      <c r="E726" s="1" t="n">
        <v>46242</v>
      </c>
      <c r="F726" t="inlineStr">
        <is>
          <t>ÖSTERGÖTLANDS LÄN</t>
        </is>
      </c>
      <c r="G726" t="inlineStr">
        <is>
          <t>NORRKÖPING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28902-2026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46242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29033-2026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46199</v>
      </c>
      <c r="E728" s="1" t="n">
        <v>46242</v>
      </c>
      <c r="F728" t="inlineStr">
        <is>
          <t>ÖSTERGÖTLANDS LÄN</t>
        </is>
      </c>
      <c r="G728" t="inlineStr">
        <is>
          <t>NORRKÖPING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46242</v>
      </c>
      <c r="F729" t="inlineStr">
        <is>
          <t>ÖSTERGÖTLANDS LÄN</t>
        </is>
      </c>
      <c r="G729" t="inlineStr">
        <is>
          <t>NORRKÖPING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46050</v>
      </c>
      <c r="E730" s="1" t="n">
        <v>46242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46242</v>
      </c>
      <c r="F731" t="inlineStr">
        <is>
          <t>ÖSTERGÖTLANDS LÄN</t>
        </is>
      </c>
      <c r="G731" t="inlineStr">
        <is>
          <t>NORRKÖPING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15402-2025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45747</v>
      </c>
      <c r="E732" s="1" t="n">
        <v>46242</v>
      </c>
      <c r="F732" t="inlineStr">
        <is>
          <t>ÖSTERGÖTLANDS LÄN</t>
        </is>
      </c>
      <c r="G732" t="inlineStr">
        <is>
          <t>NORRKÖPING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19324-2025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45769</v>
      </c>
      <c r="E733" s="1" t="n">
        <v>46242</v>
      </c>
      <c r="F733" t="inlineStr">
        <is>
          <t>ÖSTERGÖTLANDS LÄN</t>
        </is>
      </c>
      <c r="G733" t="inlineStr">
        <is>
          <t>NORRKÖPING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58525-2021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44488</v>
      </c>
      <c r="E734" s="1" t="n">
        <v>46242</v>
      </c>
      <c r="F734" t="inlineStr">
        <is>
          <t>ÖSTERGÖTLANDS LÄN</t>
        </is>
      </c>
      <c r="G734" t="inlineStr">
        <is>
          <t>NORRKÖPING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44994</v>
      </c>
      <c r="E735" s="1" t="n">
        <v>46242</v>
      </c>
      <c r="F735" t="inlineStr">
        <is>
          <t>ÖSTERGÖTLANDS LÄN</t>
        </is>
      </c>
      <c r="G735" t="inlineStr">
        <is>
          <t>NORRKÖPING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16253-2023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45028</v>
      </c>
      <c r="E736" s="1" t="n">
        <v>46242</v>
      </c>
      <c r="F736" t="inlineStr">
        <is>
          <t>ÖSTERGÖTLANDS LÄN</t>
        </is>
      </c>
      <c r="G736" t="inlineStr">
        <is>
          <t>NORRKÖPING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21664-2024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45442</v>
      </c>
      <c r="E737" s="1" t="n">
        <v>46242</v>
      </c>
      <c r="F737" t="inlineStr">
        <is>
          <t>ÖSTERGÖTLANDS LÄN</t>
        </is>
      </c>
      <c r="G737" t="inlineStr">
        <is>
          <t>NORRKÖPING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16590-2024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45408</v>
      </c>
      <c r="E738" s="1" t="n">
        <v>46242</v>
      </c>
      <c r="F738" t="inlineStr">
        <is>
          <t>ÖSTERGÖTLANDS LÄN</t>
        </is>
      </c>
      <c r="G738" t="inlineStr">
        <is>
          <t>NORRKÖPING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31844-2023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45106</v>
      </c>
      <c r="E739" s="1" t="n">
        <v>46242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49799-2022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44862</v>
      </c>
      <c r="E740" s="1" t="n">
        <v>46242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18636-2023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45043</v>
      </c>
      <c r="E741" s="1" t="n">
        <v>46242</v>
      </c>
      <c r="F741" t="inlineStr">
        <is>
          <t>ÖSTERGÖTLANDS LÄN</t>
        </is>
      </c>
      <c r="G741" t="inlineStr">
        <is>
          <t>NORRKÖPING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44805</v>
      </c>
      <c r="E742" s="1" t="n">
        <v>46242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Allmännings- och besparingsskogar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47051-2023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45201</v>
      </c>
      <c r="E743" s="1" t="n">
        <v>46242</v>
      </c>
      <c r="F743" t="inlineStr">
        <is>
          <t>ÖSTERGÖTLANDS LÄN</t>
        </is>
      </c>
      <c r="G743" t="inlineStr">
        <is>
          <t>NORRKÖPING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34393-2023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45132</v>
      </c>
      <c r="E744" s="1" t="n">
        <v>46242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45373</v>
      </c>
      <c r="E745" s="1" t="n">
        <v>46242</v>
      </c>
      <c r="F745" t="inlineStr">
        <is>
          <t>ÖSTERGÖTLANDS LÄN</t>
        </is>
      </c>
      <c r="G745" t="inlineStr">
        <is>
          <t>NORRKÖPING</t>
        </is>
      </c>
      <c r="I745" t="n">
        <v>8.6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11261-2023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44992</v>
      </c>
      <c r="E746" s="1" t="n">
        <v>46242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12727-2022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44641</v>
      </c>
      <c r="E747" s="1" t="n">
        <v>46242</v>
      </c>
      <c r="F747" t="inlineStr">
        <is>
          <t>ÖSTERGÖTLANDS LÄN</t>
        </is>
      </c>
      <c r="G747" t="inlineStr">
        <is>
          <t>NORRKÖPING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58936-2023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45252</v>
      </c>
      <c r="E748" s="1" t="n">
        <v>46242</v>
      </c>
      <c r="F748" t="inlineStr">
        <is>
          <t>ÖSTERGÖTLANDS LÄN</t>
        </is>
      </c>
      <c r="G748" t="inlineStr">
        <is>
          <t>NORRKÖPING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10796-2024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45369</v>
      </c>
      <c r="E749" s="1" t="n">
        <v>46242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2287-2025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45673</v>
      </c>
      <c r="E750" s="1" t="n">
        <v>46242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45128</v>
      </c>
      <c r="E751" s="1" t="n">
        <v>46242</v>
      </c>
      <c r="F751" t="inlineStr">
        <is>
          <t>ÖSTERGÖTLANDS LÄN</t>
        </is>
      </c>
      <c r="G751" t="inlineStr">
        <is>
          <t>NORRKÖPING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14441-2025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45741</v>
      </c>
      <c r="E752" s="1" t="n">
        <v>46242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6.9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29010-2023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45096</v>
      </c>
      <c r="E753" s="1" t="n">
        <v>46242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Allmännings- och besparingsskogar</t>
        </is>
      </c>
      <c r="I753" t="n">
        <v>12.3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57492-2023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45246</v>
      </c>
      <c r="E754" s="1" t="n">
        <v>46242</v>
      </c>
      <c r="F754" t="inlineStr">
        <is>
          <t>ÖSTERGÖTLANDS LÄN</t>
        </is>
      </c>
      <c r="G754" t="inlineStr">
        <is>
          <t>NORRKÖPING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57496-2023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45246</v>
      </c>
      <c r="E755" s="1" t="n">
        <v>46242</v>
      </c>
      <c r="F755" t="inlineStr">
        <is>
          <t>ÖSTERGÖTLANDS LÄN</t>
        </is>
      </c>
      <c r="G755" t="inlineStr">
        <is>
          <t>NORRKÖPING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41381-2023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45174</v>
      </c>
      <c r="E756" s="1" t="n">
        <v>46242</v>
      </c>
      <c r="F756" t="inlineStr">
        <is>
          <t>ÖSTERGÖTLANDS LÄN</t>
        </is>
      </c>
      <c r="G756" t="inlineStr">
        <is>
          <t>NORRKÖPING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41382-2023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45174</v>
      </c>
      <c r="E757" s="1" t="n">
        <v>46242</v>
      </c>
      <c r="F757" t="inlineStr">
        <is>
          <t>ÖSTERGÖTLANDS LÄN</t>
        </is>
      </c>
      <c r="G757" t="inlineStr">
        <is>
          <t>NORRKÖPING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45457</v>
      </c>
      <c r="E758" s="1" t="n">
        <v>46242</v>
      </c>
      <c r="F758" t="inlineStr">
        <is>
          <t>ÖSTERGÖTLANDS LÄN</t>
        </is>
      </c>
      <c r="G758" t="inlineStr">
        <is>
          <t>NORRKÖPING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26407-2023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45092</v>
      </c>
      <c r="E759" s="1" t="n">
        <v>46242</v>
      </c>
      <c r="F759" t="inlineStr">
        <is>
          <t>ÖSTERGÖTLANDS LÄN</t>
        </is>
      </c>
      <c r="G759" t="inlineStr">
        <is>
          <t>NORRKÖPING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59964-2023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45254</v>
      </c>
      <c r="E760" s="1" t="n">
        <v>46242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Allmännings- och besparingsskogar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16594-2023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45027</v>
      </c>
      <c r="E761" s="1" t="n">
        <v>46242</v>
      </c>
      <c r="F761" t="inlineStr">
        <is>
          <t>ÖSTERGÖTLANDS LÄN</t>
        </is>
      </c>
      <c r="G761" t="inlineStr">
        <is>
          <t>NORRKÖPING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45425</v>
      </c>
      <c r="E762" s="1" t="n">
        <v>46242</v>
      </c>
      <c r="F762" t="inlineStr">
        <is>
          <t>ÖSTERGÖTLANDS LÄN</t>
        </is>
      </c>
      <c r="G762" t="inlineStr">
        <is>
          <t>NORRKÖPING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46270-2024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45581</v>
      </c>
      <c r="E763" s="1" t="n">
        <v>46242</v>
      </c>
      <c r="F763" t="inlineStr">
        <is>
          <t>ÖSTERGÖTLANDS LÄN</t>
        </is>
      </c>
      <c r="G763" t="inlineStr">
        <is>
          <t>NORRKÖPING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26977-2023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45091</v>
      </c>
      <c r="E764" s="1" t="n">
        <v>46242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Allmännings- och besparingsskogar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10798-2024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45369</v>
      </c>
      <c r="E765" s="1" t="n">
        <v>46242</v>
      </c>
      <c r="F765" t="inlineStr">
        <is>
          <t>ÖSTERGÖTLANDS LÄN</t>
        </is>
      </c>
      <c r="G765" t="inlineStr">
        <is>
          <t>NORRKÖPING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18667-2023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45043</v>
      </c>
      <c r="E766" s="1" t="n">
        <v>46242</v>
      </c>
      <c r="F766" t="inlineStr">
        <is>
          <t>ÖSTERGÖTLANDS LÄN</t>
        </is>
      </c>
      <c r="G766" t="inlineStr">
        <is>
          <t>NORRKÖPING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21772-2024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45442</v>
      </c>
      <c r="E767" s="1" t="n">
        <v>46242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13918-2023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45008</v>
      </c>
      <c r="E768" s="1" t="n">
        <v>46242</v>
      </c>
      <c r="F768" t="inlineStr">
        <is>
          <t>ÖSTERGÖTLANDS LÄN</t>
        </is>
      </c>
      <c r="G768" t="inlineStr">
        <is>
          <t>NORRKÖPING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45339</v>
      </c>
      <c r="E769" s="1" t="n">
        <v>46242</v>
      </c>
      <c r="F769" t="inlineStr">
        <is>
          <t>ÖSTERGÖTLANDS LÄN</t>
        </is>
      </c>
      <c r="G769" t="inlineStr">
        <is>
          <t>NORRKÖPING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17852-2025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46242</v>
      </c>
      <c r="F770" t="inlineStr">
        <is>
          <t>ÖSTERGÖTLANDS LÄN</t>
        </is>
      </c>
      <c r="G770" t="inlineStr">
        <is>
          <t>NORRKÖPING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26834-2023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45093</v>
      </c>
      <c r="E771" s="1" t="n">
        <v>46242</v>
      </c>
      <c r="F771" t="inlineStr">
        <is>
          <t>ÖSTERGÖTLANDS LÄN</t>
        </is>
      </c>
      <c r="G771" t="inlineStr">
        <is>
          <t>NORRKÖPING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11587-2023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44992</v>
      </c>
      <c r="E772" s="1" t="n">
        <v>46242</v>
      </c>
      <c r="F772" t="inlineStr">
        <is>
          <t>ÖSTERGÖTLANDS LÄN</t>
        </is>
      </c>
      <c r="G772" t="inlineStr">
        <is>
          <t>NORRKÖPING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9233-2023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44980</v>
      </c>
      <c r="E773" s="1" t="n">
        <v>46242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23349-2024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45453</v>
      </c>
      <c r="E774" s="1" t="n">
        <v>46242</v>
      </c>
      <c r="F774" t="inlineStr">
        <is>
          <t>ÖSTERGÖTLANDS LÄN</t>
        </is>
      </c>
      <c r="G774" t="inlineStr">
        <is>
          <t>NORRKÖPING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46242</v>
      </c>
      <c r="F775" t="inlineStr">
        <is>
          <t>ÖSTERGÖTLANDS LÄN</t>
        </is>
      </c>
      <c r="G775" t="inlineStr">
        <is>
          <t>NORRKÖPING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58884-2024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45636</v>
      </c>
      <c r="E776" s="1" t="n">
        <v>46242</v>
      </c>
      <c r="F776" t="inlineStr">
        <is>
          <t>ÖSTERGÖTLANDS LÄN</t>
        </is>
      </c>
      <c r="G776" t="inlineStr">
        <is>
          <t>NORRKÖPING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58901-2024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45636</v>
      </c>
      <c r="E777" s="1" t="n">
        <v>46242</v>
      </c>
      <c r="F777" t="inlineStr">
        <is>
          <t>ÖSTERGÖTLANDS LÄN</t>
        </is>
      </c>
      <c r="G777" t="inlineStr">
        <is>
          <t>NORRKÖPING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1506-2022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44573</v>
      </c>
      <c r="E778" s="1" t="n">
        <v>46242</v>
      </c>
      <c r="F778" t="inlineStr">
        <is>
          <t>ÖSTERGÖTLANDS LÄN</t>
        </is>
      </c>
      <c r="G778" t="inlineStr">
        <is>
          <t>NORRKÖPING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5116-2024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45330</v>
      </c>
      <c r="E779" s="1" t="n">
        <v>46242</v>
      </c>
      <c r="F779" t="inlineStr">
        <is>
          <t>ÖSTERGÖTLANDS LÄN</t>
        </is>
      </c>
      <c r="G779" t="inlineStr">
        <is>
          <t>NORRKÖPING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49617-2022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44862</v>
      </c>
      <c r="E780" s="1" t="n">
        <v>46242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44573</v>
      </c>
      <c r="E781" s="1" t="n">
        <v>46242</v>
      </c>
      <c r="F781" t="inlineStr">
        <is>
          <t>ÖSTERGÖTLANDS LÄN</t>
        </is>
      </c>
      <c r="G781" t="inlineStr">
        <is>
          <t>NORRKÖPING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30062-2023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45110</v>
      </c>
      <c r="E782" s="1" t="n">
        <v>46242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22470-2022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44713</v>
      </c>
      <c r="E783" s="1" t="n">
        <v>46242</v>
      </c>
      <c r="F783" t="inlineStr">
        <is>
          <t>ÖSTERGÖTLANDS LÄN</t>
        </is>
      </c>
      <c r="G783" t="inlineStr">
        <is>
          <t>NORRKÖPING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30784-2023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45112</v>
      </c>
      <c r="E784" s="1" t="n">
        <v>46242</v>
      </c>
      <c r="F784" t="inlineStr">
        <is>
          <t>ÖSTERGÖTLANDS LÄN</t>
        </is>
      </c>
      <c r="G784" t="inlineStr">
        <is>
          <t>NORRKÖPING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18686-2023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45043</v>
      </c>
      <c r="E785" s="1" t="n">
        <v>46242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26583-2022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44739</v>
      </c>
      <c r="E786" s="1" t="n">
        <v>46242</v>
      </c>
      <c r="F786" t="inlineStr">
        <is>
          <t>ÖSTERGÖTLANDS LÄN</t>
        </is>
      </c>
      <c r="G786" t="inlineStr">
        <is>
          <t>NORRKÖPING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45317</v>
      </c>
      <c r="E787" s="1" t="n">
        <v>46242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19702-2024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45432</v>
      </c>
      <c r="E788" s="1" t="n">
        <v>46242</v>
      </c>
      <c r="F788" t="inlineStr">
        <is>
          <t>ÖSTERGÖTLANDS LÄN</t>
        </is>
      </c>
      <c r="G788" t="inlineStr">
        <is>
          <t>NORRKÖPING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45715</v>
      </c>
      <c r="E789" s="1" t="n">
        <v>46242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11519-2025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45726</v>
      </c>
      <c r="E790" s="1" t="n">
        <v>46242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11144-2025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45723</v>
      </c>
      <c r="E791" s="1" t="n">
        <v>46242</v>
      </c>
      <c r="F791" t="inlineStr">
        <is>
          <t>ÖSTERGÖTLANDS LÄN</t>
        </is>
      </c>
      <c r="G791" t="inlineStr">
        <is>
          <t>NORRKÖPING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16696-2023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45030</v>
      </c>
      <c r="E792" s="1" t="n">
        <v>46242</v>
      </c>
      <c r="F792" t="inlineStr">
        <is>
          <t>ÖSTERGÖTLANDS LÄN</t>
        </is>
      </c>
      <c r="G792" t="inlineStr">
        <is>
          <t>NORRKÖPING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46242</v>
      </c>
      <c r="F793" t="inlineStr">
        <is>
          <t>ÖSTERGÖTLANDS LÄN</t>
        </is>
      </c>
      <c r="G793" t="inlineStr">
        <is>
          <t>NORRKÖPING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59520-2023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45254</v>
      </c>
      <c r="E794" s="1" t="n">
        <v>46242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BillerudKorsnäs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48091-2023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45205</v>
      </c>
      <c r="E795" s="1" t="n">
        <v>46242</v>
      </c>
      <c r="F795" t="inlineStr">
        <is>
          <t>ÖSTERGÖTLANDS LÄN</t>
        </is>
      </c>
      <c r="G795" t="inlineStr">
        <is>
          <t>NORRKÖPING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46738-2022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44851</v>
      </c>
      <c r="E796" s="1" t="n">
        <v>46242</v>
      </c>
      <c r="F796" t="inlineStr">
        <is>
          <t>ÖSTERGÖTLANDS LÄN</t>
        </is>
      </c>
      <c r="G796" t="inlineStr">
        <is>
          <t>NORRKÖPING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45129</v>
      </c>
      <c r="E797" s="1" t="n">
        <v>46242</v>
      </c>
      <c r="F797" t="inlineStr">
        <is>
          <t>ÖSTERGÖTLANDS LÄN</t>
        </is>
      </c>
      <c r="G797" t="inlineStr">
        <is>
          <t>NORRKÖPING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28663-2024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45478</v>
      </c>
      <c r="E798" s="1" t="n">
        <v>46242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4770-2023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44957</v>
      </c>
      <c r="E799" s="1" t="n">
        <v>46242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15640-2024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45403</v>
      </c>
      <c r="E800" s="1" t="n">
        <v>46242</v>
      </c>
      <c r="F800" t="inlineStr">
        <is>
          <t>ÖSTERGÖTLANDS LÄN</t>
        </is>
      </c>
      <c r="G800" t="inlineStr">
        <is>
          <t>NORRKÖPING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16949-2023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45033</v>
      </c>
      <c r="E801" s="1" t="n">
        <v>46242</v>
      </c>
      <c r="F801" t="inlineStr">
        <is>
          <t>ÖSTERGÖTLANDS LÄN</t>
        </is>
      </c>
      <c r="G801" t="inlineStr">
        <is>
          <t>NORRKÖPING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48758-2024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45593</v>
      </c>
      <c r="E802" s="1" t="n">
        <v>46242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17714-2023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45037</v>
      </c>
      <c r="E803" s="1" t="n">
        <v>46242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16689-2023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45030</v>
      </c>
      <c r="E804" s="1" t="n">
        <v>46242</v>
      </c>
      <c r="F804" t="inlineStr">
        <is>
          <t>ÖSTERGÖTLANDS LÄN</t>
        </is>
      </c>
      <c r="G804" t="inlineStr">
        <is>
          <t>NORRKÖPING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19114-2023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45048</v>
      </c>
      <c r="E805" s="1" t="n">
        <v>46242</v>
      </c>
      <c r="F805" t="inlineStr">
        <is>
          <t>ÖSTERGÖTLANDS LÄN</t>
        </is>
      </c>
      <c r="G805" t="inlineStr">
        <is>
          <t>NORRKÖPING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45777</v>
      </c>
      <c r="E806" s="1" t="n">
        <v>46242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21770-2025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46242</v>
      </c>
      <c r="F807" t="inlineStr">
        <is>
          <t>ÖSTERGÖTLANDS LÄN</t>
        </is>
      </c>
      <c r="G807" t="inlineStr">
        <is>
          <t>NORRKÖPING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21542-2025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45782</v>
      </c>
      <c r="E808" s="1" t="n">
        <v>46242</v>
      </c>
      <c r="F808" t="inlineStr">
        <is>
          <t>ÖSTERGÖTLANDS LÄN</t>
        </is>
      </c>
      <c r="G808" t="inlineStr">
        <is>
          <t>NORRKÖPING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45671</v>
      </c>
      <c r="E809" s="1" t="n">
        <v>46242</v>
      </c>
      <c r="F809" t="inlineStr">
        <is>
          <t>ÖSTERGÖTLANDS LÄN</t>
        </is>
      </c>
      <c r="G809" t="inlineStr">
        <is>
          <t>NORRKÖPING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21909-2025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45784</v>
      </c>
      <c r="E810" s="1" t="n">
        <v>46242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21967-2025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45784</v>
      </c>
      <c r="E811" s="1" t="n">
        <v>46242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22439-2025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46242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Naturvårdsverket</t>
        </is>
      </c>
      <c r="I812" t="n">
        <v>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22307-2025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45786</v>
      </c>
      <c r="E813" s="1" t="n">
        <v>46242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44565</v>
      </c>
      <c r="E814" s="1" t="n">
        <v>46242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Allmännings- och besparingsskogar</t>
        </is>
      </c>
      <c r="I814" t="n">
        <v>9.300000000000001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26398-2023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45092</v>
      </c>
      <c r="E815" s="1" t="n">
        <v>46242</v>
      </c>
      <c r="F815" t="inlineStr">
        <is>
          <t>ÖSTERGÖTLANDS LÄN</t>
        </is>
      </c>
      <c r="G815" t="inlineStr">
        <is>
          <t>NORRKÖPING</t>
        </is>
      </c>
      <c r="I815" t="n">
        <v>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23366-2024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45453</v>
      </c>
      <c r="E816" s="1" t="n">
        <v>46242</v>
      </c>
      <c r="F816" t="inlineStr">
        <is>
          <t>ÖSTERGÖTLANDS LÄN</t>
        </is>
      </c>
      <c r="G816" t="inlineStr">
        <is>
          <t>NORRKÖPING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23368-2024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45453</v>
      </c>
      <c r="E817" s="1" t="n">
        <v>46242</v>
      </c>
      <c r="F817" t="inlineStr">
        <is>
          <t>ÖSTERGÖTLANDS LÄN</t>
        </is>
      </c>
      <c r="G817" t="inlineStr">
        <is>
          <t>NORRKÖPING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45310</v>
      </c>
      <c r="E818" s="1" t="n">
        <v>46242</v>
      </c>
      <c r="F818" t="inlineStr">
        <is>
          <t>ÖSTERGÖTLANDS LÄN</t>
        </is>
      </c>
      <c r="G818" t="inlineStr">
        <is>
          <t>NORRKÖPING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22881-2025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45790</v>
      </c>
      <c r="E819" s="1" t="n">
        <v>46242</v>
      </c>
      <c r="F819" t="inlineStr">
        <is>
          <t>ÖSTERGÖTLANDS LÄN</t>
        </is>
      </c>
      <c r="G819" t="inlineStr">
        <is>
          <t>NORRKÖPING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60800-2023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45259</v>
      </c>
      <c r="E820" s="1" t="n">
        <v>46242</v>
      </c>
      <c r="F820" t="inlineStr">
        <is>
          <t>ÖSTERGÖTLANDS LÄN</t>
        </is>
      </c>
      <c r="G820" t="inlineStr">
        <is>
          <t>NORRKÖPING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23954-2025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45796</v>
      </c>
      <c r="E821" s="1" t="n">
        <v>46242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3018-2025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45678</v>
      </c>
      <c r="E822" s="1" t="n">
        <v>46242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24246-2025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45797</v>
      </c>
      <c r="E823" s="1" t="n">
        <v>46242</v>
      </c>
      <c r="F823" t="inlineStr">
        <is>
          <t>ÖSTERGÖTLANDS LÄN</t>
        </is>
      </c>
      <c r="G823" t="inlineStr">
        <is>
          <t>NORRKÖPING</t>
        </is>
      </c>
      <c r="I823" t="n">
        <v>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24049-2025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45796</v>
      </c>
      <c r="E824" s="1" t="n">
        <v>46242</v>
      </c>
      <c r="F824" t="inlineStr">
        <is>
          <t>ÖSTERGÖTLANDS LÄN</t>
        </is>
      </c>
      <c r="G824" t="inlineStr">
        <is>
          <t>NORRKÖPING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24555-2025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45798</v>
      </c>
      <c r="E825" s="1" t="n">
        <v>46242</v>
      </c>
      <c r="F825" t="inlineStr">
        <is>
          <t>ÖSTERGÖTLANDS LÄN</t>
        </is>
      </c>
      <c r="G825" t="inlineStr">
        <is>
          <t>NORRKÖPING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2289-2020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44130</v>
      </c>
      <c r="E826" s="1" t="n">
        <v>46242</v>
      </c>
      <c r="F826" t="inlineStr">
        <is>
          <t>ÖSTERGÖTLANDS LÄN</t>
        </is>
      </c>
      <c r="G826" t="inlineStr">
        <is>
          <t>NORRKÖPING</t>
        </is>
      </c>
      <c r="I826" t="n">
        <v>5.1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1519-2021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44313</v>
      </c>
      <c r="E827" s="1" t="n">
        <v>46242</v>
      </c>
      <c r="F827" t="inlineStr">
        <is>
          <t>ÖSTERGÖTLANDS LÄN</t>
        </is>
      </c>
      <c r="G827" t="inlineStr">
        <is>
          <t>NORRKÖPING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161-2021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44230</v>
      </c>
      <c r="E828" s="1" t="n">
        <v>46242</v>
      </c>
      <c r="F828" t="inlineStr">
        <is>
          <t>ÖSTERGÖTLANDS LÄN</t>
        </is>
      </c>
      <c r="G828" t="inlineStr">
        <is>
          <t>NORRKÖPING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45316</v>
      </c>
      <c r="E829" s="1" t="n">
        <v>46242</v>
      </c>
      <c r="F829" t="inlineStr">
        <is>
          <t>ÖSTERGÖTLANDS LÄN</t>
        </is>
      </c>
      <c r="G829" t="inlineStr">
        <is>
          <t>NORRKÖPING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1484-2022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44638</v>
      </c>
      <c r="E830" s="1" t="n">
        <v>46242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1678-2022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44649</v>
      </c>
      <c r="E831" s="1" t="n">
        <v>46242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Holmen skog AB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10364-2021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44551</v>
      </c>
      <c r="E832" s="1" t="n">
        <v>46242</v>
      </c>
      <c r="F832" t="inlineStr">
        <is>
          <t>ÖSTERGÖTLANDS LÄN</t>
        </is>
      </c>
      <c r="G832" t="inlineStr">
        <is>
          <t>NORRKÖPING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4973-2024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45629</v>
      </c>
      <c r="E833" s="1" t="n">
        <v>46242</v>
      </c>
      <c r="F833" t="inlineStr">
        <is>
          <t>ÖSTERGÖTLANDS LÄN</t>
        </is>
      </c>
      <c r="G833" t="inlineStr">
        <is>
          <t>NORRKÖPING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4011-2024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45571</v>
      </c>
      <c r="E834" s="1" t="n">
        <v>46242</v>
      </c>
      <c r="F834" t="inlineStr">
        <is>
          <t>ÖSTERGÖTLANDS LÄN</t>
        </is>
      </c>
      <c r="G834" t="inlineStr">
        <is>
          <t>NORRKÖPING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1663-2024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45432</v>
      </c>
      <c r="E835" s="1" t="n">
        <v>46242</v>
      </c>
      <c r="F835" t="inlineStr">
        <is>
          <t>ÖSTERGÖTLANDS LÄN</t>
        </is>
      </c>
      <c r="G835" t="inlineStr">
        <is>
          <t>NORRKÖPING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2481-2022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44692</v>
      </c>
      <c r="E836" s="1" t="n">
        <v>46242</v>
      </c>
      <c r="F836" t="inlineStr">
        <is>
          <t>ÖSTERGÖTLANDS LÄN</t>
        </is>
      </c>
      <c r="G836" t="inlineStr">
        <is>
          <t>NORRKÖPING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4012-2024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46242</v>
      </c>
      <c r="F837" t="inlineStr">
        <is>
          <t>ÖSTERGÖTLANDS LÄN</t>
        </is>
      </c>
      <c r="G837" t="inlineStr">
        <is>
          <t>NORRKÖPING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1486-2025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45789</v>
      </c>
      <c r="E838" s="1" t="n">
        <v>46242</v>
      </c>
      <c r="F838" t="inlineStr">
        <is>
          <t>ÖSTERGÖTLANDS LÄN</t>
        </is>
      </c>
      <c r="G838" t="inlineStr">
        <is>
          <t>NORRKÖPING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1433-2025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45784</v>
      </c>
      <c r="E839" s="1" t="n">
        <v>46242</v>
      </c>
      <c r="F839" t="inlineStr">
        <is>
          <t>ÖSTERGÖTLANDS LÄN</t>
        </is>
      </c>
      <c r="G839" t="inlineStr">
        <is>
          <t>NORRKÖPING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2026-08-08T01:53:44Z</dcterms:created>
  <dcterms:modified xmlns:dcterms="http://purl.org/dc/terms/" xmlns:xsi="http://www.w3.org/2001/XMLSchema-instance" xsi:type="dcterms:W3CDTF">2026-08-08T01:53:45Z</dcterms:modified>
</cp:coreProperties>
</file>