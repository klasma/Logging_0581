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45913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45913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45913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45913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45913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45913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45913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45913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Dvärgbägarlav
Kolflarnlav
Orange taggsvamp
Spillkråka
Svart taggsvamp
Ullticka
Dropptaggsvamp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18266-2024</t>
        </is>
      </c>
      <c r="B18" s="1" t="n">
        <v>45421</v>
      </c>
      <c r="C18" s="1" t="n">
        <v>45913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Gropticka
Kolflarnlav
Mörk kolflarnlav
Ullticka
Mindre märgborre</t>
        </is>
      </c>
      <c r="S18">
        <f>HYPERLINK("https://klasma.github.io/Logging_0581/artfynd/A 18266-2024 artfynd.xlsx", "A 18266-2024")</f>
        <v/>
      </c>
      <c r="T18">
        <f>HYPERLINK("https://klasma.github.io/Logging_0581/kartor/A 18266-2024 karta.png", "A 18266-2024")</f>
        <v/>
      </c>
      <c r="V18">
        <f>HYPERLINK("https://klasma.github.io/Logging_0581/klagomål/A 18266-2024 FSC-klagomål.docx", "A 18266-2024")</f>
        <v/>
      </c>
      <c r="W18">
        <f>HYPERLINK("https://klasma.github.io/Logging_0581/klagomålsmail/A 18266-2024 FSC-klagomål mail.docx", "A 18266-2024")</f>
        <v/>
      </c>
      <c r="X18">
        <f>HYPERLINK("https://klasma.github.io/Logging_0581/tillsyn/A 18266-2024 tillsynsbegäran.docx", "A 18266-2024")</f>
        <v/>
      </c>
      <c r="Y18">
        <f>HYPERLINK("https://klasma.github.io/Logging_0581/tillsynsmail/A 18266-2024 tillsynsbegäran mail.docx", "A 18266-2024")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45913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45913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45913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45913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45913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45913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45913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45913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45913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45913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45913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45913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45913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45913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45913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45913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45913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45913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45913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45913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45913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45913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45913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45913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45913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45913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45913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45913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45913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45913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45913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45913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45913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45913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45913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45913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45913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45913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11142-2025</t>
        </is>
      </c>
      <c r="B65" s="1" t="n">
        <v>45723.66964120371</v>
      </c>
      <c r="C65" s="1" t="n">
        <v>45913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HYPERLINK("https://klasma.github.io/Logging_0581/artfynd/A 11142-2025 artfynd.xlsx", "A 11142-2025")</f>
        <v/>
      </c>
      <c r="T65">
        <f>HYPERLINK("https://klasma.github.io/Logging_0581/kartor/A 11142-2025 karta.png", "A 11142-2025")</f>
        <v/>
      </c>
      <c r="V65">
        <f>HYPERLINK("https://klasma.github.io/Logging_0581/klagomål/A 11142-2025 FSC-klagomål.docx", "A 11142-2025")</f>
        <v/>
      </c>
      <c r="W65">
        <f>HYPERLINK("https://klasma.github.io/Logging_0581/klagomålsmail/A 11142-2025 FSC-klagomål mail.docx", "A 11142-2025")</f>
        <v/>
      </c>
      <c r="X65">
        <f>HYPERLINK("https://klasma.github.io/Logging_0581/tillsyn/A 11142-2025 tillsynsbegäran.docx", "A 11142-2025")</f>
        <v/>
      </c>
      <c r="Y65">
        <f>HYPERLINK("https://klasma.github.io/Logging_0581/tillsynsmail/A 11142-2025 tillsynsbegäran mail.docx", "A 11142-2025")</f>
        <v/>
      </c>
    </row>
    <row r="66" ht="15" customHeight="1">
      <c r="A66" t="inlineStr">
        <is>
          <t>A 46640-2024</t>
        </is>
      </c>
      <c r="B66" s="1" t="n">
        <v>45583.3479050926</v>
      </c>
      <c r="C66" s="1" t="n">
        <v>45913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HYPERLINK("https://klasma.github.io/Logging_0581/artfynd/A 46640-2024 artfynd.xlsx", "A 46640-2024")</f>
        <v/>
      </c>
      <c r="T66">
        <f>HYPERLINK("https://klasma.github.io/Logging_0581/kartor/A 46640-2024 karta.png", "A 46640-2024")</f>
        <v/>
      </c>
      <c r="V66">
        <f>HYPERLINK("https://klasma.github.io/Logging_0581/klagomål/A 46640-2024 FSC-klagomål.docx", "A 46640-2024")</f>
        <v/>
      </c>
      <c r="W66">
        <f>HYPERLINK("https://klasma.github.io/Logging_0581/klagomålsmail/A 46640-2024 FSC-klagomål mail.docx", "A 46640-2024")</f>
        <v/>
      </c>
      <c r="X66">
        <f>HYPERLINK("https://klasma.github.io/Logging_0581/tillsyn/A 46640-2024 tillsynsbegäran.docx", "A 46640-2024")</f>
        <v/>
      </c>
      <c r="Y66">
        <f>HYPERLINK("https://klasma.github.io/Logging_0581/tillsynsmail/A 46640-2024 tillsynsbegäran mail.docx", "A 46640-2024")</f>
        <v/>
      </c>
    </row>
    <row r="67" ht="15" customHeight="1">
      <c r="A67" t="inlineStr">
        <is>
          <t>A 19628-2025</t>
        </is>
      </c>
      <c r="B67" s="1" t="n">
        <v>45770.63996527778</v>
      </c>
      <c r="C67" s="1" t="n">
        <v>45913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HYPERLINK("https://klasma.github.io/Logging_0581/artfynd/A 19628-2025 artfynd.xlsx", "A 19628-2025")</f>
        <v/>
      </c>
      <c r="T67">
        <f>HYPERLINK("https://klasma.github.io/Logging_0581/kartor/A 19628-2025 karta.png", "A 19628-2025")</f>
        <v/>
      </c>
      <c r="V67">
        <f>HYPERLINK("https://klasma.github.io/Logging_0581/klagomål/A 19628-2025 FSC-klagomål.docx", "A 19628-2025")</f>
        <v/>
      </c>
      <c r="W67">
        <f>HYPERLINK("https://klasma.github.io/Logging_0581/klagomålsmail/A 19628-2025 FSC-klagomål mail.docx", "A 19628-2025")</f>
        <v/>
      </c>
      <c r="X67">
        <f>HYPERLINK("https://klasma.github.io/Logging_0581/tillsyn/A 19628-2025 tillsynsbegäran.docx", "A 19628-2025")</f>
        <v/>
      </c>
      <c r="Y67">
        <f>HYPERLINK("https://klasma.github.io/Logging_0581/tillsynsmail/A 19628-2025 tillsynsbegäran mail.docx", "A 19628-2025")</f>
        <v/>
      </c>
    </row>
    <row r="68" ht="15" customHeight="1">
      <c r="A68" t="inlineStr">
        <is>
          <t>A 16610-2024</t>
        </is>
      </c>
      <c r="B68" s="1" t="n">
        <v>45408</v>
      </c>
      <c r="C68" s="1" t="n">
        <v>45913</v>
      </c>
      <c r="D68" t="inlineStr">
        <is>
          <t>ÖSTERGÖTLANDS LÄN</t>
        </is>
      </c>
      <c r="E68" t="inlineStr">
        <is>
          <t>NORRKÖPING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HYPERLINK("https://klasma.github.io/Logging_0581/artfynd/A 16610-2024 artfynd.xlsx", "A 16610-2024")</f>
        <v/>
      </c>
      <c r="T68">
        <f>HYPERLINK("https://klasma.github.io/Logging_0581/kartor/A 16610-2024 karta.png", "A 16610-2024")</f>
        <v/>
      </c>
      <c r="U68">
        <f>HYPERLINK("https://klasma.github.io/Logging_0581/knärot/A 16610-2024 karta knärot.png", "A 16610-2024")</f>
        <v/>
      </c>
      <c r="V68">
        <f>HYPERLINK("https://klasma.github.io/Logging_0581/klagomål/A 16610-2024 FSC-klagomål.docx", "A 16610-2024")</f>
        <v/>
      </c>
      <c r="W68">
        <f>HYPERLINK("https://klasma.github.io/Logging_0581/klagomålsmail/A 16610-2024 FSC-klagomål mail.docx", "A 16610-2024")</f>
        <v/>
      </c>
      <c r="X68">
        <f>HYPERLINK("https://klasma.github.io/Logging_0581/tillsyn/A 16610-2024 tillsynsbegäran.docx", "A 16610-2024")</f>
        <v/>
      </c>
      <c r="Y68">
        <f>HYPERLINK("https://klasma.github.io/Logging_0581/tillsynsmail/A 16610-2024 tillsynsbegäran mail.docx", "A 16610-2024")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45913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45913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12145-2024</t>
        </is>
      </c>
      <c r="B71" s="1" t="n">
        <v>45376</v>
      </c>
      <c r="C71" s="1" t="n">
        <v>45913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HYPERLINK("https://klasma.github.io/Logging_0581/artfynd/A 12145-2024 artfynd.xlsx", "A 12145-2024")</f>
        <v/>
      </c>
      <c r="T71">
        <f>HYPERLINK("https://klasma.github.io/Logging_0581/kartor/A 12145-2024 karta.png", "A 12145-2024")</f>
        <v/>
      </c>
      <c r="V71">
        <f>HYPERLINK("https://klasma.github.io/Logging_0581/klagomål/A 12145-2024 FSC-klagomål.docx", "A 12145-2024")</f>
        <v/>
      </c>
      <c r="W71">
        <f>HYPERLINK("https://klasma.github.io/Logging_0581/klagomålsmail/A 12145-2024 FSC-klagomål mail.docx", "A 12145-2024")</f>
        <v/>
      </c>
      <c r="X71">
        <f>HYPERLINK("https://klasma.github.io/Logging_0581/tillsyn/A 12145-2024 tillsynsbegäran.docx", "A 12145-2024")</f>
        <v/>
      </c>
      <c r="Y71">
        <f>HYPERLINK("https://klasma.github.io/Logging_0581/tillsynsmail/A 12145-2024 tillsynsbegäran mail.docx", "A 12145-2024")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45913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55022-2022</t>
        </is>
      </c>
      <c r="B73" s="1" t="n">
        <v>44886.54420138889</v>
      </c>
      <c r="C73" s="1" t="n">
        <v>45913</v>
      </c>
      <c r="D73" t="inlineStr">
        <is>
          <t>ÖSTERGÖTLANDS LÄN</t>
        </is>
      </c>
      <c r="E73" t="inlineStr">
        <is>
          <t>NORRKÖPING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</t>
        </is>
      </c>
      <c r="S73">
        <f>HYPERLINK("https://klasma.github.io/Logging_0581/artfynd/A 55022-2022 artfynd.xlsx", "A 55022-2022")</f>
        <v/>
      </c>
      <c r="T73">
        <f>HYPERLINK("https://klasma.github.io/Logging_0581/kartor/A 55022-2022 karta.png", "A 55022-2022")</f>
        <v/>
      </c>
      <c r="V73">
        <f>HYPERLINK("https://klasma.github.io/Logging_0581/klagomål/A 55022-2022 FSC-klagomål.docx", "A 55022-2022")</f>
        <v/>
      </c>
      <c r="W73">
        <f>HYPERLINK("https://klasma.github.io/Logging_0581/klagomålsmail/A 55022-2022 FSC-klagomål mail.docx", "A 55022-2022")</f>
        <v/>
      </c>
      <c r="X73">
        <f>HYPERLINK("https://klasma.github.io/Logging_0581/tillsyn/A 55022-2022 tillsynsbegäran.docx", "A 55022-2022")</f>
        <v/>
      </c>
      <c r="Y73">
        <f>HYPERLINK("https://klasma.github.io/Logging_0581/tillsynsmail/A 55022-2022 tillsynsbegäran mail.docx", "A 55022-2022")</f>
        <v/>
      </c>
    </row>
    <row r="74" ht="15" customHeight="1">
      <c r="A74" t="inlineStr">
        <is>
          <t>A 23969-2025</t>
        </is>
      </c>
      <c r="B74" s="1" t="n">
        <v>45796</v>
      </c>
      <c r="C74" s="1" t="n">
        <v>45913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HYPERLINK("https://klasma.github.io/Logging_0581/artfynd/A 23969-2025 artfynd.xlsx", "A 23969-2025")</f>
        <v/>
      </c>
      <c r="T74">
        <f>HYPERLINK("https://klasma.github.io/Logging_0581/kartor/A 23969-2025 karta.png", "A 23969-2025")</f>
        <v/>
      </c>
      <c r="V74">
        <f>HYPERLINK("https://klasma.github.io/Logging_0581/klagomål/A 23969-2025 FSC-klagomål.docx", "A 23969-2025")</f>
        <v/>
      </c>
      <c r="W74">
        <f>HYPERLINK("https://klasma.github.io/Logging_0581/klagomålsmail/A 23969-2025 FSC-klagomål mail.docx", "A 23969-2025")</f>
        <v/>
      </c>
      <c r="X74">
        <f>HYPERLINK("https://klasma.github.io/Logging_0581/tillsyn/A 23969-2025 tillsynsbegäran.docx", "A 23969-2025")</f>
        <v/>
      </c>
      <c r="Y74">
        <f>HYPERLINK("https://klasma.github.io/Logging_0581/tillsynsmail/A 23969-2025 tillsynsbegäran mail.docx", "A 23969-2025")</f>
        <v/>
      </c>
      <c r="Z74">
        <f>HYPERLINK("https://klasma.github.io/Logging_0581/fåglar/A 23969-2025 prioriterade fågelarter.docx", "A 23969-2025")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45913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45913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45913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45913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9817-2025</t>
        </is>
      </c>
      <c r="B79" s="1" t="n">
        <v>45716.5672337963</v>
      </c>
      <c r="C79" s="1" t="n">
        <v>45913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9817-2025 artfynd.xlsx", "A 9817-2025")</f>
        <v/>
      </c>
      <c r="T79">
        <f>HYPERLINK("https://klasma.github.io/Logging_0581/kartor/A 9817-2025 karta.png", "A 9817-2025")</f>
        <v/>
      </c>
      <c r="V79">
        <f>HYPERLINK("https://klasma.github.io/Logging_0581/klagomål/A 9817-2025 FSC-klagomål.docx", "A 9817-2025")</f>
        <v/>
      </c>
      <c r="W79">
        <f>HYPERLINK("https://klasma.github.io/Logging_0581/klagomålsmail/A 9817-2025 FSC-klagomål mail.docx", "A 9817-2025")</f>
        <v/>
      </c>
      <c r="X79">
        <f>HYPERLINK("https://klasma.github.io/Logging_0581/tillsyn/A 9817-2025 tillsynsbegäran.docx", "A 9817-2025")</f>
        <v/>
      </c>
      <c r="Y79">
        <f>HYPERLINK("https://klasma.github.io/Logging_0581/tillsynsmail/A 9817-2025 tillsynsbegäran mail.docx", "A 9817-2025")</f>
        <v/>
      </c>
    </row>
    <row r="80" ht="15" customHeight="1">
      <c r="A80" t="inlineStr">
        <is>
          <t>A 11077-2025</t>
        </is>
      </c>
      <c r="B80" s="1" t="n">
        <v>45723.55663194445</v>
      </c>
      <c r="C80" s="1" t="n">
        <v>45913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HYPERLINK("https://klasma.github.io/Logging_0581/artfynd/A 11077-2025 artfynd.xlsx", "A 11077-2025")</f>
        <v/>
      </c>
      <c r="T80">
        <f>HYPERLINK("https://klasma.github.io/Logging_0581/kartor/A 11077-2025 karta.png", "A 11077-2025")</f>
        <v/>
      </c>
      <c r="U80">
        <f>HYPERLINK("https://klasma.github.io/Logging_0581/knärot/A 11077-2025 karta knärot.png", "A 11077-2025")</f>
        <v/>
      </c>
      <c r="V80">
        <f>HYPERLINK("https://klasma.github.io/Logging_0581/klagomål/A 11077-2025 FSC-klagomål.docx", "A 11077-2025")</f>
        <v/>
      </c>
      <c r="W80">
        <f>HYPERLINK("https://klasma.github.io/Logging_0581/klagomålsmail/A 11077-2025 FSC-klagomål mail.docx", "A 11077-2025")</f>
        <v/>
      </c>
      <c r="X80">
        <f>HYPERLINK("https://klasma.github.io/Logging_0581/tillsyn/A 11077-2025 tillsynsbegäran.docx", "A 11077-2025")</f>
        <v/>
      </c>
      <c r="Y80">
        <f>HYPERLINK("https://klasma.github.io/Logging_0581/tillsynsmail/A 11077-2025 tillsynsbegäran mail.docx", "A 11077-2025")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45913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45913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45913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45913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45913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45913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45913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45913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45913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19995-2025</t>
        </is>
      </c>
      <c r="B90" s="1" t="n">
        <v>45771.76943287037</v>
      </c>
      <c r="C90" s="1" t="n">
        <v>45913</v>
      </c>
      <c r="D90" t="inlineStr">
        <is>
          <t>ÖSTERGÖTLANDS LÄN</t>
        </is>
      </c>
      <c r="E90" t="inlineStr">
        <is>
          <t>NORRKÖPING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HYPERLINK("https://klasma.github.io/Logging_0581/artfynd/A 19995-2025 artfynd.xlsx", "A 19995-2025")</f>
        <v/>
      </c>
      <c r="T90">
        <f>HYPERLINK("https://klasma.github.io/Logging_0581/kartor/A 19995-2025 karta.png", "A 19995-2025")</f>
        <v/>
      </c>
      <c r="V90">
        <f>HYPERLINK("https://klasma.github.io/Logging_0581/klagomål/A 19995-2025 FSC-klagomål.docx", "A 19995-2025")</f>
        <v/>
      </c>
      <c r="W90">
        <f>HYPERLINK("https://klasma.github.io/Logging_0581/klagomålsmail/A 19995-2025 FSC-klagomål mail.docx", "A 19995-2025")</f>
        <v/>
      </c>
      <c r="X90">
        <f>HYPERLINK("https://klasma.github.io/Logging_0581/tillsyn/A 19995-2025 tillsynsbegäran.docx", "A 19995-2025")</f>
        <v/>
      </c>
      <c r="Y90">
        <f>HYPERLINK("https://klasma.github.io/Logging_0581/tillsynsmail/A 19995-2025 tillsynsbegäran mail.docx", "A 19995-2025")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45913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45913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45913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45913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45913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42548-2025</t>
        </is>
      </c>
      <c r="B96" s="1" t="n">
        <v>45905.58907407407</v>
      </c>
      <c r="C96" s="1" t="n">
        <v>45913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42548-2025 artfynd.xlsx", "A 42548-2025")</f>
        <v/>
      </c>
      <c r="T96">
        <f>HYPERLINK("https://klasma.github.io/Logging_0581/kartor/A 42548-2025 karta.png", "A 42548-2025")</f>
        <v/>
      </c>
      <c r="V96">
        <f>HYPERLINK("https://klasma.github.io/Logging_0581/klagomål/A 42548-2025 FSC-klagomål.docx", "A 42548-2025")</f>
        <v/>
      </c>
      <c r="W96">
        <f>HYPERLINK("https://klasma.github.io/Logging_0581/klagomålsmail/A 42548-2025 FSC-klagomål mail.docx", "A 42548-2025")</f>
        <v/>
      </c>
      <c r="X96">
        <f>HYPERLINK("https://klasma.github.io/Logging_0581/tillsyn/A 42548-2025 tillsynsbegäran.docx", "A 42548-2025")</f>
        <v/>
      </c>
      <c r="Y96">
        <f>HYPERLINK("https://klasma.github.io/Logging_0581/tillsynsmail/A 42548-2025 tillsynsbegäran mail.docx", "A 42548-2025")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45913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15124-2025</t>
        </is>
      </c>
      <c r="B98" s="1" t="n">
        <v>45744</v>
      </c>
      <c r="C98" s="1" t="n">
        <v>45913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15124-2025 artfynd.xlsx", "A 15124-2025")</f>
        <v/>
      </c>
      <c r="T98">
        <f>HYPERLINK("https://klasma.github.io/Logging_0581/kartor/A 15124-2025 karta.png", "A 15124-2025")</f>
        <v/>
      </c>
      <c r="V98">
        <f>HYPERLINK("https://klasma.github.io/Logging_0581/klagomål/A 15124-2025 FSC-klagomål.docx", "A 15124-2025")</f>
        <v/>
      </c>
      <c r="W98">
        <f>HYPERLINK("https://klasma.github.io/Logging_0581/klagomålsmail/A 15124-2025 FSC-klagomål mail.docx", "A 15124-2025")</f>
        <v/>
      </c>
      <c r="X98">
        <f>HYPERLINK("https://klasma.github.io/Logging_0581/tillsyn/A 15124-2025 tillsynsbegäran.docx", "A 15124-2025")</f>
        <v/>
      </c>
      <c r="Y98">
        <f>HYPERLINK("https://klasma.github.io/Logging_0581/tillsynsmail/A 15124-2025 tillsynsbegäran mail.docx", "A 15124-2025")</f>
        <v/>
      </c>
    </row>
    <row r="99" ht="15" customHeight="1">
      <c r="A99" t="inlineStr">
        <is>
          <t>A 15143-2025</t>
        </is>
      </c>
      <c r="B99" s="1" t="n">
        <v>45744.41443287037</v>
      </c>
      <c r="C99" s="1" t="n">
        <v>45913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15143-2025 artfynd.xlsx", "A 15143-2025")</f>
        <v/>
      </c>
      <c r="T99">
        <f>HYPERLINK("https://klasma.github.io/Logging_0581/kartor/A 15143-2025 karta.png", "A 15143-2025")</f>
        <v/>
      </c>
      <c r="V99">
        <f>HYPERLINK("https://klasma.github.io/Logging_0581/klagomål/A 15143-2025 FSC-klagomål.docx", "A 15143-2025")</f>
        <v/>
      </c>
      <c r="W99">
        <f>HYPERLINK("https://klasma.github.io/Logging_0581/klagomålsmail/A 15143-2025 FSC-klagomål mail.docx", "A 15143-2025")</f>
        <v/>
      </c>
      <c r="X99">
        <f>HYPERLINK("https://klasma.github.io/Logging_0581/tillsyn/A 15143-2025 tillsynsbegäran.docx", "A 15143-2025")</f>
        <v/>
      </c>
      <c r="Y99">
        <f>HYPERLINK("https://klasma.github.io/Logging_0581/tillsynsmail/A 15143-2025 tillsynsbegäran mail.docx", "A 15143-2025")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45913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55901-2020</t>
        </is>
      </c>
      <c r="B101" s="1" t="n">
        <v>44132</v>
      </c>
      <c r="C101" s="1" t="n">
        <v>45913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HYPERLINK("https://klasma.github.io/Logging_0581/artfynd/A 55901-2020 artfynd.xlsx", "A 55901-2020")</f>
        <v/>
      </c>
      <c r="T101">
        <f>HYPERLINK("https://klasma.github.io/Logging_0581/kartor/A 55901-2020 karta.png", "A 55901-2020")</f>
        <v/>
      </c>
      <c r="V101">
        <f>HYPERLINK("https://klasma.github.io/Logging_0581/klagomål/A 55901-2020 FSC-klagomål.docx", "A 55901-2020")</f>
        <v/>
      </c>
      <c r="W101">
        <f>HYPERLINK("https://klasma.github.io/Logging_0581/klagomålsmail/A 55901-2020 FSC-klagomål mail.docx", "A 55901-2020")</f>
        <v/>
      </c>
      <c r="X101">
        <f>HYPERLINK("https://klasma.github.io/Logging_0581/tillsyn/A 55901-2020 tillsynsbegäran.docx", "A 55901-2020")</f>
        <v/>
      </c>
      <c r="Y101">
        <f>HYPERLINK("https://klasma.github.io/Logging_0581/tillsynsmail/A 55901-2020 tillsynsbegäran mail.docx", "A 55901-2020")</f>
        <v/>
      </c>
    </row>
    <row r="102" ht="15" customHeight="1">
      <c r="A102" t="inlineStr">
        <is>
          <t>A 7650-2024</t>
        </is>
      </c>
      <c r="B102" s="1" t="n">
        <v>45348.68336805556</v>
      </c>
      <c r="C102" s="1" t="n">
        <v>45913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7650-2024 artfynd.xlsx", "A 7650-2024")</f>
        <v/>
      </c>
      <c r="T102">
        <f>HYPERLINK("https://klasma.github.io/Logging_0581/kartor/A 7650-2024 karta.png", "A 7650-2024")</f>
        <v/>
      </c>
      <c r="V102">
        <f>HYPERLINK("https://klasma.github.io/Logging_0581/klagomål/A 7650-2024 FSC-klagomål.docx", "A 7650-2024")</f>
        <v/>
      </c>
      <c r="W102">
        <f>HYPERLINK("https://klasma.github.io/Logging_0581/klagomålsmail/A 7650-2024 FSC-klagomål mail.docx", "A 7650-2024")</f>
        <v/>
      </c>
      <c r="X102">
        <f>HYPERLINK("https://klasma.github.io/Logging_0581/tillsyn/A 7650-2024 tillsynsbegäran.docx", "A 7650-2024")</f>
        <v/>
      </c>
      <c r="Y102">
        <f>HYPERLINK("https://klasma.github.io/Logging_0581/tillsynsmail/A 7650-2024 tillsynsbegäran mail.docx", "A 7650-2024")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45913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45913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45913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61707-2020</t>
        </is>
      </c>
      <c r="B107" s="1" t="n">
        <v>44158</v>
      </c>
      <c r="C107" s="1" t="n">
        <v>45913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45913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45913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45913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45913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45913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45913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45913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45913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45913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45913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45913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45913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45913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45913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45913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45913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45913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45913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45913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45913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45913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45913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45913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45913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45913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45913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45913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45913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45913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45913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45913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45913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45913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45913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31303-2021</t>
        </is>
      </c>
      <c r="B158" s="1" t="n">
        <v>44368.88704861111</v>
      </c>
      <c r="C158" s="1" t="n">
        <v>45913</v>
      </c>
      <c r="D158" t="inlineStr">
        <is>
          <t>ÖSTERGÖTLANDS LÄN</t>
        </is>
      </c>
      <c r="E158" t="inlineStr">
        <is>
          <t>NORRKÖPING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45913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45913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45913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45913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45913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45913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45913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45913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45913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2264-2021</t>
        </is>
      </c>
      <c r="B176" s="1" t="n">
        <v>44211</v>
      </c>
      <c r="C176" s="1" t="n">
        <v>45913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45913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45913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45913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45913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45913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45913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45913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45913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45913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45913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45913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45913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45913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54958-2022</t>
        </is>
      </c>
      <c r="B194" s="1" t="n">
        <v>44886.47697916667</v>
      </c>
      <c r="C194" s="1" t="n">
        <v>45913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45913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45913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24498-2022</t>
        </is>
      </c>
      <c r="B197" s="1" t="n">
        <v>44726</v>
      </c>
      <c r="C197" s="1" t="n">
        <v>45913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45913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56032-2022</t>
        </is>
      </c>
      <c r="B199" s="1" t="n">
        <v>44889.55255787037</v>
      </c>
      <c r="C199" s="1" t="n">
        <v>45913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22886-2021</t>
        </is>
      </c>
      <c r="B200" s="1" t="n">
        <v>44328</v>
      </c>
      <c r="C200" s="1" t="n">
        <v>45913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45913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47651-2020</t>
        </is>
      </c>
      <c r="B202" s="1" t="n">
        <v>44098</v>
      </c>
      <c r="C202" s="1" t="n">
        <v>45913</v>
      </c>
      <c r="D202" t="inlineStr">
        <is>
          <t>ÖSTERGÖTLANDS LÄN</t>
        </is>
      </c>
      <c r="E202" t="inlineStr">
        <is>
          <t>NORRKÖPING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45913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45913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45913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29128-2021</t>
        </is>
      </c>
      <c r="B206" s="1" t="n">
        <v>44358</v>
      </c>
      <c r="C206" s="1" t="n">
        <v>45913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5725-2022</t>
        </is>
      </c>
      <c r="B207" s="1" t="n">
        <v>44596</v>
      </c>
      <c r="C207" s="1" t="n">
        <v>45913</v>
      </c>
      <c r="D207" t="inlineStr">
        <is>
          <t>ÖSTERGÖTLANDS LÄN</t>
        </is>
      </c>
      <c r="E207" t="inlineStr">
        <is>
          <t>NORRKÖPING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53444-2021</t>
        </is>
      </c>
      <c r="B208" s="1" t="n">
        <v>44468</v>
      </c>
      <c r="C208" s="1" t="n">
        <v>45913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60210-2020</t>
        </is>
      </c>
      <c r="B209" s="1" t="n">
        <v>44152</v>
      </c>
      <c r="C209" s="1" t="n">
        <v>45913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30056-2022</t>
        </is>
      </c>
      <c r="B210" s="1" t="n">
        <v>44756</v>
      </c>
      <c r="C210" s="1" t="n">
        <v>45913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45913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63102-2020</t>
        </is>
      </c>
      <c r="B213" s="1" t="n">
        <v>44162</v>
      </c>
      <c r="C213" s="1" t="n">
        <v>45913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56528-2020</t>
        </is>
      </c>
      <c r="B214" s="1" t="n">
        <v>44137</v>
      </c>
      <c r="C214" s="1" t="n">
        <v>45913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56530-2020</t>
        </is>
      </c>
      <c r="B215" s="1" t="n">
        <v>44137</v>
      </c>
      <c r="C215" s="1" t="n">
        <v>45913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43270-2021</t>
        </is>
      </c>
      <c r="B216" s="1" t="n">
        <v>44432</v>
      </c>
      <c r="C216" s="1" t="n">
        <v>45913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45913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3164-2022</t>
        </is>
      </c>
      <c r="B218" s="1" t="n">
        <v>44582</v>
      </c>
      <c r="C218" s="1" t="n">
        <v>45913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26929-2022</t>
        </is>
      </c>
      <c r="B219" s="1" t="n">
        <v>44740</v>
      </c>
      <c r="C219" s="1" t="n">
        <v>45913</v>
      </c>
      <c r="D219" t="inlineStr">
        <is>
          <t>ÖSTERGÖTLANDS LÄN</t>
        </is>
      </c>
      <c r="E219" t="inlineStr">
        <is>
          <t>NORRKÖPING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45913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1217-2021</t>
        </is>
      </c>
      <c r="B221" s="1" t="n">
        <v>44208</v>
      </c>
      <c r="C221" s="1" t="n">
        <v>45913</v>
      </c>
      <c r="D221" t="inlineStr">
        <is>
          <t>ÖSTERGÖTLANDS LÄN</t>
        </is>
      </c>
      <c r="E221" t="inlineStr">
        <is>
          <t>NORRKÖPING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9764-2021</t>
        </is>
      </c>
      <c r="B222" s="1" t="n">
        <v>44252</v>
      </c>
      <c r="C222" s="1" t="n">
        <v>45913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45913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45913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45913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45913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45913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45913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18009-2021</t>
        </is>
      </c>
      <c r="B229" s="1" t="n">
        <v>44302</v>
      </c>
      <c r="C229" s="1" t="n">
        <v>45913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25280-2022</t>
        </is>
      </c>
      <c r="B230" s="1" t="n">
        <v>44730</v>
      </c>
      <c r="C230" s="1" t="n">
        <v>45913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45913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27708-2021</t>
        </is>
      </c>
      <c r="B232" s="1" t="n">
        <v>44354.45140046296</v>
      </c>
      <c r="C232" s="1" t="n">
        <v>45913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18650-2023</t>
        </is>
      </c>
      <c r="B233" s="1" t="n">
        <v>45043.53597222222</v>
      </c>
      <c r="C233" s="1" t="n">
        <v>45913</v>
      </c>
      <c r="D233" t="inlineStr">
        <is>
          <t>ÖSTERGÖTLANDS LÄN</t>
        </is>
      </c>
      <c r="E233" t="inlineStr">
        <is>
          <t>NORRKÖPING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50117-2023</t>
        </is>
      </c>
      <c r="B234" s="1" t="n">
        <v>45215.63818287037</v>
      </c>
      <c r="C234" s="1" t="n">
        <v>45913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45913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50157-2022</t>
        </is>
      </c>
      <c r="B236" s="1" t="n">
        <v>44865</v>
      </c>
      <c r="C236" s="1" t="n">
        <v>45913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22956-2023</t>
        </is>
      </c>
      <c r="B237" s="1" t="n">
        <v>45072</v>
      </c>
      <c r="C237" s="1" t="n">
        <v>45913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49799-2022</t>
        </is>
      </c>
      <c r="B238" s="1" t="n">
        <v>44862</v>
      </c>
      <c r="C238" s="1" t="n">
        <v>45913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29871-2021</t>
        </is>
      </c>
      <c r="B239" s="1" t="n">
        <v>44362</v>
      </c>
      <c r="C239" s="1" t="n">
        <v>45913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18667-2023</t>
        </is>
      </c>
      <c r="B240" s="1" t="n">
        <v>45043</v>
      </c>
      <c r="C240" s="1" t="n">
        <v>45913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8426-2025</t>
        </is>
      </c>
      <c r="B241" s="1" t="n">
        <v>45709.4119212963</v>
      </c>
      <c r="C241" s="1" t="n">
        <v>45913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45913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45913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3011-2025</t>
        </is>
      </c>
      <c r="B244" s="1" t="n">
        <v>45678.57045138889</v>
      </c>
      <c r="C244" s="1" t="n">
        <v>45913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2169-2022</t>
        </is>
      </c>
      <c r="B245" s="1" t="n">
        <v>44578</v>
      </c>
      <c r="C245" s="1" t="n">
        <v>45913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BillerudKorsnäs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45913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45913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22489-2021</t>
        </is>
      </c>
      <c r="B248" s="1" t="n">
        <v>44326</v>
      </c>
      <c r="C248" s="1" t="n">
        <v>45913</v>
      </c>
      <c r="D248" t="inlineStr">
        <is>
          <t>ÖSTERGÖTLANDS LÄN</t>
        </is>
      </c>
      <c r="E248" t="inlineStr">
        <is>
          <t>NORRKÖPING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22492-2021</t>
        </is>
      </c>
      <c r="B249" s="1" t="n">
        <v>44326</v>
      </c>
      <c r="C249" s="1" t="n">
        <v>45913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22493-2021</t>
        </is>
      </c>
      <c r="B250" s="1" t="n">
        <v>44326</v>
      </c>
      <c r="C250" s="1" t="n">
        <v>45913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48591-2021</t>
        </is>
      </c>
      <c r="B251" s="1" t="n">
        <v>44452</v>
      </c>
      <c r="C251" s="1" t="n">
        <v>45913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13275-2021</t>
        </is>
      </c>
      <c r="B252" s="1" t="n">
        <v>44272</v>
      </c>
      <c r="C252" s="1" t="n">
        <v>45913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13656-2025</t>
        </is>
      </c>
      <c r="B253" s="1" t="n">
        <v>45736.72646990741</v>
      </c>
      <c r="C253" s="1" t="n">
        <v>45913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36954-2022</t>
        </is>
      </c>
      <c r="B254" s="1" t="n">
        <v>44805</v>
      </c>
      <c r="C254" s="1" t="n">
        <v>45913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45913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10798-2024</t>
        </is>
      </c>
      <c r="B256" s="1" t="n">
        <v>45369.62108796297</v>
      </c>
      <c r="C256" s="1" t="n">
        <v>45913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5938-2024</t>
        </is>
      </c>
      <c r="B257" s="1" t="n">
        <v>45336</v>
      </c>
      <c r="C257" s="1" t="n">
        <v>45913</v>
      </c>
      <c r="D257" t="inlineStr">
        <is>
          <t>ÖSTERGÖTLANDS LÄN</t>
        </is>
      </c>
      <c r="E257" t="inlineStr">
        <is>
          <t>NORRKÖPING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14509-2025</t>
        </is>
      </c>
      <c r="B258" s="1" t="n">
        <v>45741.63417824074</v>
      </c>
      <c r="C258" s="1" t="n">
        <v>45913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26388-2023</t>
        </is>
      </c>
      <c r="B259" s="1" t="n">
        <v>45092</v>
      </c>
      <c r="C259" s="1" t="n">
        <v>45913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17714-2023</t>
        </is>
      </c>
      <c r="B260" s="1" t="n">
        <v>45037</v>
      </c>
      <c r="C260" s="1" t="n">
        <v>45913</v>
      </c>
      <c r="D260" t="inlineStr">
        <is>
          <t>ÖSTERGÖTLANDS LÄN</t>
        </is>
      </c>
      <c r="E260" t="inlineStr">
        <is>
          <t>NORRKÖPING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10791-2024</t>
        </is>
      </c>
      <c r="B261" s="1" t="n">
        <v>45369.61550925926</v>
      </c>
      <c r="C261" s="1" t="n">
        <v>45913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45913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62475-2023</t>
        </is>
      </c>
      <c r="B263" s="1" t="n">
        <v>45268</v>
      </c>
      <c r="C263" s="1" t="n">
        <v>45913</v>
      </c>
      <c r="D263" t="inlineStr">
        <is>
          <t>ÖSTERGÖTLANDS LÄN</t>
        </is>
      </c>
      <c r="E263" t="inlineStr">
        <is>
          <t>NORRKÖPING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14587-2025</t>
        </is>
      </c>
      <c r="B264" s="1" t="n">
        <v>45742.32277777778</v>
      </c>
      <c r="C264" s="1" t="n">
        <v>45913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17813-2025</t>
        </is>
      </c>
      <c r="B265" s="1" t="n">
        <v>45758.56056712963</v>
      </c>
      <c r="C265" s="1" t="n">
        <v>45913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31838-2023</t>
        </is>
      </c>
      <c r="B266" s="1" t="n">
        <v>45106</v>
      </c>
      <c r="C266" s="1" t="n">
        <v>45913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12538-2024</t>
        </is>
      </c>
      <c r="B267" s="1" t="n">
        <v>45379</v>
      </c>
      <c r="C267" s="1" t="n">
        <v>45913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8432-2025</t>
        </is>
      </c>
      <c r="B268" s="1" t="n">
        <v>45709.42859953704</v>
      </c>
      <c r="C268" s="1" t="n">
        <v>45913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56210-2023</t>
        </is>
      </c>
      <c r="B269" s="1" t="n">
        <v>45240</v>
      </c>
      <c r="C269" s="1" t="n">
        <v>45913</v>
      </c>
      <c r="D269" t="inlineStr">
        <is>
          <t>ÖSTERGÖTLANDS LÄN</t>
        </is>
      </c>
      <c r="E269" t="inlineStr">
        <is>
          <t>NORRKÖPING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45913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49617-2022</t>
        </is>
      </c>
      <c r="B271" s="1" t="n">
        <v>44862</v>
      </c>
      <c r="C271" s="1" t="n">
        <v>45913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61043-2024</t>
        </is>
      </c>
      <c r="B272" s="1" t="n">
        <v>45644</v>
      </c>
      <c r="C272" s="1" t="n">
        <v>45913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57405-2024</t>
        </is>
      </c>
      <c r="B273" s="1" t="n">
        <v>45629.7202662037</v>
      </c>
      <c r="C273" s="1" t="n">
        <v>45913</v>
      </c>
      <c r="D273" t="inlineStr">
        <is>
          <t>ÖSTERGÖTLANDS LÄN</t>
        </is>
      </c>
      <c r="E273" t="inlineStr">
        <is>
          <t>NORRKÖPING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45913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18714-2025</t>
        </is>
      </c>
      <c r="B275" s="1" t="n">
        <v>45763.64096064815</v>
      </c>
      <c r="C275" s="1" t="n">
        <v>45913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6490-2024</t>
        </is>
      </c>
      <c r="B276" s="1" t="n">
        <v>45339.5277199074</v>
      </c>
      <c r="C276" s="1" t="n">
        <v>45913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39401-2021</t>
        </is>
      </c>
      <c r="B277" s="1" t="n">
        <v>44414</v>
      </c>
      <c r="C277" s="1" t="n">
        <v>45913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16590-2024</t>
        </is>
      </c>
      <c r="B278" s="1" t="n">
        <v>45408.49326388889</v>
      </c>
      <c r="C278" s="1" t="n">
        <v>45913</v>
      </c>
      <c r="D278" t="inlineStr">
        <is>
          <t>ÖSTERGÖTLANDS LÄN</t>
        </is>
      </c>
      <c r="E278" t="inlineStr">
        <is>
          <t>NORRKÖPING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59520-2023</t>
        </is>
      </c>
      <c r="B279" s="1" t="n">
        <v>45254</v>
      </c>
      <c r="C279" s="1" t="n">
        <v>45913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BillerudKorsnäs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13146-2024</t>
        </is>
      </c>
      <c r="B280" s="1" t="n">
        <v>45386</v>
      </c>
      <c r="C280" s="1" t="n">
        <v>45913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11520-2025</t>
        </is>
      </c>
      <c r="B281" s="1" t="n">
        <v>45726.91224537037</v>
      </c>
      <c r="C281" s="1" t="n">
        <v>45913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14447-2025</t>
        </is>
      </c>
      <c r="B282" s="1" t="n">
        <v>45741.53599537037</v>
      </c>
      <c r="C282" s="1" t="n">
        <v>45913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51877-2021</t>
        </is>
      </c>
      <c r="B283" s="1" t="n">
        <v>44462</v>
      </c>
      <c r="C283" s="1" t="n">
        <v>45913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21093-2025</t>
        </is>
      </c>
      <c r="B284" s="1" t="n">
        <v>45777.61991898148</v>
      </c>
      <c r="C284" s="1" t="n">
        <v>45913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7709-2022</t>
        </is>
      </c>
      <c r="B285" s="1" t="n">
        <v>44607</v>
      </c>
      <c r="C285" s="1" t="n">
        <v>45913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21863-2021</t>
        </is>
      </c>
      <c r="B286" s="1" t="n">
        <v>44322</v>
      </c>
      <c r="C286" s="1" t="n">
        <v>45913</v>
      </c>
      <c r="D286" t="inlineStr">
        <is>
          <t>ÖSTERGÖTLANDS LÄN</t>
        </is>
      </c>
      <c r="E286" t="inlineStr">
        <is>
          <t>NORRKÖPING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25951-2021</t>
        </is>
      </c>
      <c r="B287" s="1" t="n">
        <v>44344.49251157408</v>
      </c>
      <c r="C287" s="1" t="n">
        <v>45913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30236-2021</t>
        </is>
      </c>
      <c r="B288" s="1" t="n">
        <v>44363</v>
      </c>
      <c r="C288" s="1" t="n">
        <v>45913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21542-2025</t>
        </is>
      </c>
      <c r="B289" s="1" t="n">
        <v>45782.66719907407</v>
      </c>
      <c r="C289" s="1" t="n">
        <v>45913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3650-2023</t>
        </is>
      </c>
      <c r="B290" s="1" t="n">
        <v>44950</v>
      </c>
      <c r="C290" s="1" t="n">
        <v>45913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26391-2023</t>
        </is>
      </c>
      <c r="B291" s="1" t="n">
        <v>45092.35266203704</v>
      </c>
      <c r="C291" s="1" t="n">
        <v>45913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21770-2025</t>
        </is>
      </c>
      <c r="B292" s="1" t="n">
        <v>45783</v>
      </c>
      <c r="C292" s="1" t="n">
        <v>45913</v>
      </c>
      <c r="D292" t="inlineStr">
        <is>
          <t>ÖSTERGÖTLANDS LÄN</t>
        </is>
      </c>
      <c r="E292" t="inlineStr">
        <is>
          <t>NORRKÖPING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45913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45913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21909-2025</t>
        </is>
      </c>
      <c r="B295" s="1" t="n">
        <v>45784</v>
      </c>
      <c r="C295" s="1" t="n">
        <v>45913</v>
      </c>
      <c r="D295" t="inlineStr">
        <is>
          <t>ÖSTERGÖTLANDS LÄN</t>
        </is>
      </c>
      <c r="E295" t="inlineStr">
        <is>
          <t>NORRKÖPING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21967-2025</t>
        </is>
      </c>
      <c r="B296" s="1" t="n">
        <v>45784.62866898148</v>
      </c>
      <c r="C296" s="1" t="n">
        <v>45913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3329-2024</t>
        </is>
      </c>
      <c r="B297" s="1" t="n">
        <v>45317</v>
      </c>
      <c r="C297" s="1" t="n">
        <v>45913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21677-2025</t>
        </is>
      </c>
      <c r="B298" s="1" t="n">
        <v>45783.48681712963</v>
      </c>
      <c r="C298" s="1" t="n">
        <v>45913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16703-2023</t>
        </is>
      </c>
      <c r="B299" s="1" t="n">
        <v>45030.62740740741</v>
      </c>
      <c r="C299" s="1" t="n">
        <v>45913</v>
      </c>
      <c r="D299" t="inlineStr">
        <is>
          <t>ÖSTERGÖTLANDS LÄN</t>
        </is>
      </c>
      <c r="E299" t="inlineStr">
        <is>
          <t>NORRKÖPING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16708-2023</t>
        </is>
      </c>
      <c r="B300" s="1" t="n">
        <v>45030</v>
      </c>
      <c r="C300" s="1" t="n">
        <v>45913</v>
      </c>
      <c r="D300" t="inlineStr">
        <is>
          <t>ÖSTERGÖTLANDS LÄN</t>
        </is>
      </c>
      <c r="E300" t="inlineStr">
        <is>
          <t>NORRKÖPING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9528-2024</t>
        </is>
      </c>
      <c r="B301" s="1" t="n">
        <v>45359.68173611111</v>
      </c>
      <c r="C301" s="1" t="n">
        <v>45913</v>
      </c>
      <c r="D301" t="inlineStr">
        <is>
          <t>ÖSTERGÖTLANDS LÄN</t>
        </is>
      </c>
      <c r="E301" t="inlineStr">
        <is>
          <t>NORRKÖPING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11612-2023</t>
        </is>
      </c>
      <c r="B302" s="1" t="n">
        <v>44994.41405092592</v>
      </c>
      <c r="C302" s="1" t="n">
        <v>45913</v>
      </c>
      <c r="D302" t="inlineStr">
        <is>
          <t>ÖSTERGÖTLANDS LÄN</t>
        </is>
      </c>
      <c r="E302" t="inlineStr">
        <is>
          <t>NORRKÖPING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5572-2024</t>
        </is>
      </c>
      <c r="B303" s="1" t="n">
        <v>45334</v>
      </c>
      <c r="C303" s="1" t="n">
        <v>45913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33341-2023</t>
        </is>
      </c>
      <c r="B304" s="1" t="n">
        <v>45128</v>
      </c>
      <c r="C304" s="1" t="n">
        <v>45913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30156-2023</t>
        </is>
      </c>
      <c r="B305" s="1" t="n">
        <v>45110.56027777777</v>
      </c>
      <c r="C305" s="1" t="n">
        <v>45913</v>
      </c>
      <c r="D305" t="inlineStr">
        <is>
          <t>ÖSTERGÖTLANDS LÄN</t>
        </is>
      </c>
      <c r="E305" t="inlineStr">
        <is>
          <t>NORRKÖPING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30159-2023</t>
        </is>
      </c>
      <c r="B306" s="1" t="n">
        <v>45110</v>
      </c>
      <c r="C306" s="1" t="n">
        <v>45913</v>
      </c>
      <c r="D306" t="inlineStr">
        <is>
          <t>ÖSTERGÖTLANDS LÄN</t>
        </is>
      </c>
      <c r="E306" t="inlineStr">
        <is>
          <t>NORRKÖPING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49456-2022</t>
        </is>
      </c>
      <c r="B307" s="1" t="n">
        <v>44861</v>
      </c>
      <c r="C307" s="1" t="n">
        <v>45913</v>
      </c>
      <c r="D307" t="inlineStr">
        <is>
          <t>ÖSTERGÖTLANDS LÄN</t>
        </is>
      </c>
      <c r="E307" t="inlineStr">
        <is>
          <t>NORRKÖPING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19739-2024</t>
        </is>
      </c>
      <c r="B308" s="1" t="n">
        <v>45432.6291550926</v>
      </c>
      <c r="C308" s="1" t="n">
        <v>45913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18592-2024</t>
        </is>
      </c>
      <c r="B309" s="1" t="n">
        <v>45425.89037037037</v>
      </c>
      <c r="C309" s="1" t="n">
        <v>45913</v>
      </c>
      <c r="D309" t="inlineStr">
        <is>
          <t>ÖSTERGÖTLANDS LÄN</t>
        </is>
      </c>
      <c r="E309" t="inlineStr">
        <is>
          <t>NORRKÖPING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45913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34393-2023</t>
        </is>
      </c>
      <c r="B311" s="1" t="n">
        <v>45132</v>
      </c>
      <c r="C311" s="1" t="n">
        <v>45913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45913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26398-2023</t>
        </is>
      </c>
      <c r="B313" s="1" t="n">
        <v>45092.36126157407</v>
      </c>
      <c r="C313" s="1" t="n">
        <v>45913</v>
      </c>
      <c r="D313" t="inlineStr">
        <is>
          <t>ÖSTERGÖTLANDS LÄN</t>
        </is>
      </c>
      <c r="E313" t="inlineStr">
        <is>
          <t>NORRKÖPING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45913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28600-2024</t>
        </is>
      </c>
      <c r="B315" s="1" t="n">
        <v>45478.42675925926</v>
      </c>
      <c r="C315" s="1" t="n">
        <v>45913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63961-2023</t>
        </is>
      </c>
      <c r="B316" s="1" t="n">
        <v>45278</v>
      </c>
      <c r="C316" s="1" t="n">
        <v>45913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48462-2022</t>
        </is>
      </c>
      <c r="B317" s="1" t="n">
        <v>44858</v>
      </c>
      <c r="C317" s="1" t="n">
        <v>45913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10989-2024</t>
        </is>
      </c>
      <c r="B318" s="1" t="n">
        <v>45370</v>
      </c>
      <c r="C318" s="1" t="n">
        <v>45913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22307-2025</t>
        </is>
      </c>
      <c r="B319" s="1" t="n">
        <v>45786.36358796297</v>
      </c>
      <c r="C319" s="1" t="n">
        <v>45913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1884-2025</t>
        </is>
      </c>
      <c r="B320" s="1" t="n">
        <v>45671.62931712963</v>
      </c>
      <c r="C320" s="1" t="n">
        <v>45913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4743-2023</t>
        </is>
      </c>
      <c r="B321" s="1" t="n">
        <v>44957</v>
      </c>
      <c r="C321" s="1" t="n">
        <v>45913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45913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1549-2025</t>
        </is>
      </c>
      <c r="B323" s="1" t="n">
        <v>45670</v>
      </c>
      <c r="C323" s="1" t="n">
        <v>45913</v>
      </c>
      <c r="D323" t="inlineStr">
        <is>
          <t>ÖSTERGÖTLANDS LÄN</t>
        </is>
      </c>
      <c r="E323" t="inlineStr">
        <is>
          <t>NORRKÖPING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6614-2021</t>
        </is>
      </c>
      <c r="B324" s="1" t="n">
        <v>44236</v>
      </c>
      <c r="C324" s="1" t="n">
        <v>45913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59768-2021</t>
        </is>
      </c>
      <c r="B325" s="1" t="n">
        <v>44494</v>
      </c>
      <c r="C325" s="1" t="n">
        <v>45913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8220-2023</t>
        </is>
      </c>
      <c r="B326" s="1" t="n">
        <v>44974.564375</v>
      </c>
      <c r="C326" s="1" t="n">
        <v>45913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19785-2021</t>
        </is>
      </c>
      <c r="B327" s="1" t="n">
        <v>44313</v>
      </c>
      <c r="C327" s="1" t="n">
        <v>45913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45913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19785-2025</t>
        </is>
      </c>
      <c r="B329" s="1" t="n">
        <v>45771.44005787037</v>
      </c>
      <c r="C329" s="1" t="n">
        <v>45913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47484-2024</t>
        </is>
      </c>
      <c r="B330" s="1" t="n">
        <v>45587.58498842592</v>
      </c>
      <c r="C330" s="1" t="n">
        <v>45913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49295-2024</t>
        </is>
      </c>
      <c r="B331" s="1" t="n">
        <v>45595</v>
      </c>
      <c r="C331" s="1" t="n">
        <v>45913</v>
      </c>
      <c r="D331" t="inlineStr">
        <is>
          <t>ÖSTERGÖTLANDS LÄN</t>
        </is>
      </c>
      <c r="E331" t="inlineStr">
        <is>
          <t>NORRKÖPING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59221-2024</t>
        </is>
      </c>
      <c r="B332" s="1" t="n">
        <v>45637</v>
      </c>
      <c r="C332" s="1" t="n">
        <v>45913</v>
      </c>
      <c r="D332" t="inlineStr">
        <is>
          <t>ÖSTERGÖTLANDS LÄN</t>
        </is>
      </c>
      <c r="E332" t="inlineStr">
        <is>
          <t>NORRKÖPING</t>
        </is>
      </c>
      <c r="G332" t="n">
        <v>24.7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48758-2024</t>
        </is>
      </c>
      <c r="B333" s="1" t="n">
        <v>45593.59819444444</v>
      </c>
      <c r="C333" s="1" t="n">
        <v>45913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2246-2025</t>
        </is>
      </c>
      <c r="B334" s="1" t="n">
        <v>45673.49019675926</v>
      </c>
      <c r="C334" s="1" t="n">
        <v>45913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23366-2024</t>
        </is>
      </c>
      <c r="B335" s="1" t="n">
        <v>45453.54733796296</v>
      </c>
      <c r="C335" s="1" t="n">
        <v>45913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23368-2024</t>
        </is>
      </c>
      <c r="B336" s="1" t="n">
        <v>45453.55123842593</v>
      </c>
      <c r="C336" s="1" t="n">
        <v>45913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33170-2023</t>
        </is>
      </c>
      <c r="B337" s="1" t="n">
        <v>45126</v>
      </c>
      <c r="C337" s="1" t="n">
        <v>45913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33171-2023</t>
        </is>
      </c>
      <c r="B338" s="1" t="n">
        <v>45126</v>
      </c>
      <c r="C338" s="1" t="n">
        <v>45913</v>
      </c>
      <c r="D338" t="inlineStr">
        <is>
          <t>ÖSTERGÖTLANDS LÄN</t>
        </is>
      </c>
      <c r="E338" t="inlineStr">
        <is>
          <t>NORRKÖPING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27579-2023</t>
        </is>
      </c>
      <c r="B339" s="1" t="n">
        <v>45093</v>
      </c>
      <c r="C339" s="1" t="n">
        <v>45913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34977-2023</t>
        </is>
      </c>
      <c r="B340" s="1" t="n">
        <v>45141</v>
      </c>
      <c r="C340" s="1" t="n">
        <v>45913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22439-2025</t>
        </is>
      </c>
      <c r="B341" s="1" t="n">
        <v>45786</v>
      </c>
      <c r="C341" s="1" t="n">
        <v>45913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Naturvårdsverket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22613-2025</t>
        </is>
      </c>
      <c r="B342" s="1" t="n">
        <v>45789.42597222222</v>
      </c>
      <c r="C342" s="1" t="n">
        <v>45913</v>
      </c>
      <c r="D342" t="inlineStr">
        <is>
          <t>ÖSTERGÖTLANDS LÄN</t>
        </is>
      </c>
      <c r="E342" t="inlineStr">
        <is>
          <t>NORRKÖPING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421-2022</t>
        </is>
      </c>
      <c r="B343" s="1" t="n">
        <v>44565</v>
      </c>
      <c r="C343" s="1" t="n">
        <v>45913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2288-2024</t>
        </is>
      </c>
      <c r="B344" s="1" t="n">
        <v>45310.41982638889</v>
      </c>
      <c r="C344" s="1" t="n">
        <v>45913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35148-2023</t>
        </is>
      </c>
      <c r="B345" s="1" t="n">
        <v>45145</v>
      </c>
      <c r="C345" s="1" t="n">
        <v>45913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15190-2024</t>
        </is>
      </c>
      <c r="B346" s="1" t="n">
        <v>45400</v>
      </c>
      <c r="C346" s="1" t="n">
        <v>45913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22881-2025</t>
        </is>
      </c>
      <c r="B347" s="1" t="n">
        <v>45790</v>
      </c>
      <c r="C347" s="1" t="n">
        <v>45913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1854-2025</t>
        </is>
      </c>
      <c r="B348" s="1" t="n">
        <v>45671.59245370371</v>
      </c>
      <c r="C348" s="1" t="n">
        <v>45913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29485-2021</t>
        </is>
      </c>
      <c r="B349" s="1" t="n">
        <v>44361</v>
      </c>
      <c r="C349" s="1" t="n">
        <v>45913</v>
      </c>
      <c r="D349" t="inlineStr">
        <is>
          <t>ÖSTERGÖTLANDS LÄN</t>
        </is>
      </c>
      <c r="E349" t="inlineStr">
        <is>
          <t>NORRKÖPING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58525-2021</t>
        </is>
      </c>
      <c r="B350" s="1" t="n">
        <v>44488</v>
      </c>
      <c r="C350" s="1" t="n">
        <v>45913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27288-2023</t>
        </is>
      </c>
      <c r="B351" s="1" t="n">
        <v>45096</v>
      </c>
      <c r="C351" s="1" t="n">
        <v>45913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15640-2024</t>
        </is>
      </c>
      <c r="B352" s="1" t="n">
        <v>45403.86942129629</v>
      </c>
      <c r="C352" s="1" t="n">
        <v>45913</v>
      </c>
      <c r="D352" t="inlineStr">
        <is>
          <t>ÖSTERGÖTLANDS LÄN</t>
        </is>
      </c>
      <c r="E352" t="inlineStr">
        <is>
          <t>NORRKÖPING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1146-2023</t>
        </is>
      </c>
      <c r="B353" s="1" t="n">
        <v>44935.64165509259</v>
      </c>
      <c r="C353" s="1" t="n">
        <v>45913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31359-2023</t>
        </is>
      </c>
      <c r="B354" s="1" t="n">
        <v>45114</v>
      </c>
      <c r="C354" s="1" t="n">
        <v>45913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31361-2023</t>
        </is>
      </c>
      <c r="B355" s="1" t="n">
        <v>45114</v>
      </c>
      <c r="C355" s="1" t="n">
        <v>45913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7742-2025</t>
        </is>
      </c>
      <c r="B356" s="1" t="n">
        <v>45706.47790509259</v>
      </c>
      <c r="C356" s="1" t="n">
        <v>45913</v>
      </c>
      <c r="D356" t="inlineStr">
        <is>
          <t>ÖSTERGÖTLANDS LÄN</t>
        </is>
      </c>
      <c r="E356" t="inlineStr">
        <is>
          <t>NORRKÖPING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23452-2025</t>
        </is>
      </c>
      <c r="B357" s="1" t="n">
        <v>45792.42109953704</v>
      </c>
      <c r="C357" s="1" t="n">
        <v>45913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23456-2025</t>
        </is>
      </c>
      <c r="B358" s="1" t="n">
        <v>45792.42542824074</v>
      </c>
      <c r="C358" s="1" t="n">
        <v>45913</v>
      </c>
      <c r="D358" t="inlineStr">
        <is>
          <t>ÖSTERGÖTLANDS LÄN</t>
        </is>
      </c>
      <c r="E358" t="inlineStr">
        <is>
          <t>NORRKÖPING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34916-2024</t>
        </is>
      </c>
      <c r="B359" s="1" t="n">
        <v>45527.43385416667</v>
      </c>
      <c r="C359" s="1" t="n">
        <v>45913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17664-2025</t>
        </is>
      </c>
      <c r="B360" s="1" t="n">
        <v>45758.36203703703</v>
      </c>
      <c r="C360" s="1" t="n">
        <v>45913</v>
      </c>
      <c r="D360" t="inlineStr">
        <is>
          <t>ÖSTERGÖTLANDS LÄN</t>
        </is>
      </c>
      <c r="E360" t="inlineStr">
        <is>
          <t>NORRKÖPING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38441-2024</t>
        </is>
      </c>
      <c r="B361" s="1" t="n">
        <v>45546</v>
      </c>
      <c r="C361" s="1" t="n">
        <v>45913</v>
      </c>
      <c r="D361" t="inlineStr">
        <is>
          <t>ÖSTERGÖTLANDS LÄN</t>
        </is>
      </c>
      <c r="E361" t="inlineStr">
        <is>
          <t>NORRKÖPING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8806-2024</t>
        </is>
      </c>
      <c r="B362" s="1" t="n">
        <v>45356.64872685185</v>
      </c>
      <c r="C362" s="1" t="n">
        <v>45913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31813-2023</t>
        </is>
      </c>
      <c r="B363" s="1" t="n">
        <v>45106</v>
      </c>
      <c r="C363" s="1" t="n">
        <v>45913</v>
      </c>
      <c r="D363" t="inlineStr">
        <is>
          <t>ÖSTERGÖTLANDS LÄN</t>
        </is>
      </c>
      <c r="E363" t="inlineStr">
        <is>
          <t>NORRKÖPING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3018-2025</t>
        </is>
      </c>
      <c r="B364" s="1" t="n">
        <v>45678.57503472222</v>
      </c>
      <c r="C364" s="1" t="n">
        <v>45913</v>
      </c>
      <c r="D364" t="inlineStr">
        <is>
          <t>ÖSTERGÖTLANDS LÄN</t>
        </is>
      </c>
      <c r="E364" t="inlineStr">
        <is>
          <t>NORRKÖPING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23912-2025</t>
        </is>
      </c>
      <c r="B365" s="1" t="n">
        <v>45794.82583333334</v>
      </c>
      <c r="C365" s="1" t="n">
        <v>45913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62028-2023</t>
        </is>
      </c>
      <c r="B366" s="1" t="n">
        <v>45266</v>
      </c>
      <c r="C366" s="1" t="n">
        <v>45913</v>
      </c>
      <c r="D366" t="inlineStr">
        <is>
          <t>ÖSTERGÖTLANDS LÄN</t>
        </is>
      </c>
      <c r="E366" t="inlineStr">
        <is>
          <t>NORRKÖPING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23909-2025</t>
        </is>
      </c>
      <c r="B367" s="1" t="n">
        <v>45794.81975694445</v>
      </c>
      <c r="C367" s="1" t="n">
        <v>45913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23910-2025</t>
        </is>
      </c>
      <c r="B368" s="1" t="n">
        <v>45794.82150462963</v>
      </c>
      <c r="C368" s="1" t="n">
        <v>45913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30315-2024</t>
        </is>
      </c>
      <c r="B369" s="1" t="n">
        <v>45490.72372685185</v>
      </c>
      <c r="C369" s="1" t="n">
        <v>45913</v>
      </c>
      <c r="D369" t="inlineStr">
        <is>
          <t>ÖSTERGÖTLANDS LÄN</t>
        </is>
      </c>
      <c r="E369" t="inlineStr">
        <is>
          <t>NORRKÖPING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1018-2023</t>
        </is>
      </c>
      <c r="B370" s="1" t="n">
        <v>44930</v>
      </c>
      <c r="C370" s="1" t="n">
        <v>45913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23908-2025</t>
        </is>
      </c>
      <c r="B371" s="1" t="n">
        <v>45794.81730324074</v>
      </c>
      <c r="C371" s="1" t="n">
        <v>45913</v>
      </c>
      <c r="D371" t="inlineStr">
        <is>
          <t>ÖSTERGÖTLANDS LÄN</t>
        </is>
      </c>
      <c r="E371" t="inlineStr">
        <is>
          <t>NORRKÖPING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24049-2025</t>
        </is>
      </c>
      <c r="B372" s="1" t="n">
        <v>45796.49842592593</v>
      </c>
      <c r="C372" s="1" t="n">
        <v>45913</v>
      </c>
      <c r="D372" t="inlineStr">
        <is>
          <t>ÖSTERGÖTLANDS LÄN</t>
        </is>
      </c>
      <c r="E372" t="inlineStr">
        <is>
          <t>NORRKÖPING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26392-2023</t>
        </is>
      </c>
      <c r="B373" s="1" t="n">
        <v>45092.35369212963</v>
      </c>
      <c r="C373" s="1" t="n">
        <v>45913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45913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5941-2024</t>
        </is>
      </c>
      <c r="B375" s="1" t="n">
        <v>45336</v>
      </c>
      <c r="C375" s="1" t="n">
        <v>45913</v>
      </c>
      <c r="D375" t="inlineStr">
        <is>
          <t>ÖSTERGÖTLANDS LÄN</t>
        </is>
      </c>
      <c r="E375" t="inlineStr">
        <is>
          <t>NORRKÖPING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62049-2023</t>
        </is>
      </c>
      <c r="B376" s="1" t="n">
        <v>45266.69091435185</v>
      </c>
      <c r="C376" s="1" t="n">
        <v>45913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23946-2025</t>
        </is>
      </c>
      <c r="B377" s="1" t="n">
        <v>45796</v>
      </c>
      <c r="C377" s="1" t="n">
        <v>45913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23907-2025</t>
        </is>
      </c>
      <c r="B378" s="1" t="n">
        <v>45794.81583333333</v>
      </c>
      <c r="C378" s="1" t="n">
        <v>45913</v>
      </c>
      <c r="D378" t="inlineStr">
        <is>
          <t>ÖSTERGÖTLANDS LÄN</t>
        </is>
      </c>
      <c r="E378" t="inlineStr">
        <is>
          <t>NORRKÖPING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23911-2025</t>
        </is>
      </c>
      <c r="B379" s="1" t="n">
        <v>45794.82371527778</v>
      </c>
      <c r="C379" s="1" t="n">
        <v>45913</v>
      </c>
      <c r="D379" t="inlineStr">
        <is>
          <t>ÖSTERGÖTLANDS LÄN</t>
        </is>
      </c>
      <c r="E379" t="inlineStr">
        <is>
          <t>NORRKÖPING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23941-2025</t>
        </is>
      </c>
      <c r="B380" s="1" t="n">
        <v>45796</v>
      </c>
      <c r="C380" s="1" t="n">
        <v>45913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23954-2025</t>
        </is>
      </c>
      <c r="B381" s="1" t="n">
        <v>45796.36326388889</v>
      </c>
      <c r="C381" s="1" t="n">
        <v>45913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45309-2023</t>
        </is>
      </c>
      <c r="B382" s="1" t="n">
        <v>45191</v>
      </c>
      <c r="C382" s="1" t="n">
        <v>45913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64366-2020</t>
        </is>
      </c>
      <c r="B383" s="1" t="n">
        <v>44168</v>
      </c>
      <c r="C383" s="1" t="n">
        <v>45913</v>
      </c>
      <c r="D383" t="inlineStr">
        <is>
          <t>ÖSTERGÖTLANDS LÄN</t>
        </is>
      </c>
      <c r="E383" t="inlineStr">
        <is>
          <t>NORRKÖPING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60800-2023</t>
        </is>
      </c>
      <c r="B384" s="1" t="n">
        <v>45259</v>
      </c>
      <c r="C384" s="1" t="n">
        <v>45913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16949-2023</t>
        </is>
      </c>
      <c r="B385" s="1" t="n">
        <v>45033</v>
      </c>
      <c r="C385" s="1" t="n">
        <v>45913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70378-2021</t>
        </is>
      </c>
      <c r="B386" s="1" t="n">
        <v>44536</v>
      </c>
      <c r="C386" s="1" t="n">
        <v>45913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5868-2022</t>
        </is>
      </c>
      <c r="B387" s="1" t="n">
        <v>44596</v>
      </c>
      <c r="C387" s="1" t="n">
        <v>45913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30232-2021</t>
        </is>
      </c>
      <c r="B388" s="1" t="n">
        <v>44363</v>
      </c>
      <c r="C388" s="1" t="n">
        <v>45913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1506-2022</t>
        </is>
      </c>
      <c r="B389" s="1" t="n">
        <v>44573</v>
      </c>
      <c r="C389" s="1" t="n">
        <v>45913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24684-2025</t>
        </is>
      </c>
      <c r="B390" s="1" t="n">
        <v>45798.66228009259</v>
      </c>
      <c r="C390" s="1" t="n">
        <v>45913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56331-2022</t>
        </is>
      </c>
      <c r="B391" s="1" t="n">
        <v>44890</v>
      </c>
      <c r="C391" s="1" t="n">
        <v>45913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24246-2025</t>
        </is>
      </c>
      <c r="B392" s="1" t="n">
        <v>45797.39876157408</v>
      </c>
      <c r="C392" s="1" t="n">
        <v>45913</v>
      </c>
      <c r="D392" t="inlineStr">
        <is>
          <t>ÖSTERGÖTLANDS LÄN</t>
        </is>
      </c>
      <c r="E392" t="inlineStr">
        <is>
          <t>NORRKÖPING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11136-2025</t>
        </is>
      </c>
      <c r="B393" s="1" t="n">
        <v>45723.65960648148</v>
      </c>
      <c r="C393" s="1" t="n">
        <v>45913</v>
      </c>
      <c r="D393" t="inlineStr">
        <is>
          <t>ÖSTERGÖTLANDS LÄN</t>
        </is>
      </c>
      <c r="E393" t="inlineStr">
        <is>
          <t>NORRKÖPING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39232-2024</t>
        </is>
      </c>
      <c r="B394" s="1" t="n">
        <v>45550.68804398148</v>
      </c>
      <c r="C394" s="1" t="n">
        <v>45913</v>
      </c>
      <c r="D394" t="inlineStr">
        <is>
          <t>ÖSTERGÖTLANDS LÄN</t>
        </is>
      </c>
      <c r="E394" t="inlineStr">
        <is>
          <t>NORRKÖPING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24555-2025</t>
        </is>
      </c>
      <c r="B395" s="1" t="n">
        <v>45798.45043981481</v>
      </c>
      <c r="C395" s="1" t="n">
        <v>45913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17327-2024</t>
        </is>
      </c>
      <c r="B396" s="1" t="n">
        <v>45414.5519212963</v>
      </c>
      <c r="C396" s="1" t="n">
        <v>45913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42514-2024</t>
        </is>
      </c>
      <c r="B397" s="1" t="n">
        <v>45565.5381712963</v>
      </c>
      <c r="C397" s="1" t="n">
        <v>45913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16582-2024</t>
        </is>
      </c>
      <c r="B398" s="1" t="n">
        <v>45408</v>
      </c>
      <c r="C398" s="1" t="n">
        <v>45913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40068-2024</t>
        </is>
      </c>
      <c r="B399" s="1" t="n">
        <v>45554.28857638889</v>
      </c>
      <c r="C399" s="1" t="n">
        <v>45913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11767-2025</t>
        </is>
      </c>
      <c r="B400" s="1" t="n">
        <v>45727.6683449074</v>
      </c>
      <c r="C400" s="1" t="n">
        <v>45913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37700-2023</t>
        </is>
      </c>
      <c r="B401" s="1" t="n">
        <v>45159</v>
      </c>
      <c r="C401" s="1" t="n">
        <v>45913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19702-2024</t>
        </is>
      </c>
      <c r="B402" s="1" t="n">
        <v>45432.54622685185</v>
      </c>
      <c r="C402" s="1" t="n">
        <v>45913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10770-2025</t>
        </is>
      </c>
      <c r="B403" s="1" t="n">
        <v>45722.46946759259</v>
      </c>
      <c r="C403" s="1" t="n">
        <v>45913</v>
      </c>
      <c r="D403" t="inlineStr">
        <is>
          <t>ÖSTERGÖTLANDS LÄN</t>
        </is>
      </c>
      <c r="E403" t="inlineStr">
        <is>
          <t>NORRKÖPING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18705-2023</t>
        </is>
      </c>
      <c r="B404" s="1" t="n">
        <v>45043</v>
      </c>
      <c r="C404" s="1" t="n">
        <v>45913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25546-2025</t>
        </is>
      </c>
      <c r="B405" s="1" t="n">
        <v>45803.43815972222</v>
      </c>
      <c r="C405" s="1" t="n">
        <v>45913</v>
      </c>
      <c r="D405" t="inlineStr">
        <is>
          <t>ÖSTERGÖTLANDS LÄN</t>
        </is>
      </c>
      <c r="E405" t="inlineStr">
        <is>
          <t>NORRKÖPING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25949-2025</t>
        </is>
      </c>
      <c r="B406" s="1" t="n">
        <v>45804.59579861111</v>
      </c>
      <c r="C406" s="1" t="n">
        <v>45913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18474-2025</t>
        </is>
      </c>
      <c r="B407" s="1" t="n">
        <v>45762.76337962963</v>
      </c>
      <c r="C407" s="1" t="n">
        <v>45913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3116-2022</t>
        </is>
      </c>
      <c r="B408" s="1" t="n">
        <v>44582</v>
      </c>
      <c r="C408" s="1" t="n">
        <v>45913</v>
      </c>
      <c r="D408" t="inlineStr">
        <is>
          <t>ÖSTERGÖTLANDS LÄN</t>
        </is>
      </c>
      <c r="E408" t="inlineStr">
        <is>
          <t>NORRKÖPING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12727-2022</t>
        </is>
      </c>
      <c r="B409" s="1" t="n">
        <v>44641.78332175926</v>
      </c>
      <c r="C409" s="1" t="n">
        <v>45913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43344-2023</t>
        </is>
      </c>
      <c r="B410" s="1" t="n">
        <v>45183.65135416666</v>
      </c>
      <c r="C410" s="1" t="n">
        <v>45913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43346-2023</t>
        </is>
      </c>
      <c r="B411" s="1" t="n">
        <v>45183.65233796297</v>
      </c>
      <c r="C411" s="1" t="n">
        <v>45913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2287-2025</t>
        </is>
      </c>
      <c r="B412" s="1" t="n">
        <v>45673</v>
      </c>
      <c r="C412" s="1" t="n">
        <v>45913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19844-2023</t>
        </is>
      </c>
      <c r="B413" s="1" t="n">
        <v>45053.36554398148</v>
      </c>
      <c r="C413" s="1" t="n">
        <v>45913</v>
      </c>
      <c r="D413" t="inlineStr">
        <is>
          <t>ÖSTERGÖTLANDS LÄN</t>
        </is>
      </c>
      <c r="E413" t="inlineStr">
        <is>
          <t>NORRKÖPING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50678-2023</t>
        </is>
      </c>
      <c r="B414" s="1" t="n">
        <v>45217.51479166667</v>
      </c>
      <c r="C414" s="1" t="n">
        <v>45913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58901-2024</t>
        </is>
      </c>
      <c r="B415" s="1" t="n">
        <v>45636.4737962963</v>
      </c>
      <c r="C415" s="1" t="n">
        <v>45913</v>
      </c>
      <c r="D415" t="inlineStr">
        <is>
          <t>ÖSTERGÖTLANDS LÄN</t>
        </is>
      </c>
      <c r="E415" t="inlineStr">
        <is>
          <t>NORRKÖPING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2540-2024</t>
        </is>
      </c>
      <c r="B416" s="1" t="n">
        <v>45313</v>
      </c>
      <c r="C416" s="1" t="n">
        <v>45913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9722-2025</t>
        </is>
      </c>
      <c r="B417" s="1" t="n">
        <v>45716.40918981482</v>
      </c>
      <c r="C417" s="1" t="n">
        <v>45913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45913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47345-2023</t>
        </is>
      </c>
      <c r="B419" s="1" t="n">
        <v>45202.56994212963</v>
      </c>
      <c r="C419" s="1" t="n">
        <v>45913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10393-2024</t>
        </is>
      </c>
      <c r="B420" s="1" t="n">
        <v>45365</v>
      </c>
      <c r="C420" s="1" t="n">
        <v>45913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66381-2020</t>
        </is>
      </c>
      <c r="B421" s="1" t="n">
        <v>44176</v>
      </c>
      <c r="C421" s="1" t="n">
        <v>45913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21767-2024</t>
        </is>
      </c>
      <c r="B422" s="1" t="n">
        <v>45442.6052199074</v>
      </c>
      <c r="C422" s="1" t="n">
        <v>45913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21770-2024</t>
        </is>
      </c>
      <c r="B423" s="1" t="n">
        <v>45442.60829861111</v>
      </c>
      <c r="C423" s="1" t="n">
        <v>45913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45913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42175-2023</t>
        </is>
      </c>
      <c r="B425" s="1" t="n">
        <v>45178.43909722222</v>
      </c>
      <c r="C425" s="1" t="n">
        <v>45913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48091-2023</t>
        </is>
      </c>
      <c r="B426" s="1" t="n">
        <v>45205.3119212963</v>
      </c>
      <c r="C426" s="1" t="n">
        <v>45913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48122-2023</t>
        </is>
      </c>
      <c r="B427" s="1" t="n">
        <v>45205.35753472222</v>
      </c>
      <c r="C427" s="1" t="n">
        <v>45913</v>
      </c>
      <c r="D427" t="inlineStr">
        <is>
          <t>ÖSTERGÖTLANDS LÄN</t>
        </is>
      </c>
      <c r="E427" t="inlineStr">
        <is>
          <t>NORRKÖPING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10834-2024</t>
        </is>
      </c>
      <c r="B428" s="1" t="n">
        <v>45369</v>
      </c>
      <c r="C428" s="1" t="n">
        <v>45913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3910-2025</t>
        </is>
      </c>
      <c r="B429" s="1" t="n">
        <v>45684.41622685185</v>
      </c>
      <c r="C429" s="1" t="n">
        <v>45913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16689-2023</t>
        </is>
      </c>
      <c r="B430" s="1" t="n">
        <v>45030</v>
      </c>
      <c r="C430" s="1" t="n">
        <v>45913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55941-2022</t>
        </is>
      </c>
      <c r="B431" s="1" t="n">
        <v>44889</v>
      </c>
      <c r="C431" s="1" t="n">
        <v>45913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17503-2022</t>
        </is>
      </c>
      <c r="B432" s="1" t="n">
        <v>44679</v>
      </c>
      <c r="C432" s="1" t="n">
        <v>45913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16253-2023</t>
        </is>
      </c>
      <c r="B433" s="1" t="n">
        <v>45028</v>
      </c>
      <c r="C433" s="1" t="n">
        <v>45913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60233-2022</t>
        </is>
      </c>
      <c r="B434" s="1" t="n">
        <v>44910</v>
      </c>
      <c r="C434" s="1" t="n">
        <v>45913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17849-2025</t>
        </is>
      </c>
      <c r="B435" s="1" t="n">
        <v>45758.60146990741</v>
      </c>
      <c r="C435" s="1" t="n">
        <v>45913</v>
      </c>
      <c r="D435" t="inlineStr">
        <is>
          <t>ÖSTERGÖTLANDS LÄN</t>
        </is>
      </c>
      <c r="E435" t="inlineStr">
        <is>
          <t>NORRKÖPING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67557-2020</t>
        </is>
      </c>
      <c r="B436" s="1" t="n">
        <v>44181</v>
      </c>
      <c r="C436" s="1" t="n">
        <v>45913</v>
      </c>
      <c r="D436" t="inlineStr">
        <is>
          <t>ÖSTERGÖTLANDS LÄN</t>
        </is>
      </c>
      <c r="E436" t="inlineStr">
        <is>
          <t>NORRKÖPING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18128-2025</t>
        </is>
      </c>
      <c r="B437" s="1" t="n">
        <v>45761.59716435185</v>
      </c>
      <c r="C437" s="1" t="n">
        <v>45913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11344-2022</t>
        </is>
      </c>
      <c r="B438" s="1" t="n">
        <v>44630</v>
      </c>
      <c r="C438" s="1" t="n">
        <v>45913</v>
      </c>
      <c r="D438" t="inlineStr">
        <is>
          <t>ÖSTERGÖTLANDS LÄN</t>
        </is>
      </c>
      <c r="E438" t="inlineStr">
        <is>
          <t>NORRKÖPING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49462-2023</t>
        </is>
      </c>
      <c r="B439" s="1" t="n">
        <v>45211.52641203703</v>
      </c>
      <c r="C439" s="1" t="n">
        <v>45913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55467-2020</t>
        </is>
      </c>
      <c r="B440" s="1" t="n">
        <v>44131</v>
      </c>
      <c r="C440" s="1" t="n">
        <v>45913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31850-2023</t>
        </is>
      </c>
      <c r="B441" s="1" t="n">
        <v>45106</v>
      </c>
      <c r="C441" s="1" t="n">
        <v>45913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67559-2020</t>
        </is>
      </c>
      <c r="B442" s="1" t="n">
        <v>44181</v>
      </c>
      <c r="C442" s="1" t="n">
        <v>45913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14138-2022</t>
        </is>
      </c>
      <c r="B443" s="1" t="n">
        <v>44651.42819444444</v>
      </c>
      <c r="C443" s="1" t="n">
        <v>45913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47090-2023</t>
        </is>
      </c>
      <c r="B444" s="1" t="n">
        <v>45201.63637731481</v>
      </c>
      <c r="C444" s="1" t="n">
        <v>45913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28497-2025</t>
        </is>
      </c>
      <c r="B445" s="1" t="n">
        <v>45817</v>
      </c>
      <c r="C445" s="1" t="n">
        <v>45913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62176-2024</t>
        </is>
      </c>
      <c r="B446" s="1" t="n">
        <v>45657.94784722223</v>
      </c>
      <c r="C446" s="1" t="n">
        <v>45913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28507-2025</t>
        </is>
      </c>
      <c r="B447" s="1" t="n">
        <v>45817</v>
      </c>
      <c r="C447" s="1" t="n">
        <v>45913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42390-2021</t>
        </is>
      </c>
      <c r="B448" s="1" t="n">
        <v>44427.49322916667</v>
      </c>
      <c r="C448" s="1" t="n">
        <v>45913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28039-2025</t>
        </is>
      </c>
      <c r="B449" s="1" t="n">
        <v>45817.64487268519</v>
      </c>
      <c r="C449" s="1" t="n">
        <v>45913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22319-2024</t>
        </is>
      </c>
      <c r="B450" s="1" t="n">
        <v>45446.57724537037</v>
      </c>
      <c r="C450" s="1" t="n">
        <v>45913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22322-2024</t>
        </is>
      </c>
      <c r="B451" s="1" t="n">
        <v>45446.5790625</v>
      </c>
      <c r="C451" s="1" t="n">
        <v>45913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27912-2025</t>
        </is>
      </c>
      <c r="B452" s="1" t="n">
        <v>45817.47909722223</v>
      </c>
      <c r="C452" s="1" t="n">
        <v>45913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27857-2025</t>
        </is>
      </c>
      <c r="B453" s="1" t="n">
        <v>45817.41037037037</v>
      </c>
      <c r="C453" s="1" t="n">
        <v>45913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10796-2024</t>
        </is>
      </c>
      <c r="B454" s="1" t="n">
        <v>45369.61841435185</v>
      </c>
      <c r="C454" s="1" t="n">
        <v>45913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28734-2025</t>
        </is>
      </c>
      <c r="B455" s="1" t="n">
        <v>45820.37113425926</v>
      </c>
      <c r="C455" s="1" t="n">
        <v>45913</v>
      </c>
      <c r="D455" t="inlineStr">
        <is>
          <t>ÖSTERGÖTLANDS LÄN</t>
        </is>
      </c>
      <c r="E455" t="inlineStr">
        <is>
          <t>NORRKÖPING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61002-2023</t>
        </is>
      </c>
      <c r="B456" s="1" t="n">
        <v>45261.50924768519</v>
      </c>
      <c r="C456" s="1" t="n">
        <v>45913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50112-2023</t>
        </is>
      </c>
      <c r="B457" s="1" t="n">
        <v>45215</v>
      </c>
      <c r="C457" s="1" t="n">
        <v>45913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3020-2025</t>
        </is>
      </c>
      <c r="B458" s="1" t="n">
        <v>45678.57731481481</v>
      </c>
      <c r="C458" s="1" t="n">
        <v>45913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1286-2023</t>
        </is>
      </c>
      <c r="B459" s="1" t="n">
        <v>44936.46326388889</v>
      </c>
      <c r="C459" s="1" t="n">
        <v>45913</v>
      </c>
      <c r="D459" t="inlineStr">
        <is>
          <t>ÖSTERGÖTLANDS LÄN</t>
        </is>
      </c>
      <c r="E459" t="inlineStr">
        <is>
          <t>NORRKÖPING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28750-2025</t>
        </is>
      </c>
      <c r="B460" s="1" t="n">
        <v>45820.39863425926</v>
      </c>
      <c r="C460" s="1" t="n">
        <v>45913</v>
      </c>
      <c r="D460" t="inlineStr">
        <is>
          <t>ÖSTERGÖTLANDS LÄN</t>
        </is>
      </c>
      <c r="E460" t="inlineStr">
        <is>
          <t>NORRKÖPING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8292-2023</t>
        </is>
      </c>
      <c r="B461" s="1" t="n">
        <v>44974.65918981482</v>
      </c>
      <c r="C461" s="1" t="n">
        <v>45913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59544-2023</t>
        </is>
      </c>
      <c r="B462" s="1" t="n">
        <v>45254.54892361111</v>
      </c>
      <c r="C462" s="1" t="n">
        <v>45913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50092-2023</t>
        </is>
      </c>
      <c r="B463" s="1" t="n">
        <v>45215</v>
      </c>
      <c r="C463" s="1" t="n">
        <v>45913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29220-2025</t>
        </is>
      </c>
      <c r="B464" s="1" t="n">
        <v>45824.32293981482</v>
      </c>
      <c r="C464" s="1" t="n">
        <v>45913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44197-2023</t>
        </is>
      </c>
      <c r="B465" s="1" t="n">
        <v>45188</v>
      </c>
      <c r="C465" s="1" t="n">
        <v>45913</v>
      </c>
      <c r="D465" t="inlineStr">
        <is>
          <t>ÖSTERGÖTLANDS LÄN</t>
        </is>
      </c>
      <c r="E465" t="inlineStr">
        <is>
          <t>NORRKÖPING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29298-2025</t>
        </is>
      </c>
      <c r="B466" s="1" t="n">
        <v>45824.45221064815</v>
      </c>
      <c r="C466" s="1" t="n">
        <v>45913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9542-2025</t>
        </is>
      </c>
      <c r="B467" s="1" t="n">
        <v>45715.5837962963</v>
      </c>
      <c r="C467" s="1" t="n">
        <v>45913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11140-2025</t>
        </is>
      </c>
      <c r="B468" s="1" t="n">
        <v>45723.66629629629</v>
      </c>
      <c r="C468" s="1" t="n">
        <v>45913</v>
      </c>
      <c r="D468" t="inlineStr">
        <is>
          <t>ÖSTERGÖTLANDS LÄN</t>
        </is>
      </c>
      <c r="E468" t="inlineStr">
        <is>
          <t>NORRKÖPING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18919-2025</t>
        </is>
      </c>
      <c r="B469" s="1" t="n">
        <v>45764.47553240741</v>
      </c>
      <c r="C469" s="1" t="n">
        <v>45913</v>
      </c>
      <c r="D469" t="inlineStr">
        <is>
          <t>ÖSTERGÖTLANDS LÄN</t>
        </is>
      </c>
      <c r="E469" t="inlineStr">
        <is>
          <t>NORRKÖPING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29216-2025</t>
        </is>
      </c>
      <c r="B470" s="1" t="n">
        <v>45824.31493055556</v>
      </c>
      <c r="C470" s="1" t="n">
        <v>45913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6568-2025</t>
        </is>
      </c>
      <c r="B471" s="1" t="n">
        <v>45699.75583333334</v>
      </c>
      <c r="C471" s="1" t="n">
        <v>45913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2501-2023</t>
        </is>
      </c>
      <c r="B472" s="1" t="n">
        <v>44943.56112268518</v>
      </c>
      <c r="C472" s="1" t="n">
        <v>45913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45699-2024</t>
        </is>
      </c>
      <c r="B473" s="1" t="n">
        <v>45579.56570601852</v>
      </c>
      <c r="C473" s="1" t="n">
        <v>45913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34904-2024</t>
        </is>
      </c>
      <c r="B474" s="1" t="n">
        <v>45527.40489583334</v>
      </c>
      <c r="C474" s="1" t="n">
        <v>45913</v>
      </c>
      <c r="D474" t="inlineStr">
        <is>
          <t>ÖSTERGÖTLANDS LÄN</t>
        </is>
      </c>
      <c r="E474" t="inlineStr">
        <is>
          <t>NORRKÖPING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45913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26294-2024</t>
        </is>
      </c>
      <c r="B476" s="1" t="n">
        <v>45468.82832175926</v>
      </c>
      <c r="C476" s="1" t="n">
        <v>45913</v>
      </c>
      <c r="D476" t="inlineStr">
        <is>
          <t>ÖSTERGÖTLANDS LÄN</t>
        </is>
      </c>
      <c r="E476" t="inlineStr">
        <is>
          <t>NORRKÖPING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41381-2023</t>
        </is>
      </c>
      <c r="B477" s="1" t="n">
        <v>45174</v>
      </c>
      <c r="C477" s="1" t="n">
        <v>45913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41382-2023</t>
        </is>
      </c>
      <c r="B478" s="1" t="n">
        <v>45174</v>
      </c>
      <c r="C478" s="1" t="n">
        <v>45913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45913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19360-2025</t>
        </is>
      </c>
      <c r="B480" s="1" t="n">
        <v>45769.62891203703</v>
      </c>
      <c r="C480" s="1" t="n">
        <v>45913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15459-2024</t>
        </is>
      </c>
      <c r="B481" s="1" t="n">
        <v>45401.46640046296</v>
      </c>
      <c r="C481" s="1" t="n">
        <v>45913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63417-2023</t>
        </is>
      </c>
      <c r="B482" s="1" t="n">
        <v>45274</v>
      </c>
      <c r="C482" s="1" t="n">
        <v>45913</v>
      </c>
      <c r="D482" t="inlineStr">
        <is>
          <t>ÖSTERGÖTLANDS LÄN</t>
        </is>
      </c>
      <c r="E482" t="inlineStr">
        <is>
          <t>NORRKÖPING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14459-2024</t>
        </is>
      </c>
      <c r="B483" s="1" t="n">
        <v>45394</v>
      </c>
      <c r="C483" s="1" t="n">
        <v>45913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23349-2024</t>
        </is>
      </c>
      <c r="B484" s="1" t="n">
        <v>45453.52299768518</v>
      </c>
      <c r="C484" s="1" t="n">
        <v>45913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33131-2025</t>
        </is>
      </c>
      <c r="B485" s="1" t="n">
        <v>45832</v>
      </c>
      <c r="C485" s="1" t="n">
        <v>45913</v>
      </c>
      <c r="D485" t="inlineStr">
        <is>
          <t>ÖSTERGÖTLANDS LÄN</t>
        </is>
      </c>
      <c r="E485" t="inlineStr">
        <is>
          <t>NORRKÖPING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58936-2023</t>
        </is>
      </c>
      <c r="B486" s="1" t="n">
        <v>45252</v>
      </c>
      <c r="C486" s="1" t="n">
        <v>45913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55359-2023</t>
        </is>
      </c>
      <c r="B487" s="1" t="n">
        <v>45238.33091435185</v>
      </c>
      <c r="C487" s="1" t="n">
        <v>45913</v>
      </c>
      <c r="D487" t="inlineStr">
        <is>
          <t>ÖSTERGÖTLANDS LÄN</t>
        </is>
      </c>
      <c r="E487" t="inlineStr">
        <is>
          <t>NORRKÖPING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45075-2023</t>
        </is>
      </c>
      <c r="B488" s="1" t="n">
        <v>45191.39708333334</v>
      </c>
      <c r="C488" s="1" t="n">
        <v>45913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17821-2025</t>
        </is>
      </c>
      <c r="B489" s="1" t="n">
        <v>45758.56946759259</v>
      </c>
      <c r="C489" s="1" t="n">
        <v>45913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59964-2023</t>
        </is>
      </c>
      <c r="B490" s="1" t="n">
        <v>45254</v>
      </c>
      <c r="C490" s="1" t="n">
        <v>45913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33126-2025</t>
        </is>
      </c>
      <c r="B491" s="1" t="n">
        <v>45832</v>
      </c>
      <c r="C491" s="1" t="n">
        <v>45913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33138-2025</t>
        </is>
      </c>
      <c r="B492" s="1" t="n">
        <v>45832</v>
      </c>
      <c r="C492" s="1" t="n">
        <v>45913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49869-2021</t>
        </is>
      </c>
      <c r="B493" s="1" t="n">
        <v>44455</v>
      </c>
      <c r="C493" s="1" t="n">
        <v>45913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31364-2025</t>
        </is>
      </c>
      <c r="B494" s="1" t="n">
        <v>45833.4374537037</v>
      </c>
      <c r="C494" s="1" t="n">
        <v>45913</v>
      </c>
      <c r="D494" t="inlineStr">
        <is>
          <t>ÖSTERGÖTLANDS LÄN</t>
        </is>
      </c>
      <c r="E494" t="inlineStr">
        <is>
          <t>NORRKÖPING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31320-2025</t>
        </is>
      </c>
      <c r="B495" s="1" t="n">
        <v>45833.40451388889</v>
      </c>
      <c r="C495" s="1" t="n">
        <v>45913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57492-2023</t>
        </is>
      </c>
      <c r="B496" s="1" t="n">
        <v>45246.41627314815</v>
      </c>
      <c r="C496" s="1" t="n">
        <v>45913</v>
      </c>
      <c r="D496" t="inlineStr">
        <is>
          <t>ÖSTERGÖTLANDS LÄN</t>
        </is>
      </c>
      <c r="E496" t="inlineStr">
        <is>
          <t>NORRKÖPING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57496-2023</t>
        </is>
      </c>
      <c r="B497" s="1" t="n">
        <v>45246</v>
      </c>
      <c r="C497" s="1" t="n">
        <v>45913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19334-2023</t>
        </is>
      </c>
      <c r="B498" s="1" t="n">
        <v>45049</v>
      </c>
      <c r="C498" s="1" t="n">
        <v>45913</v>
      </c>
      <c r="D498" t="inlineStr">
        <is>
          <t>ÖSTERGÖTLANDS LÄN</t>
        </is>
      </c>
      <c r="E498" t="inlineStr">
        <is>
          <t>NORRKÖPING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49882-2021</t>
        </is>
      </c>
      <c r="B499" s="1" t="n">
        <v>44455.68550925926</v>
      </c>
      <c r="C499" s="1" t="n">
        <v>45913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4460-2023</t>
        </is>
      </c>
      <c r="B500" s="1" t="n">
        <v>44956</v>
      </c>
      <c r="C500" s="1" t="n">
        <v>45913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10003-2025</t>
        </is>
      </c>
      <c r="B501" s="1" t="n">
        <v>45719.4522337963</v>
      </c>
      <c r="C501" s="1" t="n">
        <v>45913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4546-2023</t>
        </is>
      </c>
      <c r="B502" s="1" t="n">
        <v>44956</v>
      </c>
      <c r="C502" s="1" t="n">
        <v>45913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31564-2025</t>
        </is>
      </c>
      <c r="B503" s="1" t="n">
        <v>45833.65659722222</v>
      </c>
      <c r="C503" s="1" t="n">
        <v>45913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9746-2025</t>
        </is>
      </c>
      <c r="B504" s="1" t="n">
        <v>45716.45121527778</v>
      </c>
      <c r="C504" s="1" t="n">
        <v>45913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2545-2023</t>
        </is>
      </c>
      <c r="B505" s="1" t="n">
        <v>44943</v>
      </c>
      <c r="C505" s="1" t="n">
        <v>45913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59077-2023</t>
        </is>
      </c>
      <c r="B506" s="1" t="n">
        <v>45252.91344907408</v>
      </c>
      <c r="C506" s="1" t="n">
        <v>45913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62875-2023</t>
        </is>
      </c>
      <c r="B507" s="1" t="n">
        <v>45272</v>
      </c>
      <c r="C507" s="1" t="n">
        <v>45913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19182-2025</t>
        </is>
      </c>
      <c r="B508" s="1" t="n">
        <v>45769.40231481481</v>
      </c>
      <c r="C508" s="1" t="n">
        <v>45913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8245-2023</t>
        </is>
      </c>
      <c r="B509" s="1" t="n">
        <v>44974</v>
      </c>
      <c r="C509" s="1" t="n">
        <v>45913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18867-2025</t>
        </is>
      </c>
      <c r="B510" s="1" t="n">
        <v>45764.43002314815</v>
      </c>
      <c r="C510" s="1" t="n">
        <v>45913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26977-2023</t>
        </is>
      </c>
      <c r="B511" s="1" t="n">
        <v>45091</v>
      </c>
      <c r="C511" s="1" t="n">
        <v>45913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32664-2025</t>
        </is>
      </c>
      <c r="B512" s="1" t="n">
        <v>45838.683125</v>
      </c>
      <c r="C512" s="1" t="n">
        <v>45913</v>
      </c>
      <c r="D512" t="inlineStr">
        <is>
          <t>ÖSTERGÖTLANDS LÄN</t>
        </is>
      </c>
      <c r="E512" t="inlineStr">
        <is>
          <t>NORRKÖPING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40812-2024</t>
        </is>
      </c>
      <c r="B513" s="1" t="n">
        <v>45558.54422453704</v>
      </c>
      <c r="C513" s="1" t="n">
        <v>45913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30784-2023</t>
        </is>
      </c>
      <c r="B514" s="1" t="n">
        <v>45112</v>
      </c>
      <c r="C514" s="1" t="n">
        <v>45913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17138-2022</t>
        </is>
      </c>
      <c r="B515" s="1" t="n">
        <v>44677</v>
      </c>
      <c r="C515" s="1" t="n">
        <v>45913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43322-2022</t>
        </is>
      </c>
      <c r="B516" s="1" t="n">
        <v>44834</v>
      </c>
      <c r="C516" s="1" t="n">
        <v>45913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45913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27040-2022</t>
        </is>
      </c>
      <c r="B518" s="1" t="n">
        <v>44741</v>
      </c>
      <c r="C518" s="1" t="n">
        <v>45913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14044-2023</t>
        </is>
      </c>
      <c r="B519" s="1" t="n">
        <v>45008.66204861111</v>
      </c>
      <c r="C519" s="1" t="n">
        <v>45913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15082-2024</t>
        </is>
      </c>
      <c r="B520" s="1" t="n">
        <v>45399.62587962963</v>
      </c>
      <c r="C520" s="1" t="n">
        <v>45913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32681-2025</t>
        </is>
      </c>
      <c r="B521" s="1" t="n">
        <v>45836</v>
      </c>
      <c r="C521" s="1" t="n">
        <v>45913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3263-2024</t>
        </is>
      </c>
      <c r="B522" s="1" t="n">
        <v>45317</v>
      </c>
      <c r="C522" s="1" t="n">
        <v>45913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9281-2021</t>
        </is>
      </c>
      <c r="B523" s="1" t="n">
        <v>44249</v>
      </c>
      <c r="C523" s="1" t="n">
        <v>45913</v>
      </c>
      <c r="D523" t="inlineStr">
        <is>
          <t>ÖSTERGÖTLANDS LÄN</t>
        </is>
      </c>
      <c r="E523" t="inlineStr">
        <is>
          <t>NORRKÖPING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62973-2021</t>
        </is>
      </c>
      <c r="B524" s="1" t="n">
        <v>44504</v>
      </c>
      <c r="C524" s="1" t="n">
        <v>45913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6261-2023</t>
        </is>
      </c>
      <c r="B525" s="1" t="n">
        <v>44965</v>
      </c>
      <c r="C525" s="1" t="n">
        <v>45913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14899-2023</t>
        </is>
      </c>
      <c r="B526" s="1" t="n">
        <v>45014</v>
      </c>
      <c r="C526" s="1" t="n">
        <v>45913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49778-2022</t>
        </is>
      </c>
      <c r="B527" s="1" t="n">
        <v>44862</v>
      </c>
      <c r="C527" s="1" t="n">
        <v>45913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4494-2023</t>
        </is>
      </c>
      <c r="B528" s="1" t="n">
        <v>44956.54967592593</v>
      </c>
      <c r="C528" s="1" t="n">
        <v>45913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46806-2024</t>
        </is>
      </c>
      <c r="B529" s="1" t="n">
        <v>45583.55850694444</v>
      </c>
      <c r="C529" s="1" t="n">
        <v>45913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8805-2024</t>
        </is>
      </c>
      <c r="B530" s="1" t="n">
        <v>45356.64724537037</v>
      </c>
      <c r="C530" s="1" t="n">
        <v>45913</v>
      </c>
      <c r="D530" t="inlineStr">
        <is>
          <t>ÖSTERGÖTLANDS LÄN</t>
        </is>
      </c>
      <c r="E530" t="inlineStr">
        <is>
          <t>NORRKÖPING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17660-2025</t>
        </is>
      </c>
      <c r="B531" s="1" t="n">
        <v>45758.35732638889</v>
      </c>
      <c r="C531" s="1" t="n">
        <v>45913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58889-2024</t>
        </is>
      </c>
      <c r="B532" s="1" t="n">
        <v>45636.45989583333</v>
      </c>
      <c r="C532" s="1" t="n">
        <v>45913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53363-2024</t>
        </is>
      </c>
      <c r="B533" s="1" t="n">
        <v>45614.46292824074</v>
      </c>
      <c r="C533" s="1" t="n">
        <v>45913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Naturvårdsverket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14484-2021</t>
        </is>
      </c>
      <c r="B534" s="1" t="n">
        <v>44279</v>
      </c>
      <c r="C534" s="1" t="n">
        <v>45913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9696-2025</t>
        </is>
      </c>
      <c r="B535" s="1" t="n">
        <v>45716.37259259259</v>
      </c>
      <c r="C535" s="1" t="n">
        <v>45913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62033-2023</t>
        </is>
      </c>
      <c r="B536" s="1" t="n">
        <v>45266.66998842593</v>
      </c>
      <c r="C536" s="1" t="n">
        <v>45913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33247-2025</t>
        </is>
      </c>
      <c r="B537" s="1" t="n">
        <v>45840.65777777778</v>
      </c>
      <c r="C537" s="1" t="n">
        <v>45913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45913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23051-2022</t>
        </is>
      </c>
      <c r="B539" s="1" t="n">
        <v>44719.43200231482</v>
      </c>
      <c r="C539" s="1" t="n">
        <v>45913</v>
      </c>
      <c r="D539" t="inlineStr">
        <is>
          <t>ÖSTERGÖTLANDS LÄN</t>
        </is>
      </c>
      <c r="E539" t="inlineStr">
        <is>
          <t>NORRKÖPING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53899-2021</t>
        </is>
      </c>
      <c r="B540" s="1" t="n">
        <v>44469</v>
      </c>
      <c r="C540" s="1" t="n">
        <v>45913</v>
      </c>
      <c r="D540" t="inlineStr">
        <is>
          <t>ÖSTERGÖTLANDS LÄN</t>
        </is>
      </c>
      <c r="E540" t="inlineStr">
        <is>
          <t>NORRKÖPING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46270-2024</t>
        </is>
      </c>
      <c r="B541" s="1" t="n">
        <v>45581.62796296296</v>
      </c>
      <c r="C541" s="1" t="n">
        <v>45913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5118-2024</t>
        </is>
      </c>
      <c r="B542" s="1" t="n">
        <v>45330</v>
      </c>
      <c r="C542" s="1" t="n">
        <v>45913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1383-2022</t>
        </is>
      </c>
      <c r="B543" s="1" t="n">
        <v>44573.38521990741</v>
      </c>
      <c r="C543" s="1" t="n">
        <v>45913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17249-2024</t>
        </is>
      </c>
      <c r="B544" s="1" t="n">
        <v>45414.39614583334</v>
      </c>
      <c r="C544" s="1" t="n">
        <v>45913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62061-2023</t>
        </is>
      </c>
      <c r="B545" s="1" t="n">
        <v>45266</v>
      </c>
      <c r="C545" s="1" t="n">
        <v>45913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33246-2025</t>
        </is>
      </c>
      <c r="B546" s="1" t="n">
        <v>45840.65592592592</v>
      </c>
      <c r="C546" s="1" t="n">
        <v>45913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45913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7918-2021</t>
        </is>
      </c>
      <c r="B548" s="1" t="n">
        <v>44243</v>
      </c>
      <c r="C548" s="1" t="n">
        <v>45913</v>
      </c>
      <c r="D548" t="inlineStr">
        <is>
          <t>ÖSTERGÖTLANDS LÄN</t>
        </is>
      </c>
      <c r="E548" t="inlineStr">
        <is>
          <t>NORRKÖPING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33250-2025</t>
        </is>
      </c>
      <c r="B549" s="1" t="n">
        <v>45840.6602199074</v>
      </c>
      <c r="C549" s="1" t="n">
        <v>45913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60899-2024</t>
        </is>
      </c>
      <c r="B550" s="1" t="n">
        <v>45645.27707175926</v>
      </c>
      <c r="C550" s="1" t="n">
        <v>45913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31844-2023</t>
        </is>
      </c>
      <c r="B551" s="1" t="n">
        <v>45106</v>
      </c>
      <c r="C551" s="1" t="n">
        <v>45913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18537-2025</t>
        </is>
      </c>
      <c r="B552" s="1" t="n">
        <v>45763.41083333334</v>
      </c>
      <c r="C552" s="1" t="n">
        <v>45913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12191-2023</t>
        </is>
      </c>
      <c r="B553" s="1" t="n">
        <v>44998</v>
      </c>
      <c r="C553" s="1" t="n">
        <v>45913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64898-2021</t>
        </is>
      </c>
      <c r="B554" s="1" t="n">
        <v>44512</v>
      </c>
      <c r="C554" s="1" t="n">
        <v>45913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7275-2023</t>
        </is>
      </c>
      <c r="B555" s="1" t="n">
        <v>44970.65930555556</v>
      </c>
      <c r="C555" s="1" t="n">
        <v>45913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11490-2023</t>
        </is>
      </c>
      <c r="B556" s="1" t="n">
        <v>44993</v>
      </c>
      <c r="C556" s="1" t="n">
        <v>45913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9174-2023</t>
        </is>
      </c>
      <c r="B557" s="1" t="n">
        <v>44980</v>
      </c>
      <c r="C557" s="1" t="n">
        <v>45913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16659-2023</t>
        </is>
      </c>
      <c r="B558" s="1" t="n">
        <v>45030</v>
      </c>
      <c r="C558" s="1" t="n">
        <v>45913</v>
      </c>
      <c r="D558" t="inlineStr">
        <is>
          <t>ÖSTERGÖTLANDS LÄN</t>
        </is>
      </c>
      <c r="E558" t="inlineStr">
        <is>
          <t>NORRKÖPING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18686-2023</t>
        </is>
      </c>
      <c r="B559" s="1" t="n">
        <v>45043</v>
      </c>
      <c r="C559" s="1" t="n">
        <v>45913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19631-2021</t>
        </is>
      </c>
      <c r="B560" s="1" t="n">
        <v>44312</v>
      </c>
      <c r="C560" s="1" t="n">
        <v>45913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33255-2025</t>
        </is>
      </c>
      <c r="B561" s="1" t="n">
        <v>45840.66780092593</v>
      </c>
      <c r="C561" s="1" t="n">
        <v>45913</v>
      </c>
      <c r="D561" t="inlineStr">
        <is>
          <t>ÖSTERGÖTLANDS LÄN</t>
        </is>
      </c>
      <c r="E561" t="inlineStr">
        <is>
          <t>NORRKÖPING</t>
        </is>
      </c>
      <c r="G561" t="n">
        <v>20.3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13152-2024</t>
        </is>
      </c>
      <c r="B562" s="1" t="n">
        <v>45386.35986111111</v>
      </c>
      <c r="C562" s="1" t="n">
        <v>45913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19318-2025</t>
        </is>
      </c>
      <c r="B563" s="1" t="n">
        <v>45769.57802083333</v>
      </c>
      <c r="C563" s="1" t="n">
        <v>45913</v>
      </c>
      <c r="D563" t="inlineStr">
        <is>
          <t>ÖSTERGÖTLANDS LÄN</t>
        </is>
      </c>
      <c r="E563" t="inlineStr">
        <is>
          <t>NORRKÖPING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45913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45913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4271-2021</t>
        </is>
      </c>
      <c r="B566" s="1" t="n">
        <v>44221</v>
      </c>
      <c r="C566" s="1" t="n">
        <v>45913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42173-2023</t>
        </is>
      </c>
      <c r="B567" s="1" t="n">
        <v>45178.4275</v>
      </c>
      <c r="C567" s="1" t="n">
        <v>45913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57376-2024</t>
        </is>
      </c>
      <c r="B568" s="1" t="n">
        <v>45629.67508101852</v>
      </c>
      <c r="C568" s="1" t="n">
        <v>45913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57380-2024</t>
        </is>
      </c>
      <c r="B569" s="1" t="n">
        <v>45629.67931712963</v>
      </c>
      <c r="C569" s="1" t="n">
        <v>45913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27735-2023</t>
        </is>
      </c>
      <c r="B570" s="1" t="n">
        <v>45098.37322916667</v>
      </c>
      <c r="C570" s="1" t="n">
        <v>45913</v>
      </c>
      <c r="D570" t="inlineStr">
        <is>
          <t>ÖSTERGÖTLANDS LÄN</t>
        </is>
      </c>
      <c r="E570" t="inlineStr">
        <is>
          <t>NORRKÖPING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45913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27236-2023</t>
        </is>
      </c>
      <c r="B572" s="1" t="n">
        <v>45096</v>
      </c>
      <c r="C572" s="1" t="n">
        <v>45913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31653-2023</t>
        </is>
      </c>
      <c r="B573" s="1" t="n">
        <v>45117</v>
      </c>
      <c r="C573" s="1" t="n">
        <v>45913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46610-2024</t>
        </is>
      </c>
      <c r="B574" s="1" t="n">
        <v>45582.98494212963</v>
      </c>
      <c r="C574" s="1" t="n">
        <v>45913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11757-2025</t>
        </is>
      </c>
      <c r="B575" s="1" t="n">
        <v>45727.64337962963</v>
      </c>
      <c r="C575" s="1" t="n">
        <v>45913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35293-2021</t>
        </is>
      </c>
      <c r="B576" s="1" t="n">
        <v>44384</v>
      </c>
      <c r="C576" s="1" t="n">
        <v>45913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Kyrkan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30834-2022</t>
        </is>
      </c>
      <c r="B577" s="1" t="n">
        <v>44767</v>
      </c>
      <c r="C577" s="1" t="n">
        <v>45913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15183-2023</t>
        </is>
      </c>
      <c r="B578" s="1" t="n">
        <v>45016.67141203704</v>
      </c>
      <c r="C578" s="1" t="n">
        <v>45913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49818-2024</t>
        </is>
      </c>
      <c r="B579" s="1" t="n">
        <v>45597.40140046296</v>
      </c>
      <c r="C579" s="1" t="n">
        <v>45913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26390-2024</t>
        </is>
      </c>
      <c r="B580" s="1" t="n">
        <v>45469.43265046296</v>
      </c>
      <c r="C580" s="1" t="n">
        <v>45913</v>
      </c>
      <c r="D580" t="inlineStr">
        <is>
          <t>ÖSTERGÖTLANDS LÄN</t>
        </is>
      </c>
      <c r="E580" t="inlineStr">
        <is>
          <t>NORRKÖPING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62529-2023</t>
        </is>
      </c>
      <c r="B581" s="1" t="n">
        <v>45268</v>
      </c>
      <c r="C581" s="1" t="n">
        <v>45913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6067-2022</t>
        </is>
      </c>
      <c r="B582" s="1" t="n">
        <v>44599</v>
      </c>
      <c r="C582" s="1" t="n">
        <v>45913</v>
      </c>
      <c r="D582" t="inlineStr">
        <is>
          <t>ÖSTERGÖTLANDS LÄN</t>
        </is>
      </c>
      <c r="E582" t="inlineStr">
        <is>
          <t>NORRKÖPING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11519-2025</t>
        </is>
      </c>
      <c r="B583" s="1" t="n">
        <v>45726.90959490741</v>
      </c>
      <c r="C583" s="1" t="n">
        <v>45913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22470-2022</t>
        </is>
      </c>
      <c r="B584" s="1" t="n">
        <v>44713.58678240741</v>
      </c>
      <c r="C584" s="1" t="n">
        <v>45913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32511-2023</t>
        </is>
      </c>
      <c r="B585" s="1" t="n">
        <v>45121</v>
      </c>
      <c r="C585" s="1" t="n">
        <v>45913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33256-2025</t>
        </is>
      </c>
      <c r="B586" s="1" t="n">
        <v>45840.66978009259</v>
      </c>
      <c r="C586" s="1" t="n">
        <v>45913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5976-2022</t>
        </is>
      </c>
      <c r="B587" s="1" t="n">
        <v>44597</v>
      </c>
      <c r="C587" s="1" t="n">
        <v>45913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4852-2021</t>
        </is>
      </c>
      <c r="B588" s="1" t="n">
        <v>44225</v>
      </c>
      <c r="C588" s="1" t="n">
        <v>45913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15402-2025</t>
        </is>
      </c>
      <c r="B589" s="1" t="n">
        <v>45747.44502314815</v>
      </c>
      <c r="C589" s="1" t="n">
        <v>45913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38404-2025</t>
        </is>
      </c>
      <c r="B590" s="1" t="n">
        <v>45883.58974537037</v>
      </c>
      <c r="C590" s="1" t="n">
        <v>45913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38431-2025</t>
        </is>
      </c>
      <c r="B591" s="1" t="n">
        <v>45883.63648148148</v>
      </c>
      <c r="C591" s="1" t="n">
        <v>45913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38455-2025</t>
        </is>
      </c>
      <c r="B592" s="1" t="n">
        <v>45883.69113425926</v>
      </c>
      <c r="C592" s="1" t="n">
        <v>45913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38463-2025</t>
        </is>
      </c>
      <c r="B593" s="1" t="n">
        <v>45883.74664351852</v>
      </c>
      <c r="C593" s="1" t="n">
        <v>45913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47051-2023</t>
        </is>
      </c>
      <c r="B594" s="1" t="n">
        <v>45201.56556712963</v>
      </c>
      <c r="C594" s="1" t="n">
        <v>45913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16696-2023</t>
        </is>
      </c>
      <c r="B595" s="1" t="n">
        <v>45030.61489583334</v>
      </c>
      <c r="C595" s="1" t="n">
        <v>45913</v>
      </c>
      <c r="D595" t="inlineStr">
        <is>
          <t>ÖSTERGÖTLANDS LÄN</t>
        </is>
      </c>
      <c r="E595" t="inlineStr">
        <is>
          <t>NORRKÖPING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16698-2023</t>
        </is>
      </c>
      <c r="B596" s="1" t="n">
        <v>45030.61744212963</v>
      </c>
      <c r="C596" s="1" t="n">
        <v>45913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44853.64244212963</v>
      </c>
      <c r="C597" s="1" t="n">
        <v>45913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3035-2025</t>
        </is>
      </c>
      <c r="B598" s="1" t="n">
        <v>45678.59783564815</v>
      </c>
      <c r="C598" s="1" t="n">
        <v>45913</v>
      </c>
      <c r="D598" t="inlineStr">
        <is>
          <t>ÖSTERGÖTLANDS LÄN</t>
        </is>
      </c>
      <c r="E598" t="inlineStr">
        <is>
          <t>NORRKÖPING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29622-2022</t>
        </is>
      </c>
      <c r="B599" s="1" t="n">
        <v>44754.57658564814</v>
      </c>
      <c r="C599" s="1" t="n">
        <v>45913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27503-2022</t>
        </is>
      </c>
      <c r="B600" s="1" t="n">
        <v>44742</v>
      </c>
      <c r="C600" s="1" t="n">
        <v>45913</v>
      </c>
      <c r="D600" t="inlineStr">
        <is>
          <t>ÖSTERGÖTLANDS LÄN</t>
        </is>
      </c>
      <c r="E600" t="inlineStr">
        <is>
          <t>NORRKÖPING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12511-2023</t>
        </is>
      </c>
      <c r="B601" s="1" t="n">
        <v>44999</v>
      </c>
      <c r="C601" s="1" t="n">
        <v>45913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45913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38383-2025</t>
        </is>
      </c>
      <c r="B603" s="1" t="n">
        <v>45883.5738425926</v>
      </c>
      <c r="C603" s="1" t="n">
        <v>45913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7141-2023</t>
        </is>
      </c>
      <c r="B604" s="1" t="n">
        <v>44970.44197916667</v>
      </c>
      <c r="C604" s="1" t="n">
        <v>45913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30095-2023</t>
        </is>
      </c>
      <c r="B605" s="1" t="n">
        <v>45110</v>
      </c>
      <c r="C605" s="1" t="n">
        <v>45913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45913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21664-2024</t>
        </is>
      </c>
      <c r="B607" s="1" t="n">
        <v>45442.38490740741</v>
      </c>
      <c r="C607" s="1" t="n">
        <v>45913</v>
      </c>
      <c r="D607" t="inlineStr">
        <is>
          <t>ÖSTERGÖTLANDS LÄN</t>
        </is>
      </c>
      <c r="E607" t="inlineStr">
        <is>
          <t>NORRKÖPING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38571-2025</t>
        </is>
      </c>
      <c r="B608" s="1" t="n">
        <v>45884.45916666667</v>
      </c>
      <c r="C608" s="1" t="n">
        <v>45913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38003-2025</t>
        </is>
      </c>
      <c r="B609" s="1" t="n">
        <v>45881</v>
      </c>
      <c r="C609" s="1" t="n">
        <v>45913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38400-2025</t>
        </is>
      </c>
      <c r="B610" s="1" t="n">
        <v>45883.58756944445</v>
      </c>
      <c r="C610" s="1" t="n">
        <v>45913</v>
      </c>
      <c r="D610" t="inlineStr">
        <is>
          <t>ÖSTERGÖTLANDS LÄN</t>
        </is>
      </c>
      <c r="E610" t="inlineStr">
        <is>
          <t>NORRKÖPING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21772-2024</t>
        </is>
      </c>
      <c r="B611" s="1" t="n">
        <v>45442.61221064815</v>
      </c>
      <c r="C611" s="1" t="n">
        <v>45913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14031-2023</t>
        </is>
      </c>
      <c r="B612" s="1" t="n">
        <v>45008.62458333333</v>
      </c>
      <c r="C612" s="1" t="n">
        <v>45913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9233-2023</t>
        </is>
      </c>
      <c r="B613" s="1" t="n">
        <v>44980</v>
      </c>
      <c r="C613" s="1" t="n">
        <v>45913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7317-2025</t>
        </is>
      </c>
      <c r="B614" s="1" t="n">
        <v>45702.76590277778</v>
      </c>
      <c r="C614" s="1" t="n">
        <v>45913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14611-2023</t>
        </is>
      </c>
      <c r="B615" s="1" t="n">
        <v>45013.63658564815</v>
      </c>
      <c r="C615" s="1" t="n">
        <v>45913</v>
      </c>
      <c r="D615" t="inlineStr">
        <is>
          <t>ÖSTERGÖTLANDS LÄN</t>
        </is>
      </c>
      <c r="E615" t="inlineStr">
        <is>
          <t>NORRKÖPING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50119-2023</t>
        </is>
      </c>
      <c r="B616" s="1" t="n">
        <v>45215.63990740741</v>
      </c>
      <c r="C616" s="1" t="n">
        <v>45913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31834-2023</t>
        </is>
      </c>
      <c r="B617" s="1" t="n">
        <v>45106</v>
      </c>
      <c r="C617" s="1" t="n">
        <v>45913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53278-2023</t>
        </is>
      </c>
      <c r="B618" s="1" t="n">
        <v>45229</v>
      </c>
      <c r="C618" s="1" t="n">
        <v>45913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38644-2025</t>
        </is>
      </c>
      <c r="B619" s="1" t="n">
        <v>45884.57759259259</v>
      </c>
      <c r="C619" s="1" t="n">
        <v>45913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38692-2025</t>
        </is>
      </c>
      <c r="B620" s="1" t="n">
        <v>45884.68263888889</v>
      </c>
      <c r="C620" s="1" t="n">
        <v>45913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18886-2025</t>
        </is>
      </c>
      <c r="B621" s="1" t="n">
        <v>45764.44263888889</v>
      </c>
      <c r="C621" s="1" t="n">
        <v>45913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9822-2025</t>
        </is>
      </c>
      <c r="B622" s="1" t="n">
        <v>45716.57158564815</v>
      </c>
      <c r="C622" s="1" t="n">
        <v>45913</v>
      </c>
      <c r="D622" t="inlineStr">
        <is>
          <t>ÖSTERGÖTLANDS LÄN</t>
        </is>
      </c>
      <c r="E622" t="inlineStr">
        <is>
          <t>NORRKÖPING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30564-2021</t>
        </is>
      </c>
      <c r="B623" s="1" t="n">
        <v>44364.78170138889</v>
      </c>
      <c r="C623" s="1" t="n">
        <v>45913</v>
      </c>
      <c r="D623" t="inlineStr">
        <is>
          <t>ÖSTERGÖTLANDS LÄN</t>
        </is>
      </c>
      <c r="E623" t="inlineStr">
        <is>
          <t>NORRKÖPING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9532-2025</t>
        </is>
      </c>
      <c r="B624" s="1" t="n">
        <v>45715.56964120371</v>
      </c>
      <c r="C624" s="1" t="n">
        <v>45913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28062-2022</t>
        </is>
      </c>
      <c r="B625" s="1" t="n">
        <v>44746</v>
      </c>
      <c r="C625" s="1" t="n">
        <v>45913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53852-2022</t>
        </is>
      </c>
      <c r="B626" s="1" t="n">
        <v>44880</v>
      </c>
      <c r="C626" s="1" t="n">
        <v>45913</v>
      </c>
      <c r="D626" t="inlineStr">
        <is>
          <t>ÖSTERGÖTLANDS LÄN</t>
        </is>
      </c>
      <c r="E626" t="inlineStr">
        <is>
          <t>NORRKÖPING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11587-2023</t>
        </is>
      </c>
      <c r="B627" s="1" t="n">
        <v>44992</v>
      </c>
      <c r="C627" s="1" t="n">
        <v>45913</v>
      </c>
      <c r="D627" t="inlineStr">
        <is>
          <t>ÖSTERGÖTLANDS LÄN</t>
        </is>
      </c>
      <c r="E627" t="inlineStr">
        <is>
          <t>NORRKÖPING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1935-2022</t>
        </is>
      </c>
      <c r="B628" s="1" t="n">
        <v>44575</v>
      </c>
      <c r="C628" s="1" t="n">
        <v>45913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4770-2023</t>
        </is>
      </c>
      <c r="B629" s="1" t="n">
        <v>44957</v>
      </c>
      <c r="C629" s="1" t="n">
        <v>45913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2923-2023</t>
        </is>
      </c>
      <c r="B630" s="1" t="n">
        <v>44945.58030092593</v>
      </c>
      <c r="C630" s="1" t="n">
        <v>45913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26834-2023</t>
        </is>
      </c>
      <c r="B631" s="1" t="n">
        <v>45093.54811342592</v>
      </c>
      <c r="C631" s="1" t="n">
        <v>45913</v>
      </c>
      <c r="D631" t="inlineStr">
        <is>
          <t>ÖSTERGÖTLANDS LÄN</t>
        </is>
      </c>
      <c r="E631" t="inlineStr">
        <is>
          <t>NORRKÖPING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12223-2025</t>
        </is>
      </c>
      <c r="B632" s="1" t="n">
        <v>45729</v>
      </c>
      <c r="C632" s="1" t="n">
        <v>45913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30062-2023</t>
        </is>
      </c>
      <c r="B633" s="1" t="n">
        <v>45110</v>
      </c>
      <c r="C633" s="1" t="n">
        <v>45913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63349-2023</t>
        </is>
      </c>
      <c r="B634" s="1" t="n">
        <v>45274.43547453704</v>
      </c>
      <c r="C634" s="1" t="n">
        <v>45913</v>
      </c>
      <c r="D634" t="inlineStr">
        <is>
          <t>ÖSTERGÖTLANDS LÄN</t>
        </is>
      </c>
      <c r="E634" t="inlineStr">
        <is>
          <t>NORRKÖPING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12682-2025</t>
        </is>
      </c>
      <c r="B635" s="1" t="n">
        <v>45733.44431712963</v>
      </c>
      <c r="C635" s="1" t="n">
        <v>45913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HYPERLINK("https://klasma.github.io/Logging_0581/knärot/A 12682-2025 karta knärot.png", "A 12682-2025")</f>
        <v/>
      </c>
      <c r="V635">
        <f>HYPERLINK("https://klasma.github.io/Logging_0581/klagomål/A 12682-2025 FSC-klagomål.docx", "A 12682-2025")</f>
        <v/>
      </c>
      <c r="W635">
        <f>HYPERLINK("https://klasma.github.io/Logging_0581/klagomålsmail/A 12682-2025 FSC-klagomål mail.docx", "A 12682-2025")</f>
        <v/>
      </c>
      <c r="X635">
        <f>HYPERLINK("https://klasma.github.io/Logging_0581/tillsyn/A 12682-2025 tillsynsbegäran.docx", "A 12682-2025")</f>
        <v/>
      </c>
      <c r="Y635">
        <f>HYPERLINK("https://klasma.github.io/Logging_0581/tillsynsmail/A 12682-2025 tillsynsbegäran mail.docx", "A 12682-2025")</f>
        <v/>
      </c>
    </row>
    <row r="636" ht="15" customHeight="1">
      <c r="A636" t="inlineStr">
        <is>
          <t>A 47067-2020</t>
        </is>
      </c>
      <c r="B636" s="1" t="n">
        <v>44096</v>
      </c>
      <c r="C636" s="1" t="n">
        <v>45913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20227-2025</t>
        </is>
      </c>
      <c r="B637" s="1" t="n">
        <v>45772.6652662037</v>
      </c>
      <c r="C637" s="1" t="n">
        <v>45913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59460-2023</t>
        </is>
      </c>
      <c r="B638" s="1" t="n">
        <v>45254</v>
      </c>
      <c r="C638" s="1" t="n">
        <v>45913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59859-2024</t>
        </is>
      </c>
      <c r="B639" s="1" t="n">
        <v>45638</v>
      </c>
      <c r="C639" s="1" t="n">
        <v>45913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38411-2025</t>
        </is>
      </c>
      <c r="B640" s="1" t="n">
        <v>45883.59934027777</v>
      </c>
      <c r="C640" s="1" t="n">
        <v>45913</v>
      </c>
      <c r="D640" t="inlineStr">
        <is>
          <t>ÖSTERGÖTLANDS LÄN</t>
        </is>
      </c>
      <c r="E640" t="inlineStr">
        <is>
          <t>NORRKÖPING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23630-2023</t>
        </is>
      </c>
      <c r="B641" s="1" t="n">
        <v>45077</v>
      </c>
      <c r="C641" s="1" t="n">
        <v>45913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31801-2024</t>
        </is>
      </c>
      <c r="B642" s="1" t="n">
        <v>45509.57052083333</v>
      </c>
      <c r="C642" s="1" t="n">
        <v>45913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18658-2023</t>
        </is>
      </c>
      <c r="B643" s="1" t="n">
        <v>45043</v>
      </c>
      <c r="C643" s="1" t="n">
        <v>45913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43277-2023</t>
        </is>
      </c>
      <c r="B644" s="1" t="n">
        <v>45183</v>
      </c>
      <c r="C644" s="1" t="n">
        <v>45913</v>
      </c>
      <c r="D644" t="inlineStr">
        <is>
          <t>ÖSTERGÖTLANDS LÄN</t>
        </is>
      </c>
      <c r="E644" t="inlineStr">
        <is>
          <t>NORRKÖPING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19853-2023</t>
        </is>
      </c>
      <c r="B645" s="1" t="n">
        <v>45053.82055555555</v>
      </c>
      <c r="C645" s="1" t="n">
        <v>45913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53434-2024</t>
        </is>
      </c>
      <c r="B646" s="1" t="n">
        <v>45614.52813657407</v>
      </c>
      <c r="C646" s="1" t="n">
        <v>45913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Naturvårdsverket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19259-2023</t>
        </is>
      </c>
      <c r="B647" s="1" t="n">
        <v>45049.34974537037</v>
      </c>
      <c r="C647" s="1" t="n">
        <v>45913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19260-2023</t>
        </is>
      </c>
      <c r="B648" s="1" t="n">
        <v>45049.35048611111</v>
      </c>
      <c r="C648" s="1" t="n">
        <v>45913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34907-2024</t>
        </is>
      </c>
      <c r="B649" s="1" t="n">
        <v>45527.41597222222</v>
      </c>
      <c r="C649" s="1" t="n">
        <v>45913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2021-2023</t>
        </is>
      </c>
      <c r="B650" s="1" t="n">
        <v>44939</v>
      </c>
      <c r="C650" s="1" t="n">
        <v>45913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45913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55063-2023</t>
        </is>
      </c>
      <c r="B652" s="1" t="n">
        <v>45237</v>
      </c>
      <c r="C652" s="1" t="n">
        <v>45913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Kyrkan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19230-2025</t>
        </is>
      </c>
      <c r="B653" s="1" t="n">
        <v>45769.45751157407</v>
      </c>
      <c r="C653" s="1" t="n">
        <v>45913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67358-2020</t>
        </is>
      </c>
      <c r="B654" s="1" t="n">
        <v>44181</v>
      </c>
      <c r="C654" s="1" t="n">
        <v>45913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18636-2023</t>
        </is>
      </c>
      <c r="B655" s="1" t="n">
        <v>45043.49425925926</v>
      </c>
      <c r="C655" s="1" t="n">
        <v>45913</v>
      </c>
      <c r="D655" t="inlineStr">
        <is>
          <t>ÖSTERGÖTLANDS LÄN</t>
        </is>
      </c>
      <c r="E655" t="inlineStr">
        <is>
          <t>NORRKÖPING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19287-2025</t>
        </is>
      </c>
      <c r="B656" s="1" t="n">
        <v>45769</v>
      </c>
      <c r="C656" s="1" t="n">
        <v>45913</v>
      </c>
      <c r="D656" t="inlineStr">
        <is>
          <t>ÖSTERGÖTLANDS LÄN</t>
        </is>
      </c>
      <c r="E656" t="inlineStr">
        <is>
          <t>NORRKÖPING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19298-2025</t>
        </is>
      </c>
      <c r="B657" s="1" t="n">
        <v>45769</v>
      </c>
      <c r="C657" s="1" t="n">
        <v>45913</v>
      </c>
      <c r="D657" t="inlineStr">
        <is>
          <t>ÖSTERGÖTLANDS LÄN</t>
        </is>
      </c>
      <c r="E657" t="inlineStr">
        <is>
          <t>NORRKÖPING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49452-2021</t>
        </is>
      </c>
      <c r="B658" s="1" t="n">
        <v>44454</v>
      </c>
      <c r="C658" s="1" t="n">
        <v>45913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12674-2025</t>
        </is>
      </c>
      <c r="B659" s="1" t="n">
        <v>45733.43347222222</v>
      </c>
      <c r="C659" s="1" t="n">
        <v>45913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47552-2020</t>
        </is>
      </c>
      <c r="B660" s="1" t="n">
        <v>44096</v>
      </c>
      <c r="C660" s="1" t="n">
        <v>45913</v>
      </c>
      <c r="D660" t="inlineStr">
        <is>
          <t>ÖSTERGÖTLANDS LÄN</t>
        </is>
      </c>
      <c r="E660" t="inlineStr">
        <is>
          <t>NORRKÖPING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1841-2025</t>
        </is>
      </c>
      <c r="B661" s="1" t="n">
        <v>45671.5678125</v>
      </c>
      <c r="C661" s="1" t="n">
        <v>45913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49060-2022</t>
        </is>
      </c>
      <c r="B662" s="1" t="n">
        <v>44860</v>
      </c>
      <c r="C662" s="1" t="n">
        <v>45913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56465-2020</t>
        </is>
      </c>
      <c r="B663" s="1" t="n">
        <v>44137</v>
      </c>
      <c r="C663" s="1" t="n">
        <v>45913</v>
      </c>
      <c r="D663" t="inlineStr">
        <is>
          <t>ÖSTERGÖTLANDS LÄN</t>
        </is>
      </c>
      <c r="E663" t="inlineStr">
        <is>
          <t>NORRKÖPING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14441-2025</t>
        </is>
      </c>
      <c r="B664" s="1" t="n">
        <v>45741.51940972222</v>
      </c>
      <c r="C664" s="1" t="n">
        <v>45913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45362-2021</t>
        </is>
      </c>
      <c r="B665" s="1" t="n">
        <v>44439.97621527778</v>
      </c>
      <c r="C665" s="1" t="n">
        <v>45913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59023-2020</t>
        </is>
      </c>
      <c r="B666" s="1" t="n">
        <v>44147</v>
      </c>
      <c r="C666" s="1" t="n">
        <v>45913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7714-2025</t>
        </is>
      </c>
      <c r="B667" s="1" t="n">
        <v>45706.42958333333</v>
      </c>
      <c r="C667" s="1" t="n">
        <v>45913</v>
      </c>
      <c r="D667" t="inlineStr">
        <is>
          <t>ÖSTERGÖTLANDS LÄN</t>
        </is>
      </c>
      <c r="E667" t="inlineStr">
        <is>
          <t>NORRKÖPING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59887-2022</t>
        </is>
      </c>
      <c r="B668" s="1" t="n">
        <v>44908</v>
      </c>
      <c r="C668" s="1" t="n">
        <v>45913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25982-2023</t>
        </is>
      </c>
      <c r="B669" s="1" t="n">
        <v>45090</v>
      </c>
      <c r="C669" s="1" t="n">
        <v>45913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57413-2022</t>
        </is>
      </c>
      <c r="B670" s="1" t="n">
        <v>44896</v>
      </c>
      <c r="C670" s="1" t="n">
        <v>45913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57772-2022</t>
        </is>
      </c>
      <c r="B671" s="1" t="n">
        <v>44897</v>
      </c>
      <c r="C671" s="1" t="n">
        <v>45913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60639-2024</t>
        </is>
      </c>
      <c r="B672" s="1" t="n">
        <v>45642</v>
      </c>
      <c r="C672" s="1" t="n">
        <v>45913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57979-2022</t>
        </is>
      </c>
      <c r="B673" s="1" t="n">
        <v>44900</v>
      </c>
      <c r="C673" s="1" t="n">
        <v>45913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33703-2024</t>
        </is>
      </c>
      <c r="B674" s="1" t="n">
        <v>45520.52375</v>
      </c>
      <c r="C674" s="1" t="n">
        <v>45913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38740-2025</t>
        </is>
      </c>
      <c r="B675" s="1" t="n">
        <v>45887</v>
      </c>
      <c r="C675" s="1" t="n">
        <v>45913</v>
      </c>
      <c r="D675" t="inlineStr">
        <is>
          <t>ÖSTERGÖTLANDS LÄN</t>
        </is>
      </c>
      <c r="E675" t="inlineStr">
        <is>
          <t>NORRKÖPING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12814-2025</t>
        </is>
      </c>
      <c r="B676" s="1" t="n">
        <v>45733.62203703704</v>
      </c>
      <c r="C676" s="1" t="n">
        <v>45913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2955-2025</t>
        </is>
      </c>
      <c r="B677" s="1" t="n">
        <v>45678.44092592593</v>
      </c>
      <c r="C677" s="1" t="n">
        <v>45913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45913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4471-2025</t>
        </is>
      </c>
      <c r="B679" s="1" t="n">
        <v>45686.61590277778</v>
      </c>
      <c r="C679" s="1" t="n">
        <v>45913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57733-2022</t>
        </is>
      </c>
      <c r="B680" s="1" t="n">
        <v>44897</v>
      </c>
      <c r="C680" s="1" t="n">
        <v>45913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44928.45552083333</v>
      </c>
      <c r="C681" s="1" t="n">
        <v>45913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62376-2022</t>
        </is>
      </c>
      <c r="B682" s="1" t="n">
        <v>44923.67971064815</v>
      </c>
      <c r="C682" s="1" t="n">
        <v>45913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12563-2025</t>
        </is>
      </c>
      <c r="B683" s="1" t="n">
        <v>45731.59962962963</v>
      </c>
      <c r="C683" s="1" t="n">
        <v>45913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59847-2020</t>
        </is>
      </c>
      <c r="B684" s="1" t="n">
        <v>44151.53271990741</v>
      </c>
      <c r="C684" s="1" t="n">
        <v>45913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38717-2025</t>
        </is>
      </c>
      <c r="B685" s="1" t="n">
        <v>45886</v>
      </c>
      <c r="C685" s="1" t="n">
        <v>45913</v>
      </c>
      <c r="D685" t="inlineStr">
        <is>
          <t>ÖSTERGÖTLANDS LÄN</t>
        </is>
      </c>
      <c r="E685" t="inlineStr">
        <is>
          <t>NORRKÖPING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38719-2025</t>
        </is>
      </c>
      <c r="B686" s="1" t="n">
        <v>45886.65516203704</v>
      </c>
      <c r="C686" s="1" t="n">
        <v>45913</v>
      </c>
      <c r="D686" t="inlineStr">
        <is>
          <t>ÖSTERGÖTLANDS LÄN</t>
        </is>
      </c>
      <c r="E686" t="inlineStr">
        <is>
          <t>NORRKÖPING</t>
        </is>
      </c>
      <c r="G686" t="n">
        <v>14.3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50960-2022</t>
        </is>
      </c>
      <c r="B687" s="1" t="n">
        <v>44867</v>
      </c>
      <c r="C687" s="1" t="n">
        <v>45913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64188-2023</t>
        </is>
      </c>
      <c r="B688" s="1" t="n">
        <v>45279.66864583334</v>
      </c>
      <c r="C688" s="1" t="n">
        <v>45913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59586-2022</t>
        </is>
      </c>
      <c r="B689" s="1" t="n">
        <v>44907.66710648148</v>
      </c>
      <c r="C689" s="1" t="n">
        <v>45913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4127-2022</t>
        </is>
      </c>
      <c r="B690" s="1" t="n">
        <v>44588</v>
      </c>
      <c r="C690" s="1" t="n">
        <v>45913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49238-2020</t>
        </is>
      </c>
      <c r="B691" s="1" t="n">
        <v>44105</v>
      </c>
      <c r="C691" s="1" t="n">
        <v>45913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39072-2025</t>
        </is>
      </c>
      <c r="B692" s="1" t="n">
        <v>45888.4712037037</v>
      </c>
      <c r="C692" s="1" t="n">
        <v>45913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39067-2025</t>
        </is>
      </c>
      <c r="B693" s="1" t="n">
        <v>45888.4658449074</v>
      </c>
      <c r="C693" s="1" t="n">
        <v>45913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38913-2025</t>
        </is>
      </c>
      <c r="B694" s="1" t="n">
        <v>45887</v>
      </c>
      <c r="C694" s="1" t="n">
        <v>45913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6844-2021</t>
        </is>
      </c>
      <c r="B695" s="1" t="n">
        <v>44237</v>
      </c>
      <c r="C695" s="1" t="n">
        <v>45913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34078-2025</t>
        </is>
      </c>
      <c r="B696" s="1" t="n">
        <v>45845.45563657407</v>
      </c>
      <c r="C696" s="1" t="n">
        <v>45913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21813-2024</t>
        </is>
      </c>
      <c r="B697" s="1" t="n">
        <v>45442.68033564815</v>
      </c>
      <c r="C697" s="1" t="n">
        <v>45913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45913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45913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20587-2024</t>
        </is>
      </c>
      <c r="B700" s="1" t="n">
        <v>45436.41847222222</v>
      </c>
      <c r="C700" s="1" t="n">
        <v>45913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39155-2025</t>
        </is>
      </c>
      <c r="B701" s="1" t="n">
        <v>45888.61847222222</v>
      </c>
      <c r="C701" s="1" t="n">
        <v>45913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34231-2025</t>
        </is>
      </c>
      <c r="B702" s="1" t="n">
        <v>45845.65797453704</v>
      </c>
      <c r="C702" s="1" t="n">
        <v>45913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24233-2025</t>
        </is>
      </c>
      <c r="B703" s="1" t="n">
        <v>45797</v>
      </c>
      <c r="C703" s="1" t="n">
        <v>45913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18661-2023</t>
        </is>
      </c>
      <c r="B704" s="1" t="n">
        <v>45043</v>
      </c>
      <c r="C704" s="1" t="n">
        <v>45913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23438-2021</t>
        </is>
      </c>
      <c r="B705" s="1" t="n">
        <v>44333</v>
      </c>
      <c r="C705" s="1" t="n">
        <v>45913</v>
      </c>
      <c r="D705" t="inlineStr">
        <is>
          <t>ÖSTERGÖTLANDS LÄN</t>
        </is>
      </c>
      <c r="E705" t="inlineStr">
        <is>
          <t>NORRKÖPING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32630-2022</t>
        </is>
      </c>
      <c r="B706" s="1" t="n">
        <v>44783</v>
      </c>
      <c r="C706" s="1" t="n">
        <v>45913</v>
      </c>
      <c r="D706" t="inlineStr">
        <is>
          <t>ÖSTERGÖTLANDS LÄN</t>
        </is>
      </c>
      <c r="E706" t="inlineStr">
        <is>
          <t>NORRKÖPING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49487-2022</t>
        </is>
      </c>
      <c r="B707" s="1" t="n">
        <v>44861</v>
      </c>
      <c r="C707" s="1" t="n">
        <v>45913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64573-2020</t>
        </is>
      </c>
      <c r="B708" s="1" t="n">
        <v>44166</v>
      </c>
      <c r="C708" s="1" t="n">
        <v>45913</v>
      </c>
      <c r="D708" t="inlineStr">
        <is>
          <t>ÖSTERGÖTLANDS LÄN</t>
        </is>
      </c>
      <c r="E708" t="inlineStr">
        <is>
          <t>NORRKÖPING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13918-2023</t>
        </is>
      </c>
      <c r="B709" s="1" t="n">
        <v>45008</v>
      </c>
      <c r="C709" s="1" t="n">
        <v>45913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37529-2025</t>
        </is>
      </c>
      <c r="B710" s="1" t="n">
        <v>45877</v>
      </c>
      <c r="C710" s="1" t="n">
        <v>45913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1277-2023</t>
        </is>
      </c>
      <c r="B711" s="1" t="n">
        <v>44936</v>
      </c>
      <c r="C711" s="1" t="n">
        <v>45913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1281-2023</t>
        </is>
      </c>
      <c r="B712" s="1" t="n">
        <v>44936</v>
      </c>
      <c r="C712" s="1" t="n">
        <v>45913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16700-2023</t>
        </is>
      </c>
      <c r="B713" s="1" t="n">
        <v>45030</v>
      </c>
      <c r="C713" s="1" t="n">
        <v>45913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66476-2020</t>
        </is>
      </c>
      <c r="B714" s="1" t="n">
        <v>44177</v>
      </c>
      <c r="C714" s="1" t="n">
        <v>45913</v>
      </c>
      <c r="D714" t="inlineStr">
        <is>
          <t>ÖSTERGÖTLANDS LÄN</t>
        </is>
      </c>
      <c r="E714" t="inlineStr">
        <is>
          <t>NORRKÖPING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66478-2020</t>
        </is>
      </c>
      <c r="B715" s="1" t="n">
        <v>44177</v>
      </c>
      <c r="C715" s="1" t="n">
        <v>45913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39224-2025</t>
        </is>
      </c>
      <c r="B716" s="1" t="n">
        <v>45889</v>
      </c>
      <c r="C716" s="1" t="n">
        <v>45913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37528-2025</t>
        </is>
      </c>
      <c r="B717" s="1" t="n">
        <v>45877</v>
      </c>
      <c r="C717" s="1" t="n">
        <v>45913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24634-2025</t>
        </is>
      </c>
      <c r="B718" s="1" t="n">
        <v>45798.60880787037</v>
      </c>
      <c r="C718" s="1" t="n">
        <v>45913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39223-2025</t>
        </is>
      </c>
      <c r="B719" s="1" t="n">
        <v>45889</v>
      </c>
      <c r="C719" s="1" t="n">
        <v>45913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12564-2025</t>
        </is>
      </c>
      <c r="B720" s="1" t="n">
        <v>45731.60166666667</v>
      </c>
      <c r="C720" s="1" t="n">
        <v>45913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9714-2025</t>
        </is>
      </c>
      <c r="B721" s="1" t="n">
        <v>45716.39159722222</v>
      </c>
      <c r="C721" s="1" t="n">
        <v>45913</v>
      </c>
      <c r="D721" t="inlineStr">
        <is>
          <t>ÖSTERGÖTLANDS LÄN</t>
        </is>
      </c>
      <c r="E721" t="inlineStr">
        <is>
          <t>NORRKÖPING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29079-2021</t>
        </is>
      </c>
      <c r="B722" s="1" t="n">
        <v>44358</v>
      </c>
      <c r="C722" s="1" t="n">
        <v>45913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24018-2025</t>
        </is>
      </c>
      <c r="B723" s="1" t="n">
        <v>45796.44922453703</v>
      </c>
      <c r="C723" s="1" t="n">
        <v>45913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13419-2025</t>
        </is>
      </c>
      <c r="B724" s="1" t="n">
        <v>45736.31508101852</v>
      </c>
      <c r="C724" s="1" t="n">
        <v>45913</v>
      </c>
      <c r="D724" t="inlineStr">
        <is>
          <t>ÖSTERGÖTLANDS LÄN</t>
        </is>
      </c>
      <c r="E724" t="inlineStr">
        <is>
          <t>NORRKÖPING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39865-2025</t>
        </is>
      </c>
      <c r="B725" s="1" t="n">
        <v>45891.60346064815</v>
      </c>
      <c r="C725" s="1" t="n">
        <v>45913</v>
      </c>
      <c r="D725" t="inlineStr">
        <is>
          <t>ÖSTERGÖTLANDS LÄN</t>
        </is>
      </c>
      <c r="E725" t="inlineStr">
        <is>
          <t>NORRKÖPING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41367-2023</t>
        </is>
      </c>
      <c r="B726" s="1" t="n">
        <v>45174</v>
      </c>
      <c r="C726" s="1" t="n">
        <v>45913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41375-2023</t>
        </is>
      </c>
      <c r="B727" s="1" t="n">
        <v>45174.87439814815</v>
      </c>
      <c r="C727" s="1" t="n">
        <v>45913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40134-2025</t>
        </is>
      </c>
      <c r="B728" s="1" t="n">
        <v>45894.55337962963</v>
      </c>
      <c r="C728" s="1" t="n">
        <v>45913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11261-2023</t>
        </is>
      </c>
      <c r="B729" s="1" t="n">
        <v>44992</v>
      </c>
      <c r="C729" s="1" t="n">
        <v>45913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40053-2025</t>
        </is>
      </c>
      <c r="B730" s="1" t="n">
        <v>45894.41133101852</v>
      </c>
      <c r="C730" s="1" t="n">
        <v>45913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40132-2025</t>
        </is>
      </c>
      <c r="B731" s="1" t="n">
        <v>45894.55216435185</v>
      </c>
      <c r="C731" s="1" t="n">
        <v>45913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61188-2020</t>
        </is>
      </c>
      <c r="B732" s="1" t="n">
        <v>44155</v>
      </c>
      <c r="C732" s="1" t="n">
        <v>45913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36750-2025</t>
        </is>
      </c>
      <c r="B733" s="1" t="n">
        <v>45873</v>
      </c>
      <c r="C733" s="1" t="n">
        <v>45913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39863-2025</t>
        </is>
      </c>
      <c r="B734" s="1" t="n">
        <v>45891.60103009259</v>
      </c>
      <c r="C734" s="1" t="n">
        <v>45913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27865-2025</t>
        </is>
      </c>
      <c r="B735" s="1" t="n">
        <v>45817.42607638889</v>
      </c>
      <c r="C735" s="1" t="n">
        <v>45913</v>
      </c>
      <c r="D735" t="inlineStr">
        <is>
          <t>ÖSTERGÖTLANDS LÄN</t>
        </is>
      </c>
      <c r="E735" t="inlineStr">
        <is>
          <t>NORRKÖPING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40095-2025</t>
        </is>
      </c>
      <c r="B736" s="1" t="n">
        <v>45894.4825</v>
      </c>
      <c r="C736" s="1" t="n">
        <v>45913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39861-2025</t>
        </is>
      </c>
      <c r="B737" s="1" t="n">
        <v>45891.59726851852</v>
      </c>
      <c r="C737" s="1" t="n">
        <v>45913</v>
      </c>
      <c r="D737" t="inlineStr">
        <is>
          <t>ÖSTERGÖTLANDS LÄN</t>
        </is>
      </c>
      <c r="E737" t="inlineStr">
        <is>
          <t>NORRKÖPING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39862-2025</t>
        </is>
      </c>
      <c r="B738" s="1" t="n">
        <v>45891.59938657407</v>
      </c>
      <c r="C738" s="1" t="n">
        <v>45913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14901-2023</t>
        </is>
      </c>
      <c r="B739" s="1" t="n">
        <v>45014</v>
      </c>
      <c r="C739" s="1" t="n">
        <v>45913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40315-2025</t>
        </is>
      </c>
      <c r="B740" s="1" t="n">
        <v>45895.42582175926</v>
      </c>
      <c r="C740" s="1" t="n">
        <v>45913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57495-2023</t>
        </is>
      </c>
      <c r="B741" s="1" t="n">
        <v>45246.41783564815</v>
      </c>
      <c r="C741" s="1" t="n">
        <v>45913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27632-2025</t>
        </is>
      </c>
      <c r="B742" s="1" t="n">
        <v>45813.56320601852</v>
      </c>
      <c r="C742" s="1" t="n">
        <v>45913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40284-2025</t>
        </is>
      </c>
      <c r="B743" s="1" t="n">
        <v>45895.373125</v>
      </c>
      <c r="C743" s="1" t="n">
        <v>45913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3484-2021</t>
        </is>
      </c>
      <c r="B744" s="1" t="n">
        <v>44218</v>
      </c>
      <c r="C744" s="1" t="n">
        <v>45913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40669-2025</t>
        </is>
      </c>
      <c r="B745" s="1" t="n">
        <v>45896.66505787037</v>
      </c>
      <c r="C745" s="1" t="n">
        <v>45913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40670-2025</t>
        </is>
      </c>
      <c r="B746" s="1" t="n">
        <v>45896.66944444444</v>
      </c>
      <c r="C746" s="1" t="n">
        <v>45913</v>
      </c>
      <c r="D746" t="inlineStr">
        <is>
          <t>ÖSTERGÖTLANDS LÄN</t>
        </is>
      </c>
      <c r="E746" t="inlineStr">
        <is>
          <t>NORRKÖPING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40679-2025</t>
        </is>
      </c>
      <c r="B747" s="1" t="n">
        <v>45896.81087962963</v>
      </c>
      <c r="C747" s="1" t="n">
        <v>45913</v>
      </c>
      <c r="D747" t="inlineStr">
        <is>
          <t>ÖSTERGÖTLANDS LÄN</t>
        </is>
      </c>
      <c r="E747" t="inlineStr">
        <is>
          <t>NORRKÖPING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40278-2025</t>
        </is>
      </c>
      <c r="B748" s="1" t="n">
        <v>45895.3627662037</v>
      </c>
      <c r="C748" s="1" t="n">
        <v>45913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23373-2024</t>
        </is>
      </c>
      <c r="B749" s="1" t="n">
        <v>45453.55534722222</v>
      </c>
      <c r="C749" s="1" t="n">
        <v>45913</v>
      </c>
      <c r="D749" t="inlineStr">
        <is>
          <t>ÖSTERGÖTLANDS LÄN</t>
        </is>
      </c>
      <c r="E749" t="inlineStr">
        <is>
          <t>NORRKÖPING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15843-2023</t>
        </is>
      </c>
      <c r="B750" s="1" t="n">
        <v>45022.34695601852</v>
      </c>
      <c r="C750" s="1" t="n">
        <v>45913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10427-2023</t>
        </is>
      </c>
      <c r="B751" s="1" t="n">
        <v>44987.5428587963</v>
      </c>
      <c r="C751" s="1" t="n">
        <v>45913</v>
      </c>
      <c r="D751" t="inlineStr">
        <is>
          <t>ÖSTERGÖTLANDS LÄN</t>
        </is>
      </c>
      <c r="E751" t="inlineStr">
        <is>
          <t>NORRKÖPING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41321-2025</t>
        </is>
      </c>
      <c r="B752" s="1" t="n">
        <v>45898.86685185185</v>
      </c>
      <c r="C752" s="1" t="n">
        <v>45913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41215-2025</t>
        </is>
      </c>
      <c r="B753" s="1" t="n">
        <v>45898.58202546297</v>
      </c>
      <c r="C753" s="1" t="n">
        <v>45913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19681-2025</t>
        </is>
      </c>
      <c r="B754" s="1" t="n">
        <v>45770.84420138889</v>
      </c>
      <c r="C754" s="1" t="n">
        <v>45913</v>
      </c>
      <c r="D754" t="inlineStr">
        <is>
          <t>ÖSTERGÖTLANDS LÄN</t>
        </is>
      </c>
      <c r="E754" t="inlineStr">
        <is>
          <t>NORRKÖPING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25981-2023</t>
        </is>
      </c>
      <c r="B755" s="1" t="n">
        <v>45090.90752314815</v>
      </c>
      <c r="C755" s="1" t="n">
        <v>45913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32574-2022</t>
        </is>
      </c>
      <c r="B756" s="1" t="n">
        <v>44783</v>
      </c>
      <c r="C756" s="1" t="n">
        <v>45913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19113-2023</t>
        </is>
      </c>
      <c r="B757" s="1" t="n">
        <v>45048</v>
      </c>
      <c r="C757" s="1" t="n">
        <v>45913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38657-2025</t>
        </is>
      </c>
      <c r="B758" s="1" t="n">
        <v>45884.60458333333</v>
      </c>
      <c r="C758" s="1" t="n">
        <v>45913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35736-2025</t>
        </is>
      </c>
      <c r="B759" s="1" t="n">
        <v>45860</v>
      </c>
      <c r="C759" s="1" t="n">
        <v>45913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8815-2024</t>
        </is>
      </c>
      <c r="B760" s="1" t="n">
        <v>45356.66037037037</v>
      </c>
      <c r="C760" s="1" t="n">
        <v>45913</v>
      </c>
      <c r="D760" t="inlineStr">
        <is>
          <t>ÖSTERGÖTLANDS LÄN</t>
        </is>
      </c>
      <c r="E760" t="inlineStr">
        <is>
          <t>NORRKÖPING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18664-2023</t>
        </is>
      </c>
      <c r="B761" s="1" t="n">
        <v>45043</v>
      </c>
      <c r="C761" s="1" t="n">
        <v>45913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42233-2025</t>
        </is>
      </c>
      <c r="B762" s="1" t="n">
        <v>45904.55924768518</v>
      </c>
      <c r="C762" s="1" t="n">
        <v>45913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22698-2023</t>
        </is>
      </c>
      <c r="B763" s="1" t="n">
        <v>45071</v>
      </c>
      <c r="C763" s="1" t="n">
        <v>45913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41952-2025</t>
        </is>
      </c>
      <c r="B764" s="1" t="n">
        <v>45903.45952546296</v>
      </c>
      <c r="C764" s="1" t="n">
        <v>45913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6566-2025</t>
        </is>
      </c>
      <c r="B765" s="1" t="n">
        <v>45699</v>
      </c>
      <c r="C765" s="1" t="n">
        <v>45913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41933-2025</t>
        </is>
      </c>
      <c r="B766" s="1" t="n">
        <v>45903.43489583334</v>
      </c>
      <c r="C766" s="1" t="n">
        <v>45913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24629-2025</t>
        </is>
      </c>
      <c r="B767" s="1" t="n">
        <v>45798.59671296296</v>
      </c>
      <c r="C767" s="1" t="n">
        <v>45913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45913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45913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62177-2024</t>
        </is>
      </c>
      <c r="B770" s="1" t="n">
        <v>45657.95927083334</v>
      </c>
      <c r="C770" s="1" t="n">
        <v>45913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2975-2025</t>
        </is>
      </c>
      <c r="B771" s="1" t="n">
        <v>45678.47236111111</v>
      </c>
      <c r="C771" s="1" t="n">
        <v>45913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25287-2023</t>
        </is>
      </c>
      <c r="B772" s="1" t="n">
        <v>45086.71662037037</v>
      </c>
      <c r="C772" s="1" t="n">
        <v>45913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42758-2025</t>
        </is>
      </c>
      <c r="B773" s="1" t="n">
        <v>45908.46045138889</v>
      </c>
      <c r="C773" s="1" t="n">
        <v>45913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58884-2024</t>
        </is>
      </c>
      <c r="B774" s="1" t="n">
        <v>45636.45025462963</v>
      </c>
      <c r="C774" s="1" t="n">
        <v>45913</v>
      </c>
      <c r="D774" t="inlineStr">
        <is>
          <t>ÖSTERGÖTLANDS LÄN</t>
        </is>
      </c>
      <c r="E774" t="inlineStr">
        <is>
          <t>NORRKÖPING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46633-2024</t>
        </is>
      </c>
      <c r="B775" s="1" t="n">
        <v>45583.34371527778</v>
      </c>
      <c r="C775" s="1" t="n">
        <v>45913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7762-2025</t>
        </is>
      </c>
      <c r="B776" s="1" t="n">
        <v>45706.54385416667</v>
      </c>
      <c r="C776" s="1" t="n">
        <v>45913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42766-2025</t>
        </is>
      </c>
      <c r="B777" s="1" t="n">
        <v>45908.47244212963</v>
      </c>
      <c r="C777" s="1" t="n">
        <v>45913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15872-2021</t>
        </is>
      </c>
      <c r="B778" s="1" t="n">
        <v>44286.88952546296</v>
      </c>
      <c r="C778" s="1" t="n">
        <v>45913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22651-2023</t>
        </is>
      </c>
      <c r="B779" s="1" t="n">
        <v>45071</v>
      </c>
      <c r="C779" s="1" t="n">
        <v>45913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29010-2023</t>
        </is>
      </c>
      <c r="B780" s="1" t="n">
        <v>45096</v>
      </c>
      <c r="C780" s="1" t="n">
        <v>45913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36302-2025</t>
        </is>
      </c>
      <c r="B781" s="1" t="n">
        <v>45867.7115625</v>
      </c>
      <c r="C781" s="1" t="n">
        <v>45913</v>
      </c>
      <c r="D781" t="inlineStr">
        <is>
          <t>ÖSTERGÖTLANDS LÄN</t>
        </is>
      </c>
      <c r="E781" t="inlineStr">
        <is>
          <t>NORRKÖPING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45913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45913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45913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45913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45913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45913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26494-2025</t>
        </is>
      </c>
      <c r="B788" s="1" t="n">
        <v>45807</v>
      </c>
      <c r="C788" s="1" t="n">
        <v>45913</v>
      </c>
      <c r="D788" t="inlineStr">
        <is>
          <t>ÖSTERGÖTLANDS LÄN</t>
        </is>
      </c>
      <c r="E788" t="inlineStr">
        <is>
          <t>NORRKÖPING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37876-2025</t>
        </is>
      </c>
      <c r="B789" s="1" t="n">
        <v>45881</v>
      </c>
      <c r="C789" s="1" t="n">
        <v>45913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9206-2023</t>
        </is>
      </c>
      <c r="B790" s="1" t="n">
        <v>44980.48200231481</v>
      </c>
      <c r="C790" s="1" t="n">
        <v>45913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9512-2023</t>
        </is>
      </c>
      <c r="B791" s="1" t="n">
        <v>44981</v>
      </c>
      <c r="C791" s="1" t="n">
        <v>45913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6636-2023</t>
        </is>
      </c>
      <c r="B792" s="1" t="n">
        <v>44966.57550925926</v>
      </c>
      <c r="C792" s="1" t="n">
        <v>45913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16705-2023</t>
        </is>
      </c>
      <c r="B793" s="1" t="n">
        <v>45030.62916666667</v>
      </c>
      <c r="C793" s="1" t="n">
        <v>45913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28601-2024</t>
        </is>
      </c>
      <c r="B794" s="1" t="n">
        <v>45478.42675925926</v>
      </c>
      <c r="C794" s="1" t="n">
        <v>45913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8517-2023</t>
        </is>
      </c>
      <c r="B795" s="1" t="n">
        <v>44977.57584490741</v>
      </c>
      <c r="C795" s="1" t="n">
        <v>45913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43559-2021</t>
        </is>
      </c>
      <c r="B796" s="1" t="n">
        <v>44433</v>
      </c>
      <c r="C796" s="1" t="n">
        <v>45913</v>
      </c>
      <c r="D796" t="inlineStr">
        <is>
          <t>ÖSTERGÖTLANDS LÄN</t>
        </is>
      </c>
      <c r="E796" t="inlineStr">
        <is>
          <t>NORRKÖPING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10553-2025</t>
        </is>
      </c>
      <c r="B797" s="1" t="n">
        <v>45721.51255787037</v>
      </c>
      <c r="C797" s="1" t="n">
        <v>45913</v>
      </c>
      <c r="D797" t="inlineStr">
        <is>
          <t>ÖSTERGÖTLANDS LÄN</t>
        </is>
      </c>
      <c r="E797" t="inlineStr">
        <is>
          <t>NORRKÖPING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10554-2025</t>
        </is>
      </c>
      <c r="B798" s="1" t="n">
        <v>45721.51346064815</v>
      </c>
      <c r="C798" s="1" t="n">
        <v>45913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13173-2022</t>
        </is>
      </c>
      <c r="B799" s="1" t="n">
        <v>44644</v>
      </c>
      <c r="C799" s="1" t="n">
        <v>45913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14485-2023</t>
        </is>
      </c>
      <c r="B800" s="1" t="n">
        <v>45012</v>
      </c>
      <c r="C800" s="1" t="n">
        <v>45913</v>
      </c>
      <c r="D800" t="inlineStr">
        <is>
          <t>ÖSTERGÖTLANDS LÄN</t>
        </is>
      </c>
      <c r="E800" t="inlineStr">
        <is>
          <t>NORRKÖPING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14329-2022</t>
        </is>
      </c>
      <c r="B801" s="1" t="n">
        <v>44652</v>
      </c>
      <c r="C801" s="1" t="n">
        <v>45913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23462-2023</t>
        </is>
      </c>
      <c r="B802" s="1" t="n">
        <v>45076</v>
      </c>
      <c r="C802" s="1" t="n">
        <v>45913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7750-2025</t>
        </is>
      </c>
      <c r="B803" s="1" t="n">
        <v>45706.49520833333</v>
      </c>
      <c r="C803" s="1" t="n">
        <v>45913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19114-2023</t>
        </is>
      </c>
      <c r="B804" s="1" t="n">
        <v>45048</v>
      </c>
      <c r="C804" s="1" t="n">
        <v>45913</v>
      </c>
      <c r="D804" t="inlineStr">
        <is>
          <t>ÖSTERGÖTLANDS LÄN</t>
        </is>
      </c>
      <c r="E804" t="inlineStr">
        <is>
          <t>NORRKÖPING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32617-2023</t>
        </is>
      </c>
      <c r="B805" s="1" t="n">
        <v>45121</v>
      </c>
      <c r="C805" s="1" t="n">
        <v>45913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36258-2022</t>
        </is>
      </c>
      <c r="B806" s="1" t="n">
        <v>44803.59099537037</v>
      </c>
      <c r="C806" s="1" t="n">
        <v>45913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3023-2025</t>
        </is>
      </c>
      <c r="B807" s="1" t="n">
        <v>45678.58166666667</v>
      </c>
      <c r="C807" s="1" t="n">
        <v>45913</v>
      </c>
      <c r="D807" t="inlineStr">
        <is>
          <t>ÖSTERGÖTLANDS LÄN</t>
        </is>
      </c>
      <c r="E807" t="inlineStr">
        <is>
          <t>NORRKÖPING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19962-2025</t>
        </is>
      </c>
      <c r="B808" s="1" t="n">
        <v>45771.66951388889</v>
      </c>
      <c r="C808" s="1" t="n">
        <v>45913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19191-2025</t>
        </is>
      </c>
      <c r="B809" s="1" t="n">
        <v>45769.41631944444</v>
      </c>
      <c r="C809" s="1" t="n">
        <v>45913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56876-2024</t>
        </is>
      </c>
      <c r="B810" s="1" t="n">
        <v>45628.56513888889</v>
      </c>
      <c r="C810" s="1" t="n">
        <v>45913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61869-2020</t>
        </is>
      </c>
      <c r="B811" s="1" t="n">
        <v>44159.36447916667</v>
      </c>
      <c r="C811" s="1" t="n">
        <v>45913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20583-2024</t>
        </is>
      </c>
      <c r="B812" s="1" t="n">
        <v>45436.41305555555</v>
      </c>
      <c r="C812" s="1" t="n">
        <v>45913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17851-2025</t>
        </is>
      </c>
      <c r="B813" s="1" t="n">
        <v>45758.60465277778</v>
      </c>
      <c r="C813" s="1" t="n">
        <v>45913</v>
      </c>
      <c r="D813" t="inlineStr">
        <is>
          <t>ÖSTERGÖTLANDS LÄN</t>
        </is>
      </c>
      <c r="E813" t="inlineStr">
        <is>
          <t>NORRKÖPING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17852-2025</t>
        </is>
      </c>
      <c r="B814" s="1" t="n">
        <v>45758.61055555556</v>
      </c>
      <c r="C814" s="1" t="n">
        <v>45913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6516-2025</t>
        </is>
      </c>
      <c r="B815" s="1" t="n">
        <v>45699.65944444444</v>
      </c>
      <c r="C815" s="1" t="n">
        <v>45913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26407-2023</t>
        </is>
      </c>
      <c r="B816" s="1" t="n">
        <v>45092.36790509259</v>
      </c>
      <c r="C816" s="1" t="n">
        <v>45913</v>
      </c>
      <c r="D816" t="inlineStr">
        <is>
          <t>ÖSTERGÖTLANDS LÄN</t>
        </is>
      </c>
      <c r="E816" t="inlineStr">
        <is>
          <t>NORRKÖPING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36412-2024</t>
        </is>
      </c>
      <c r="B817" s="1" t="n">
        <v>45535.91413194445</v>
      </c>
      <c r="C817" s="1" t="n">
        <v>45913</v>
      </c>
      <c r="D817" t="inlineStr">
        <is>
          <t>ÖSTERGÖTLANDS LÄN</t>
        </is>
      </c>
      <c r="E817" t="inlineStr">
        <is>
          <t>NORRKÖPING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11641-2024</t>
        </is>
      </c>
      <c r="B818" s="1" t="n">
        <v>45373.48878472222</v>
      </c>
      <c r="C818" s="1" t="n">
        <v>45913</v>
      </c>
      <c r="D818" t="inlineStr">
        <is>
          <t>ÖSTERGÖTLANDS LÄN</t>
        </is>
      </c>
      <c r="E818" t="inlineStr">
        <is>
          <t>NORRKÖPING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51124-2023</t>
        </is>
      </c>
      <c r="B819" s="1" t="n">
        <v>45219.32268518519</v>
      </c>
      <c r="C819" s="1" t="n">
        <v>45913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5116-2024</t>
        </is>
      </c>
      <c r="B820" s="1" t="n">
        <v>45330</v>
      </c>
      <c r="C820" s="1" t="n">
        <v>45913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13133-2024</t>
        </is>
      </c>
      <c r="B821" s="1" t="n">
        <v>45386.32806712963</v>
      </c>
      <c r="C821" s="1" t="n">
        <v>45913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21810-2024</t>
        </is>
      </c>
      <c r="B822" s="1" t="n">
        <v>45442.67793981481</v>
      </c>
      <c r="C822" s="1" t="n">
        <v>45913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11144-2025</t>
        </is>
      </c>
      <c r="B823" s="1" t="n">
        <v>45723.67724537037</v>
      </c>
      <c r="C823" s="1" t="n">
        <v>45913</v>
      </c>
      <c r="D823" t="inlineStr">
        <is>
          <t>ÖSTERGÖTLANDS LÄN</t>
        </is>
      </c>
      <c r="E823" t="inlineStr">
        <is>
          <t>NORRKÖPING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15505-2025</t>
        </is>
      </c>
      <c r="B824" s="1" t="n">
        <v>45747.59501157407</v>
      </c>
      <c r="C824" s="1" t="n">
        <v>45913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16594-2023</t>
        </is>
      </c>
      <c r="B825" s="1" t="n">
        <v>45027</v>
      </c>
      <c r="C825" s="1" t="n">
        <v>45913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11737-2024</t>
        </is>
      </c>
      <c r="B826" s="1" t="n">
        <v>45373.72511574074</v>
      </c>
      <c r="C826" s="1" t="n">
        <v>45913</v>
      </c>
      <c r="D826" t="inlineStr">
        <is>
          <t>ÖSTERGÖTLANDS LÄN</t>
        </is>
      </c>
      <c r="E826" t="inlineStr">
        <is>
          <t>NORRKÖPING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1077-2023</t>
        </is>
      </c>
      <c r="B827" s="1" t="n">
        <v>44935</v>
      </c>
      <c r="C827" s="1" t="n">
        <v>45913</v>
      </c>
      <c r="D827" t="inlineStr">
        <is>
          <t>ÖSTERGÖTLANDS LÄN</t>
        </is>
      </c>
      <c r="E827" t="inlineStr">
        <is>
          <t>NORRKÖPING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40816-2024</t>
        </is>
      </c>
      <c r="B828" s="1" t="n">
        <v>45558</v>
      </c>
      <c r="C828" s="1" t="n">
        <v>45913</v>
      </c>
      <c r="D828" t="inlineStr">
        <is>
          <t>ÖSTERGÖTLANDS LÄN</t>
        </is>
      </c>
      <c r="E828" t="inlineStr">
        <is>
          <t>NORRKÖPING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1115-2023</t>
        </is>
      </c>
      <c r="B829" s="1" t="n">
        <v>44935.60138888889</v>
      </c>
      <c r="C829" s="1" t="n">
        <v>45913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28663-2024</t>
        </is>
      </c>
      <c r="B830" s="1" t="n">
        <v>45478.47236111111</v>
      </c>
      <c r="C830" s="1" t="n">
        <v>45913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31883-2023</t>
        </is>
      </c>
      <c r="B831" s="1" t="n">
        <v>45118</v>
      </c>
      <c r="C831" s="1" t="n">
        <v>45913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45913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8569-2023</t>
        </is>
      </c>
      <c r="B833" s="1" t="n">
        <v>44977.63902777778</v>
      </c>
      <c r="C833" s="1" t="n">
        <v>45913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3070-2025</t>
        </is>
      </c>
      <c r="B834" s="1" t="n">
        <v>45678.6377199074</v>
      </c>
      <c r="C834" s="1" t="n">
        <v>45913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36571-2023</t>
        </is>
      </c>
      <c r="B835" s="1" t="n">
        <v>45153</v>
      </c>
      <c r="C835" s="1" t="n">
        <v>45913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51112-2024</t>
        </is>
      </c>
      <c r="B836" s="1" t="n">
        <v>45603.49528935185</v>
      </c>
      <c r="C836" s="1" t="n">
        <v>45913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1811-2023</t>
        </is>
      </c>
      <c r="B837" s="1" t="n">
        <v>44936</v>
      </c>
      <c r="C837" s="1" t="n">
        <v>45913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14585-2025</t>
        </is>
      </c>
      <c r="B838" s="1" t="n">
        <v>45742.31784722222</v>
      </c>
      <c r="C838" s="1" t="n">
        <v>45913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36575-2023</t>
        </is>
      </c>
      <c r="B839" s="1" t="n">
        <v>45153</v>
      </c>
      <c r="C839" s="1" t="n">
        <v>45913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59580-2022</t>
        </is>
      </c>
      <c r="B840" s="1" t="n">
        <v>44907.65043981482</v>
      </c>
      <c r="C840" s="1" t="n">
        <v>45913</v>
      </c>
      <c r="D840" t="inlineStr">
        <is>
          <t>ÖSTERGÖTLANDS LÄN</t>
        </is>
      </c>
      <c r="E840" t="inlineStr">
        <is>
          <t>NORRKÖPING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49465-2023</t>
        </is>
      </c>
      <c r="B841" s="1" t="n">
        <v>45211.52895833334</v>
      </c>
      <c r="C841" s="1" t="n">
        <v>45913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1939-2023</t>
        </is>
      </c>
      <c r="B842" s="1" t="n">
        <v>44936</v>
      </c>
      <c r="C842" s="1" t="n">
        <v>45913</v>
      </c>
      <c r="D842" t="inlineStr">
        <is>
          <t>ÖSTERGÖTLANDS LÄN</t>
        </is>
      </c>
      <c r="E842" t="inlineStr">
        <is>
          <t>NORRKÖPING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15177-2023</t>
        </is>
      </c>
      <c r="B843" s="1" t="n">
        <v>45016.64986111111</v>
      </c>
      <c r="C843" s="1" t="n">
        <v>45913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33446-2023</t>
        </is>
      </c>
      <c r="B844" s="1" t="n">
        <v>45129</v>
      </c>
      <c r="C844" s="1" t="n">
        <v>45913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24354-2024</t>
        </is>
      </c>
      <c r="B845" s="1" t="n">
        <v>45457.59425925926</v>
      </c>
      <c r="C845" s="1" t="n">
        <v>45913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58318-2023</t>
        </is>
      </c>
      <c r="B846" s="1" t="n">
        <v>45250.5799537037</v>
      </c>
      <c r="C846" s="1" t="n">
        <v>45913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18877-2025</t>
        </is>
      </c>
      <c r="B847" s="1" t="n">
        <v>45764.43782407408</v>
      </c>
      <c r="C847" s="1" t="n">
        <v>45913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15870-2024</t>
        </is>
      </c>
      <c r="B848" s="1" t="n">
        <v>45405</v>
      </c>
      <c r="C848" s="1" t="n">
        <v>45913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30865-2024</t>
        </is>
      </c>
      <c r="B849" s="1" t="n">
        <v>45497</v>
      </c>
      <c r="C849" s="1" t="n">
        <v>45913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3912-2025</t>
        </is>
      </c>
      <c r="B850" s="1" t="n">
        <v>45684.4203125</v>
      </c>
      <c r="C850" s="1" t="n">
        <v>45913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7761-2025</t>
        </is>
      </c>
      <c r="B851" s="1" t="n">
        <v>45706.54204861111</v>
      </c>
      <c r="C851" s="1" t="n">
        <v>45913</v>
      </c>
      <c r="D851" t="inlineStr">
        <is>
          <t>ÖSTERGÖTLANDS LÄN</t>
        </is>
      </c>
      <c r="E851" t="inlineStr">
        <is>
          <t>NORRKÖPING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7763-2025</t>
        </is>
      </c>
      <c r="B852" s="1" t="n">
        <v>45706.54572916667</v>
      </c>
      <c r="C852" s="1" t="n">
        <v>45913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2320-2024</t>
        </is>
      </c>
      <c r="B853" s="1" t="n">
        <v>45310</v>
      </c>
      <c r="C853" s="1" t="n">
        <v>45913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2025-09-13T08:54:35Z</dcterms:created>
  <dcterms:modified xmlns:dcterms="http://purl.org/dc/terms/" xmlns:xsi="http://www.w3.org/2001/XMLSchema-instance" xsi:type="dcterms:W3CDTF">2025-09-13T08:54:36Z</dcterms:modified>
</cp:coreProperties>
</file>