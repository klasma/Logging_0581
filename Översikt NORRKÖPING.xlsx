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45841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45841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45841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45841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45841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45841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45841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45841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45841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45841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45841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45841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45841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45841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45841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45841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11085-2025</t>
        </is>
      </c>
      <c r="B38" s="1" t="n">
        <v>45723</v>
      </c>
      <c r="C38" s="1" t="n">
        <v>45841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Dropptaggsvamp
Nattskärra
Huggorm</t>
        </is>
      </c>
      <c r="S38">
        <f>HYPERLINK("https://klasma.github.io/Logging_050581/artfynd/A 11085-2025 artfynd.xlsx", "A 11085-2025")</f>
        <v/>
      </c>
      <c r="T38">
        <f>HYPERLINK("https://klasma.github.io/Logging_050581/kartor/A 11085-2025 karta.png", "A 11085-2025")</f>
        <v/>
      </c>
      <c r="U38">
        <f>HYPERLINK("https://klasma.github.io/Logging_050581/knärot/A 11085-2025 karta knärot.png", "A 11085-2025")</f>
        <v/>
      </c>
      <c r="V38">
        <f>HYPERLINK("https://klasma.github.io/Logging_050581/klagomål/A 11085-2025 FSC-klagomål.docx", "A 11085-2025")</f>
        <v/>
      </c>
      <c r="W38">
        <f>HYPERLINK("https://klasma.github.io/Logging_050581/klagomålsmail/A 11085-2025 FSC-klagomål mail.docx", "A 11085-2025")</f>
        <v/>
      </c>
      <c r="X38">
        <f>HYPERLINK("https://klasma.github.io/Logging_050581/tillsyn/A 11085-2025 tillsynsbegäran.docx", "A 11085-2025")</f>
        <v/>
      </c>
      <c r="Y38">
        <f>HYPERLINK("https://klasma.github.io/Logging_050581/tillsynsmail/A 11085-2025 tillsynsbegäran mail.docx", "A 11085-2025")</f>
        <v/>
      </c>
      <c r="Z38">
        <f>HYPERLINK("https://klasma.github.io/Logging_050581/fåglar/A 11085-2025 prioriterade fågelarter.docx", "A 11085-2025")</f>
        <v/>
      </c>
    </row>
    <row r="39" ht="15" customHeight="1">
      <c r="A39" t="inlineStr">
        <is>
          <t>A 12567-2025</t>
        </is>
      </c>
      <c r="B39" s="1" t="n">
        <v>45731</v>
      </c>
      <c r="C39" s="1" t="n">
        <v>45841</v>
      </c>
      <c r="D39" t="inlineStr">
        <is>
          <t>ÖSTERGÖTLANDS LÄN</t>
        </is>
      </c>
      <c r="E39" t="inlineStr">
        <is>
          <t>NORRKÖPING</t>
        </is>
      </c>
      <c r="G39" t="n">
        <v>15.6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Ask
Knärot
Tallticka
Blåmossa</t>
        </is>
      </c>
      <c r="S39">
        <f>HYPERLINK("https://klasma.github.io/Logging_050581/artfynd/A 12567-2025 artfynd.xlsx", "A 12567-2025")</f>
        <v/>
      </c>
      <c r="T39">
        <f>HYPERLINK("https://klasma.github.io/Logging_050581/kartor/A 12567-2025 karta.png", "A 12567-2025")</f>
        <v/>
      </c>
      <c r="U39">
        <f>HYPERLINK("https://klasma.github.io/Logging_050581/knärot/A 12567-2025 karta knärot.png", "A 12567-2025")</f>
        <v/>
      </c>
      <c r="V39">
        <f>HYPERLINK("https://klasma.github.io/Logging_050581/klagomål/A 12567-2025 FSC-klagomål.docx", "A 12567-2025")</f>
        <v/>
      </c>
      <c r="W39">
        <f>HYPERLINK("https://klasma.github.io/Logging_050581/klagomålsmail/A 12567-2025 FSC-klagomål mail.docx", "A 12567-2025")</f>
        <v/>
      </c>
      <c r="X39">
        <f>HYPERLINK("https://klasma.github.io/Logging_050581/tillsyn/A 12567-2025 tillsynsbegäran.docx", "A 12567-2025")</f>
        <v/>
      </c>
      <c r="Y39">
        <f>HYPERLINK("https://klasma.github.io/Logging_050581/tillsynsmail/A 12567-2025 tillsynsbegäran mail.docx", "A 12567-2025")</f>
        <v/>
      </c>
    </row>
    <row r="40" ht="15" customHeight="1">
      <c r="A40" t="inlineStr">
        <is>
          <t>A 34176-2019</t>
        </is>
      </c>
      <c r="B40" s="1" t="n">
        <v>43655</v>
      </c>
      <c r="C40" s="1" t="n">
        <v>45841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8.800000000000001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Klippfrullania
Sårläka
Trädporella</t>
        </is>
      </c>
      <c r="S40">
        <f>HYPERLINK("https://klasma.github.io/Logging_0581/artfynd/A 34176-2019 artfynd.xlsx", "A 34176-2019")</f>
        <v/>
      </c>
      <c r="T40">
        <f>HYPERLINK("https://klasma.github.io/Logging_0581/kartor/A 34176-2019 karta.png", "A 34176-2019")</f>
        <v/>
      </c>
      <c r="V40">
        <f>HYPERLINK("https://klasma.github.io/Logging_0581/klagomål/A 34176-2019 FSC-klagomål.docx", "A 34176-2019")</f>
        <v/>
      </c>
      <c r="W40">
        <f>HYPERLINK("https://klasma.github.io/Logging_0581/klagomålsmail/A 34176-2019 FSC-klagomål mail.docx", "A 34176-2019")</f>
        <v/>
      </c>
      <c r="X40">
        <f>HYPERLINK("https://klasma.github.io/Logging_0581/tillsyn/A 34176-2019 tillsynsbegäran.docx", "A 34176-2019")</f>
        <v/>
      </c>
      <c r="Y40">
        <f>HYPERLINK("https://klasma.github.io/Logging_0581/tillsynsmail/A 34176-2019 tillsynsbegäran mail.docx", "A 34176-2019")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45841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45841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45841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14646-2023</t>
        </is>
      </c>
      <c r="B44" s="1" t="n">
        <v>45013</v>
      </c>
      <c r="C44" s="1" t="n">
        <v>45841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45841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43816-2023</t>
        </is>
      </c>
      <c r="B46" s="1" t="n">
        <v>45187</v>
      </c>
      <c r="C46" s="1" t="n">
        <v>45841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9.800000000000001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Vedskivlav
Blåmossa</t>
        </is>
      </c>
      <c r="S46">
        <f>HYPERLINK("https://klasma.github.io/Logging_0581/artfynd/A 43816-2023 artfynd.xlsx", "A 43816-2023")</f>
        <v/>
      </c>
      <c r="T46">
        <f>HYPERLINK("https://klasma.github.io/Logging_0581/kartor/A 43816-2023 karta.png", "A 43816-2023")</f>
        <v/>
      </c>
      <c r="V46">
        <f>HYPERLINK("https://klasma.github.io/Logging_0581/klagomål/A 43816-2023 FSC-klagomål.docx", "A 43816-2023")</f>
        <v/>
      </c>
      <c r="W46">
        <f>HYPERLINK("https://klasma.github.io/Logging_0581/klagomålsmail/A 43816-2023 FSC-klagomål mail.docx", "A 43816-2023")</f>
        <v/>
      </c>
      <c r="X46">
        <f>HYPERLINK("https://klasma.github.io/Logging_0581/tillsyn/A 43816-2023 tillsynsbegäran.docx", "A 43816-2023")</f>
        <v/>
      </c>
      <c r="Y46">
        <f>HYPERLINK("https://klasma.github.io/Logging_0581/tillsynsmail/A 43816-2023 tillsynsbegäran mail.docx", "A 43816-2023")</f>
        <v/>
      </c>
    </row>
    <row r="47" ht="15" customHeight="1">
      <c r="A47" t="inlineStr">
        <is>
          <t>A 47767-2023</t>
        </is>
      </c>
      <c r="B47" s="1" t="n">
        <v>45203</v>
      </c>
      <c r="C47" s="1" t="n">
        <v>45841</v>
      </c>
      <c r="D47" t="inlineStr">
        <is>
          <t>ÖSTERGÖTLANDS LÄN</t>
        </is>
      </c>
      <c r="E47" t="inlineStr">
        <is>
          <t>NORRKÖPING</t>
        </is>
      </c>
      <c r="G47" t="n">
        <v>3.8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Sotriska</t>
        </is>
      </c>
      <c r="S47">
        <f>HYPERLINK("https://klasma.github.io/Logging_0581/artfynd/A 47767-2023 artfynd.xlsx", "A 47767-2023")</f>
        <v/>
      </c>
      <c r="T47">
        <f>HYPERLINK("https://klasma.github.io/Logging_0581/kartor/A 47767-2023 karta.png", "A 47767-2023")</f>
        <v/>
      </c>
      <c r="V47">
        <f>HYPERLINK("https://klasma.github.io/Logging_0581/klagomål/A 47767-2023 FSC-klagomål.docx", "A 47767-2023")</f>
        <v/>
      </c>
      <c r="W47">
        <f>HYPERLINK("https://klasma.github.io/Logging_0581/klagomålsmail/A 47767-2023 FSC-klagomål mail.docx", "A 47767-2023")</f>
        <v/>
      </c>
      <c r="X47">
        <f>HYPERLINK("https://klasma.github.io/Logging_0581/tillsyn/A 47767-2023 tillsynsbegäran.docx", "A 47767-2023")</f>
        <v/>
      </c>
      <c r="Y47">
        <f>HYPERLINK("https://klasma.github.io/Logging_0581/tillsynsmail/A 47767-2023 tillsynsbegäran mail.docx", "A 47767-2023")</f>
        <v/>
      </c>
    </row>
    <row r="48" ht="15" customHeight="1">
      <c r="A48" t="inlineStr">
        <is>
          <t>A 9317-2024</t>
        </is>
      </c>
      <c r="B48" s="1" t="n">
        <v>45358</v>
      </c>
      <c r="C48" s="1" t="n">
        <v>45841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12.9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Lakritsmusseron
Vedskivlav
Dropptaggsvamp</t>
        </is>
      </c>
      <c r="S48">
        <f>HYPERLINK("https://klasma.github.io/Logging_0581/artfynd/A 9317-2024 artfynd.xlsx", "A 9317-2024")</f>
        <v/>
      </c>
      <c r="T48">
        <f>HYPERLINK("https://klasma.github.io/Logging_0581/kartor/A 9317-2024 karta.png", "A 9317-2024")</f>
        <v/>
      </c>
      <c r="V48">
        <f>HYPERLINK("https://klasma.github.io/Logging_0581/klagomål/A 9317-2024 FSC-klagomål.docx", "A 9317-2024")</f>
        <v/>
      </c>
      <c r="W48">
        <f>HYPERLINK("https://klasma.github.io/Logging_0581/klagomålsmail/A 9317-2024 FSC-klagomål mail.docx", "A 9317-2024")</f>
        <v/>
      </c>
      <c r="X48">
        <f>HYPERLINK("https://klasma.github.io/Logging_0581/tillsyn/A 9317-2024 tillsynsbegäran.docx", "A 9317-2024")</f>
        <v/>
      </c>
      <c r="Y48">
        <f>HYPERLINK("https://klasma.github.io/Logging_0581/tillsynsmail/A 9317-2024 tillsynsbegäran mail.docx", "A 9317-2024")</f>
        <v/>
      </c>
    </row>
    <row r="49" ht="15" customHeight="1">
      <c r="A49" t="inlineStr">
        <is>
          <t>A 17634-2024</t>
        </is>
      </c>
      <c r="B49" s="1" t="n">
        <v>45418</v>
      </c>
      <c r="C49" s="1" t="n">
        <v>45841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Kandelabersvamp
Bårdlav
Lönnlav</t>
        </is>
      </c>
      <c r="S49">
        <f>HYPERLINK("https://klasma.github.io/Logging_0581/artfynd/A 17634-2024 artfynd.xlsx", "A 17634-2024")</f>
        <v/>
      </c>
      <c r="T49">
        <f>HYPERLINK("https://klasma.github.io/Logging_0581/kartor/A 17634-2024 karta.png", "A 17634-2024")</f>
        <v/>
      </c>
      <c r="V49">
        <f>HYPERLINK("https://klasma.github.io/Logging_0581/klagomål/A 17634-2024 FSC-klagomål.docx", "A 17634-2024")</f>
        <v/>
      </c>
      <c r="W49">
        <f>HYPERLINK("https://klasma.github.io/Logging_0581/klagomålsmail/A 17634-2024 FSC-klagomål mail.docx", "A 17634-2024")</f>
        <v/>
      </c>
      <c r="X49">
        <f>HYPERLINK("https://klasma.github.io/Logging_0581/tillsyn/A 17634-2024 tillsynsbegäran.docx", "A 17634-2024")</f>
        <v/>
      </c>
      <c r="Y49">
        <f>HYPERLINK("https://klasma.github.io/Logging_0581/tillsynsmail/A 17634-2024 tillsynsbegäran mail.docx", "A 17634-2024")</f>
        <v/>
      </c>
    </row>
    <row r="50" ht="15" customHeight="1">
      <c r="A50" t="inlineStr">
        <is>
          <t>A 21404-2024</t>
        </is>
      </c>
      <c r="B50" s="1" t="n">
        <v>45441</v>
      </c>
      <c r="C50" s="1" t="n">
        <v>45841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28412-2024</t>
        </is>
      </c>
      <c r="B51" s="1" t="n">
        <v>45477</v>
      </c>
      <c r="C51" s="1" t="n">
        <v>45841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Naturvårdsverket</t>
        </is>
      </c>
      <c r="G51" t="n">
        <v>2.6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Blåmossa</t>
        </is>
      </c>
      <c r="S51">
        <f>HYPERLINK("https://klasma.github.io/Logging_0581/artfynd/A 28412-2024 artfynd.xlsx", "A 28412-2024")</f>
        <v/>
      </c>
      <c r="T51">
        <f>HYPERLINK("https://klasma.github.io/Logging_0581/kartor/A 28412-2024 karta.png", "A 28412-2024")</f>
        <v/>
      </c>
      <c r="U51">
        <f>HYPERLINK("https://klasma.github.io/Logging_0581/knärot/A 28412-2024 karta knärot.png", "A 28412-2024")</f>
        <v/>
      </c>
      <c r="V51">
        <f>HYPERLINK("https://klasma.github.io/Logging_0581/klagomål/A 28412-2024 FSC-klagomål.docx", "A 28412-2024")</f>
        <v/>
      </c>
      <c r="W51">
        <f>HYPERLINK("https://klasma.github.io/Logging_0581/klagomålsmail/A 28412-2024 FSC-klagomål mail.docx", "A 28412-2024")</f>
        <v/>
      </c>
      <c r="X51">
        <f>HYPERLINK("https://klasma.github.io/Logging_0581/tillsyn/A 28412-2024 tillsynsbegäran.docx", "A 28412-2024")</f>
        <v/>
      </c>
      <c r="Y51">
        <f>HYPERLINK("https://klasma.github.io/Logging_0581/tillsynsmail/A 28412-2024 tillsynsbegäran mail.docx", "A 28412-2024")</f>
        <v/>
      </c>
    </row>
    <row r="52" ht="15" customHeight="1">
      <c r="A52" t="inlineStr">
        <is>
          <t>A 46648-2024</t>
        </is>
      </c>
      <c r="B52" s="1" t="n">
        <v>45583</v>
      </c>
      <c r="C52" s="1" t="n">
        <v>45841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6.8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Spillkråka
Talltita
Vedskivlav</t>
        </is>
      </c>
      <c r="S52">
        <f>HYPERLINK("https://klasma.github.io/Logging_0581/artfynd/A 46648-2024 artfynd.xlsx", "A 46648-2024")</f>
        <v/>
      </c>
      <c r="T52">
        <f>HYPERLINK("https://klasma.github.io/Logging_0581/kartor/A 46648-2024 karta.png", "A 46648-2024")</f>
        <v/>
      </c>
      <c r="V52">
        <f>HYPERLINK("https://klasma.github.io/Logging_0581/klagomål/A 46648-2024 FSC-klagomål.docx", "A 46648-2024")</f>
        <v/>
      </c>
      <c r="W52">
        <f>HYPERLINK("https://klasma.github.io/Logging_0581/klagomålsmail/A 46648-2024 FSC-klagomål mail.docx", "A 46648-2024")</f>
        <v/>
      </c>
      <c r="X52">
        <f>HYPERLINK("https://klasma.github.io/Logging_0581/tillsyn/A 46648-2024 tillsynsbegäran.docx", "A 46648-2024")</f>
        <v/>
      </c>
      <c r="Y52">
        <f>HYPERLINK("https://klasma.github.io/Logging_0581/tillsynsmail/A 46648-2024 tillsynsbegäran mail.docx", "A 46648-2024")</f>
        <v/>
      </c>
      <c r="Z52">
        <f>HYPERLINK("https://klasma.github.io/Logging_0581/fåglar/A 46648-2024 prioriterade fågelarter.docx", "A 46648-2024")</f>
        <v/>
      </c>
    </row>
    <row r="53" ht="15" customHeight="1">
      <c r="A53" t="inlineStr">
        <is>
          <t>A 46644-2024</t>
        </is>
      </c>
      <c r="B53" s="1" t="n">
        <v>45583</v>
      </c>
      <c r="C53" s="1" t="n">
        <v>45841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4.9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Vedskivlav
Blåmossa
Flagellkvastmossa</t>
        </is>
      </c>
      <c r="S53">
        <f>HYPERLINK("https://klasma.github.io/Logging_0581/artfynd/A 46644-2024 artfynd.xlsx", "A 46644-2024")</f>
        <v/>
      </c>
      <c r="T53">
        <f>HYPERLINK("https://klasma.github.io/Logging_0581/kartor/A 46644-2024 karta.png", "A 46644-2024")</f>
        <v/>
      </c>
      <c r="V53">
        <f>HYPERLINK("https://klasma.github.io/Logging_0581/klagomål/A 46644-2024 FSC-klagomål.docx", "A 46644-2024")</f>
        <v/>
      </c>
      <c r="W53">
        <f>HYPERLINK("https://klasma.github.io/Logging_0581/klagomålsmail/A 46644-2024 FSC-klagomål mail.docx", "A 46644-2024")</f>
        <v/>
      </c>
      <c r="X53">
        <f>HYPERLINK("https://klasma.github.io/Logging_0581/tillsyn/A 46644-2024 tillsynsbegäran.docx", "A 46644-2024")</f>
        <v/>
      </c>
      <c r="Y53">
        <f>HYPERLINK("https://klasma.github.io/Logging_0581/tillsynsmail/A 46644-2024 tillsynsbegäran mail.docx", "A 46644-2024")</f>
        <v/>
      </c>
    </row>
    <row r="54" ht="15" customHeight="1">
      <c r="A54" t="inlineStr">
        <is>
          <t>A 51538-2024</t>
        </is>
      </c>
      <c r="B54" s="1" t="n">
        <v>45604</v>
      </c>
      <c r="C54" s="1" t="n">
        <v>45841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1.6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Fällmossa
Hasselticka
Blåsippa</t>
        </is>
      </c>
      <c r="S54">
        <f>HYPERLINK("https://klasma.github.io/Logging_0581/artfynd/A 51538-2024 artfynd.xlsx", "A 51538-2024")</f>
        <v/>
      </c>
      <c r="T54">
        <f>HYPERLINK("https://klasma.github.io/Logging_0581/kartor/A 51538-2024 karta.png", "A 51538-2024")</f>
        <v/>
      </c>
      <c r="V54">
        <f>HYPERLINK("https://klasma.github.io/Logging_0581/klagomål/A 51538-2024 FSC-klagomål.docx", "A 51538-2024")</f>
        <v/>
      </c>
      <c r="W54">
        <f>HYPERLINK("https://klasma.github.io/Logging_0581/klagomålsmail/A 51538-2024 FSC-klagomål mail.docx", "A 51538-2024")</f>
        <v/>
      </c>
      <c r="X54">
        <f>HYPERLINK("https://klasma.github.io/Logging_0581/tillsyn/A 51538-2024 tillsynsbegäran.docx", "A 51538-2024")</f>
        <v/>
      </c>
      <c r="Y54">
        <f>HYPERLINK("https://klasma.github.io/Logging_0581/tillsynsmail/A 51538-2024 tillsynsbegäran mail.docx", "A 51538-2024")</f>
        <v/>
      </c>
    </row>
    <row r="55" ht="15" customHeight="1">
      <c r="A55" t="inlineStr">
        <is>
          <t>A 1260-2025</t>
        </is>
      </c>
      <c r="B55" s="1" t="n">
        <v>45667</v>
      </c>
      <c r="C55" s="1" t="n">
        <v>45841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9.9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Mjukdån
Nattviol
Revlummer</t>
        </is>
      </c>
      <c r="S55">
        <f>HYPERLINK("https://klasma.github.io/Logging_0581/artfynd/A 1260-2025 artfynd.xlsx", "A 1260-2025")</f>
        <v/>
      </c>
      <c r="T55">
        <f>HYPERLINK("https://klasma.github.io/Logging_0581/kartor/A 1260-2025 karta.png", "A 1260-2025")</f>
        <v/>
      </c>
      <c r="V55">
        <f>HYPERLINK("https://klasma.github.io/Logging_0581/klagomål/A 1260-2025 FSC-klagomål.docx", "A 1260-2025")</f>
        <v/>
      </c>
      <c r="W55">
        <f>HYPERLINK("https://klasma.github.io/Logging_0581/klagomålsmail/A 1260-2025 FSC-klagomål mail.docx", "A 1260-2025")</f>
        <v/>
      </c>
      <c r="X55">
        <f>HYPERLINK("https://klasma.github.io/Logging_0581/tillsyn/A 1260-2025 tillsynsbegäran.docx", "A 1260-2025")</f>
        <v/>
      </c>
      <c r="Y55">
        <f>HYPERLINK("https://klasma.github.io/Logging_0581/tillsynsmail/A 1260-2025 tillsynsbegäran mail.docx", "A 1260-2025")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45841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45841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45841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45841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45841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45841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45841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45841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45841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45841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45841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45841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45841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45841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45841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45841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45841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45841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45841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45841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45841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45841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45841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45841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45841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45841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45841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45841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45841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45841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45841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45841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45841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45841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45841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45841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45841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45841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45841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45841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45841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45841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45841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45841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45841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45841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45841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45841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45841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45841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45841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45841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45841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45841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45841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45841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45841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45841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45841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45841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45841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45841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45841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45841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45841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45841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45841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45841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45841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45841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45841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45841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45841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45841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45841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45841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45841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45841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45841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45841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45841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45841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45841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45841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45841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45841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45841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45841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45841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45841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45841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45841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45841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45841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45841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30910-2025</t>
        </is>
      </c>
      <c r="B151" s="1" t="n">
        <v>45832</v>
      </c>
      <c r="C151" s="1" t="n">
        <v>45841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8.4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Bronshjon</t>
        </is>
      </c>
      <c r="S151">
        <f>HYPERLINK("https://klasma.github.io/Logging_050581/artfynd/A 30910-2025 artfynd.xlsx", "A 30910-2025")</f>
        <v/>
      </c>
      <c r="T151">
        <f>HYPERLINK("https://klasma.github.io/Logging_050581/kartor/A 30910-2025 karta.png", "A 30910-2025")</f>
        <v/>
      </c>
      <c r="V151">
        <f>HYPERLINK("https://klasma.github.io/Logging_050581/klagomål/A 30910-2025 FSC-klagomål.docx", "A 30910-2025")</f>
        <v/>
      </c>
      <c r="W151">
        <f>HYPERLINK("https://klasma.github.io/Logging_050581/klagomålsmail/A 30910-2025 FSC-klagomål mail.docx", "A 30910-2025")</f>
        <v/>
      </c>
      <c r="X151">
        <f>HYPERLINK("https://klasma.github.io/Logging_050581/tillsyn/A 30910-2025 tillsynsbegäran.docx", "A 30910-2025")</f>
        <v/>
      </c>
      <c r="Y151">
        <f>HYPERLINK("https://klasma.github.io/Logging_050581/tillsynsmail/A 30910-2025 tillsynsbegäran mail.docx", "A 30910-2025")</f>
        <v/>
      </c>
    </row>
    <row r="152" ht="15" customHeight="1">
      <c r="A152" t="inlineStr">
        <is>
          <t>A 30871-2025</t>
        </is>
      </c>
      <c r="B152" s="1" t="n">
        <v>45832</v>
      </c>
      <c r="C152" s="1" t="n">
        <v>45841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HYPERLINK("https://klasma.github.io/Logging_050581/artfynd/A 30871-2025 artfynd.xlsx", "A 30871-2025")</f>
        <v/>
      </c>
      <c r="T152">
        <f>HYPERLINK("https://klasma.github.io/Logging_050581/kartor/A 30871-2025 karta.png", "A 30871-2025")</f>
        <v/>
      </c>
      <c r="V152">
        <f>HYPERLINK("https://klasma.github.io/Logging_050581/klagomål/A 30871-2025 FSC-klagomål.docx", "A 30871-2025")</f>
        <v/>
      </c>
      <c r="W152">
        <f>HYPERLINK("https://klasma.github.io/Logging_050581/klagomålsmail/A 30871-2025 FSC-klagomål mail.docx", "A 30871-2025")</f>
        <v/>
      </c>
      <c r="X152">
        <f>HYPERLINK("https://klasma.github.io/Logging_050581/tillsyn/A 30871-2025 tillsynsbegäran.docx", "A 30871-2025")</f>
        <v/>
      </c>
      <c r="Y152">
        <f>HYPERLINK("https://klasma.github.io/Logging_050581/tillsynsmail/A 30871-2025 tillsynsbegäran mail.docx", "A 30871-2025")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45841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45841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45841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45841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45841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45841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45841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45841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45841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45841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45841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45841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45841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45841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45841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45841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45841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45841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45841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45841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45841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45841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45841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45841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45841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45841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45841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45841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45841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45841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45841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45841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45841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45841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45841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45841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45841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45841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45841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45841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45841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45841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45841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45841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45841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45841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45841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45841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45841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45841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45841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45841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45841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45841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45841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45841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45841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45841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45841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45841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45841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45841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45841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45841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45841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45841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45841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45841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45841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45841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45841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45841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45841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45841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45841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45841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45841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45841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45841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45841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45841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45841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45841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45841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45841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45841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45841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45841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45841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45841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45841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45841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45841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45841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45841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45841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45841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45841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45841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45841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45841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45841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45841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45841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45841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45841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45841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45841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45841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45841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45841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45841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45841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45841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45841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45841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45841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45841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45841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45841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45841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45841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45841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45841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45841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45841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45841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45841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45841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45841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45841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45841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45841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45841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45841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45841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45841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45841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45841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45841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45841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45841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45841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45841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45841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45841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45841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45841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45841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45841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45841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45841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45841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45841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45841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45841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45841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45841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45841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45841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45841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45841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45841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45841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45841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45841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45841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45841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45841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45841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45841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45841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45841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45841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45841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45841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45841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45841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45841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45841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45841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45841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45841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45841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45841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45841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45841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45841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45841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45841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45841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45841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45841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45841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45841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45841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45841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45841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45841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45841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45841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45841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45841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45841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45841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45841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45841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45841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45841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45841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45841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45841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45841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45841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45841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45841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45841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45841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45841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45841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45841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45841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45841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45841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45841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45841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45841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45841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45841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45841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45841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45841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45841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45841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45841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45841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45841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45841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45841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45841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45841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45841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45841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45841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45841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45841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45841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45841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45841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45841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45841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45841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45841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45841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45841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45841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45841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45841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45841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45841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45841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45841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45841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45841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45841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45841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45841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45841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45841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45841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45841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45841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45841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45841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45841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45841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45841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45841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45841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45841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45841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45841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45841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45841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45841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45841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45841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45841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45841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45841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45841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45841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45841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45841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45841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45841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45841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45841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45841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45841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45841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45841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45841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45841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45841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45841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45841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45841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45841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45841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45841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45841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45841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45841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45841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45841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45841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45841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45841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45841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45841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45841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45841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45841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45841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45841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45841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45841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45841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45841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45841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45841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45841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45841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45841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45841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45841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45841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45841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45841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45841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45841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45841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45841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45841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45841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45841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45841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45841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45841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45841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45841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45841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45841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45841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45841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45841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45841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45841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45841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45841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45841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45841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45841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45841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45841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45841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45841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45841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45841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45841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45841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45841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45841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45841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45841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45841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45841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45841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45841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45841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45841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45841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45841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45841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45841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45841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45841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45841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45841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45841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45841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45841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45841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45841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45841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45841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45841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45841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45841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45841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45841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45841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45841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45841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45841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45841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45841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45841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45841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45841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45841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45841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45841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45841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45841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45841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45841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45841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45841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45841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45841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45841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45841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45841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45841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45841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45841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45841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45841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45841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45841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45841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45841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45841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45841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45841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45841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45841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45841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45841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45841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45841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45841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45841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45841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45841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45841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45841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45841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45841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45841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45841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45841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45841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45841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45841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45841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45841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45841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45841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45841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45841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45841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45841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45841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45841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45841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45841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45841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45841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45841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45841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45841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45841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45841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45841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45841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45841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45841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45841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45841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45841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45841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45841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45841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45841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45841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45841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45841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45841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45841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45841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45841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45841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45841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45841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45841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45841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45841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45841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45841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45841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45841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45841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45841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45841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45841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45841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45841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45841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45841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45841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45841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45841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45841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45841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45841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45841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45841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45841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45841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45841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45841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45841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45841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45841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45841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45841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45841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45841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45841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45841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45841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45841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45841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45841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45841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45841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45841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45841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45841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45841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45841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45841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45841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45841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45841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45841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45841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45841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45841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45841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45841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45841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45841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45841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45841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45841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45841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45841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45841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45841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45841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45841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45841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45841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45841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45841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45841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45841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45841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45841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45841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45841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45841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45841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45841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45841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45841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45841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45841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45841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45841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45841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45841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45841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45841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45841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45841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45841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45841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45841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45841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45841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45841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45841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45841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45841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45841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45841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45841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45841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45841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45841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45841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45841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45841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45841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45841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45841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45841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45841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45841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45841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45841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45841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45841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45841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45841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45841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45841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45841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45841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45841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45841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45841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45841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45841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45841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45841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45841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45841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45841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45841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45841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45841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45841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45841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45841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45841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45841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45841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45841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45841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45841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45841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45841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45841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45841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45841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45841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45841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45841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45841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45841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45841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45841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45841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45841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45841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45841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45841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45841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45841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45841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45841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45841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45841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45841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45841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45841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45841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45841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45841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45841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45841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45841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45841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45841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45841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45841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45841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45841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45841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45841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45841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45841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45841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45841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45841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45841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45841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45841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45841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45841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45841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45841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45841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45841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45841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45841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45841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45841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45841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45841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45841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45841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45841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45841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45841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45841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45841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45841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45841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45841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45841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45841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45841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45841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45841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45841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45841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45841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45841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45841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45841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45841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45841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45841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45841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45841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45841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45841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45841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45841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45841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45841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45841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45841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45841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45841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45841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45841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45841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45841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45841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45841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45841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45841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45841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45841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45841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45841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45841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45841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45841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45841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45841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45841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45841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45841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45841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45841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45841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45841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45841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45841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45841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45841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45841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45841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45841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45841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45841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45841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45841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45841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45841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45841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45841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45841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45841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45841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45841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45841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45841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45841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45841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45841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45841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45841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45841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45841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45841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45841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45841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45841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45841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45841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45841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45841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45841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45841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45841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45841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45841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45841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45841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45841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45841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45841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45841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45841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45841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45841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45841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45841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45841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45841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45841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45841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45841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45841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45841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45841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45841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45841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45841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45841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45841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45841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45841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45841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45841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45841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45841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45841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45841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45841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45841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45841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45841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45841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45841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45841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45841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45841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45841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45841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45841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45841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45841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45841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45841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45841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45841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45841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45841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45841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45841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45841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45841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45841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45841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45841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45841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45841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45841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45841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45841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45841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45841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45841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45841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45841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45841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45841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45841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45841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45841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45841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45841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45841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45841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45841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45841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45841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45841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45841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45841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45841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45841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45841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45841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45841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45841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45841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45841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45841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45841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45841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45841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45841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45841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45841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45841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45841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45841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45841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45841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45841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45841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45841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45841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45841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45841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45841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45841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45841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45841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45841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45841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45841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45841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45841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45841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45841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45841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45841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45841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45841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45841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45841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45841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45841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45841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45841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45841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45841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45841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45841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45841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45841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45841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45841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45841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45841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45841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45841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45841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45841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45841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45841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45841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45841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45841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45841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45841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45841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45841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45841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45841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45841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45841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45841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45841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45841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45841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45841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45841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45841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45841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45841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45841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45841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45841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45841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45841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45841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45841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45841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45841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45841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45841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45841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45841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45841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45841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45841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45841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45841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45841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45841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45841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45841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45841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45841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45841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45841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45841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45841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45841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45841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45841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45841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45841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45841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45841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45841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45841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45841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45841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45841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45841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45841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45841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45841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45841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45841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45841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45841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45841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45841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45841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45841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45841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45841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45841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45841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45841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45841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45841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45841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45841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45841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45841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45841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45841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45841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45841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45841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45841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45841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45841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45841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45841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45841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45841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45841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45841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45841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45841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45841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45841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45841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45841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45841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45841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45841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45841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45841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45841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45841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45841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45841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45841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45841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45841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45841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45841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45841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45841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45841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45841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45841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45841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45841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45841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45841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45841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45841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45841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45841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45841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45841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45841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45841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45841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45841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45841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45841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45841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45841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45841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45841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45841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45841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45841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45841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45841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45841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45841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45841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45841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45841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45841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45841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45841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45841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45841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45841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45841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45841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45841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45841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45841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45841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45841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45841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45841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45841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45841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45841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45841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45841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45841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45841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45841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45841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45841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45841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45841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45841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45841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45841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45841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45841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45841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45841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45841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45841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45841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45841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45841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45841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45841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45841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45841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45841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45841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45841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45841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45841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45841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45841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45841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45841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45841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45841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45841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45841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45841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45841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45841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45841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45841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45841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45841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45841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45841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45841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45841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45841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45841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45841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45841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45841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45841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45841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45841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45841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45841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45841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45841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45841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45841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45841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45841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45841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45841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45841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45841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45841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45841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45841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45841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45841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45841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45841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45841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45841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45841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45841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45841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45841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45841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45841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45841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45841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45841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45841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45841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45841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45841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45841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45841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45841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45841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45841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45841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45841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45841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45841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45841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45841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45841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45841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45841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45841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45841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45841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45841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45841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45841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45841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45841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45841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45841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45841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45841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45841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45841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45841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45841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45841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45841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45841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45841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45841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45841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45841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45841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45841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45841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45841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45841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45841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45841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45841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45841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45841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45841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45841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45841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45841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45841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45841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45841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45841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45841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45841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45841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45841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45841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45841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45841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45841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45841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45841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45841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45841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45841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45841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45841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45841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45841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45841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45841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45841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45841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45841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45841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45841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45841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45841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45841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45841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45841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45841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45841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45841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45841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45841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45841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45841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45841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45841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45841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45841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45841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45841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45841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45841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45841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45841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45841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45841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45841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45841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45841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45841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45841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45841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45841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45841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45841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45841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45841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45841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45841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45841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45841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45841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45841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45841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45841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45841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45841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45841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45841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45841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45841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45841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45841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45841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45841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45841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45841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45841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45841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45841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45841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45841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45841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45841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45841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45841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45841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45841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45841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45841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45841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45841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45841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45841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45841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45841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45841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45841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45841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45841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45841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45841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45841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45841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45841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45841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45841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45841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45841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45841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45841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45841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45841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45841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45841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45841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45841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45841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45841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45841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45841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45841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45841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45841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45841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45841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45841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45841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45841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45841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45841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45841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45841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45841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45841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45841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45841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45841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45841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45841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45841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45841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45841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45841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45841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45841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45841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45841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45841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45841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45841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45841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45841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45841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45841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45841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45841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45841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45841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45841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45841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45841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45841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45841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45841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45841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45841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45841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45841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45841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45841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45841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45841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45841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45841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45841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45841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45841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45841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45841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45841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45841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45841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45841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45841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45841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45841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45841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45841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45841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45841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45841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45841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45841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45841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45841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45841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45841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45841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45841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45841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45841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45841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45841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45841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45841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45841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45841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45841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45841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45841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45841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45841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45841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45841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45841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45841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45841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45841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45841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45841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45841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45841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45841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45841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45841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27857-2025</t>
        </is>
      </c>
      <c r="B1651" s="1" t="n">
        <v>45817</v>
      </c>
      <c r="C1651" s="1" t="n">
        <v>45841</v>
      </c>
      <c r="D1651" t="inlineStr">
        <is>
          <t>ÖSTERGÖTLANDS LÄN</t>
        </is>
      </c>
      <c r="E1651" t="inlineStr">
        <is>
          <t>NORRKÖPING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27865-2025</t>
        </is>
      </c>
      <c r="B1652" s="1" t="n">
        <v>45817</v>
      </c>
      <c r="C1652" s="1" t="n">
        <v>45841</v>
      </c>
      <c r="D1652" t="inlineStr">
        <is>
          <t>ÖSTERGÖTLANDS LÄN</t>
        </is>
      </c>
      <c r="E1652" t="inlineStr">
        <is>
          <t>NORRKÖPING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27912-2025</t>
        </is>
      </c>
      <c r="B1653" s="1" t="n">
        <v>45817</v>
      </c>
      <c r="C1653" s="1" t="n">
        <v>45841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45841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45841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28497-2025</t>
        </is>
      </c>
      <c r="B1656" s="1" t="n">
        <v>45817</v>
      </c>
      <c r="C1656" s="1" t="n">
        <v>45841</v>
      </c>
      <c r="D1656" t="inlineStr">
        <is>
          <t>ÖSTERGÖTLANDS LÄN</t>
        </is>
      </c>
      <c r="E1656" t="inlineStr">
        <is>
          <t>NORRKÖPING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28507-2025</t>
        </is>
      </c>
      <c r="B1657" s="1" t="n">
        <v>45817</v>
      </c>
      <c r="C1657" s="1" t="n">
        <v>45841</v>
      </c>
      <c r="D1657" t="inlineStr">
        <is>
          <t>ÖSTERGÖTLANDS LÄN</t>
        </is>
      </c>
      <c r="E1657" t="inlineStr">
        <is>
          <t>NORRKÖPING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45841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45841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29298-2025</t>
        </is>
      </c>
      <c r="B1660" s="1" t="n">
        <v>45824</v>
      </c>
      <c r="C1660" s="1" t="n">
        <v>45841</v>
      </c>
      <c r="D1660" t="inlineStr">
        <is>
          <t>ÖSTERGÖTLANDS LÄN</t>
        </is>
      </c>
      <c r="E1660" t="inlineStr">
        <is>
          <t>NORRKÖPING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45841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45841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45841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33126-2025</t>
        </is>
      </c>
      <c r="B1664" s="1" t="n">
        <v>45832</v>
      </c>
      <c r="C1664" s="1" t="n">
        <v>45841</v>
      </c>
      <c r="D1664" t="inlineStr">
        <is>
          <t>ÖSTERGÖTLANDS LÄN</t>
        </is>
      </c>
      <c r="E1664" t="inlineStr">
        <is>
          <t>NORRKÖPING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33138-2025</t>
        </is>
      </c>
      <c r="B1665" s="1" t="n">
        <v>45832</v>
      </c>
      <c r="C1665" s="1" t="n">
        <v>45841</v>
      </c>
      <c r="D1665" t="inlineStr">
        <is>
          <t>ÖSTERGÖTLANDS LÄN</t>
        </is>
      </c>
      <c r="E1665" t="inlineStr">
        <is>
          <t>NORRKÖPING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45841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31320-2025</t>
        </is>
      </c>
      <c r="B1667" s="1" t="n">
        <v>45833</v>
      </c>
      <c r="C1667" s="1" t="n">
        <v>45841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45841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31364-2025</t>
        </is>
      </c>
      <c r="B1669" s="1" t="n">
        <v>45833</v>
      </c>
      <c r="C1669" s="1" t="n">
        <v>45841</v>
      </c>
      <c r="D1669" t="inlineStr">
        <is>
          <t>ÖSTERGÖTLANDS LÄN</t>
        </is>
      </c>
      <c r="E1669" t="inlineStr">
        <is>
          <t>NORRKÖPING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45841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45841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45841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33246-2025</t>
        </is>
      </c>
      <c r="B1673" s="1" t="n">
        <v>45840</v>
      </c>
      <c r="C1673" s="1" t="n">
        <v>45841</v>
      </c>
      <c r="D1673" t="inlineStr">
        <is>
          <t>ÖSTERGÖTLANDS LÄN</t>
        </is>
      </c>
      <c r="E1673" t="inlineStr">
        <is>
          <t>NORRKÖPING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33250-2025</t>
        </is>
      </c>
      <c r="B1674" s="1" t="n">
        <v>45840</v>
      </c>
      <c r="C1674" s="1" t="n">
        <v>45841</v>
      </c>
      <c r="D1674" t="inlineStr">
        <is>
          <t>ÖSTERGÖTLANDS LÄN</t>
        </is>
      </c>
      <c r="E1674" t="inlineStr">
        <is>
          <t>NORRKÖPING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>
      <c r="A1675" t="inlineStr">
        <is>
          <t>A 33255-2025</t>
        </is>
      </c>
      <c r="B1675" s="1" t="n">
        <v>45840</v>
      </c>
      <c r="C1675" s="1" t="n">
        <v>45841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2025-07-03T19:32:04Z</dcterms:created>
  <dcterms:modified xmlns:dcterms="http://purl.org/dc/terms/" xmlns:xsi="http://www.w3.org/2001/XMLSchema-instance" xsi:type="dcterms:W3CDTF">2025-07-03T19:32:05Z</dcterms:modified>
</cp:coreProperties>
</file>